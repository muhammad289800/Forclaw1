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6 - TV Stands &amp; Enterta" sheetId="4" state="visible" r:id="rId4"/>
    <sheet name="6 - TV Stands &amp; Enterta-WUO_ERR" sheetId="5" state="hidden" r:id="rId5"/>
    <sheet name="6 - TV Stands &amp; Enterta-WUO_TRK" sheetId="6" state="hidden" r:id="rId6"/>
    <sheet name="Additional Cartons" sheetId="7" state="visible" r:id="rId7"/>
    <sheet name="Additional Cartons-WUO_ERR" sheetId="8" state="hidden" r:id="rId8"/>
    <sheet name="Additional Cartons-WUO_TRK" sheetId="9" state="hidden" r:id="rId9"/>
    <sheet name="Additional Chemicals" sheetId="10" state="visible" r:id="rId10"/>
    <sheet name="Additional Chemicals-WUO_ERR" sheetId="11" state="hidden" r:id="rId11"/>
    <sheet name="Additional Chemicals-WUO_TRK" sheetId="12" state="hidden" r:id="rId12"/>
    <sheet name="Additional Images" sheetId="13" state="visible" r:id="rId13"/>
    <sheet name="Additional Images-WUO_ERR" sheetId="14" state="hidden" r:id="rId14"/>
    <sheet name="Additional Images-WUO_TRK" sheetId="15" state="hidden" r:id="rId15"/>
    <sheet name="Additional Videos" sheetId="16" state="visible" r:id="rId16"/>
    <sheet name="Additional Videos-WUO_ERR" sheetId="17" state="hidden" r:id="rId17"/>
    <sheet name="Additional Videos-WUO_TRK" sheetId="18" state="hidden" r:id="rId18"/>
    <sheet name="Additional Documents" sheetId="19" state="visible" r:id="rId19"/>
    <sheet name="Additional Documents-WUO_ERR" sheetId="20" state="hidden" r:id="rId20"/>
    <sheet name="Additional Documents-WUO_TRK" sheetId="21" state="hidden" r:id="rId21"/>
    <sheet name="Valid Values" sheetId="22" state="visible" r:id="rId22"/>
    <sheet name="6 - TV Stands &amp; Enterta-WUO_SSV" sheetId="23" state="hidden" r:id="rId23"/>
    <sheet name="6 - TV Stands &amp; Enterta-WUO_SER" sheetId="24" state="hidden" r:id="rId24"/>
  </sheets>
  <definedNames>
    <definedName name="allowed185254">'Valid Values'!$V$2:$V$70</definedName>
    <definedName name="allowed201479">'Valid Values'!$R$2:$R$3</definedName>
    <definedName name="allowed217965">'Valid Values'!$BC$2:$BC$20</definedName>
    <definedName name="allowed220265">'Valid Values'!$AI$2:$AI$16</definedName>
    <definedName name="allowed220267">'Valid Values'!$AH$2:$AH$9</definedName>
    <definedName name="allowed222775">'Valid Values'!$BD$2:$BD$5</definedName>
    <definedName name="allowed222778">'Valid Values'!$BE$2:$BE$61</definedName>
    <definedName name="allowed222860">'Valid Values'!$P$2:$P$12</definedName>
    <definedName name="allowed222861">'Valid Values'!$Q$2:$Q$7</definedName>
    <definedName name="allowed224759">'Valid Values'!$AN$2:$AN$4</definedName>
    <definedName name="allowed224980">'Valid Values'!$AO$2:$AO$4</definedName>
    <definedName name="allowed227966">'Valid Values'!$S$2:$S$3</definedName>
    <definedName name="allowed236083">'Valid Values'!$AQ$2:$AQ$3</definedName>
    <definedName name="allowed244566">'Valid Values'!$T$2:$T$6</definedName>
    <definedName name="allowed251110">'Valid Values'!$AR$2:$AR$5</definedName>
    <definedName name="allowed255305">'Valid Values'!$BG$2:$BG$4</definedName>
    <definedName name="allowed256090">'Valid Values'!$BH$2:$BH$22</definedName>
    <definedName name="allowed292794">'Valid Values'!$AG$2:$AG$17</definedName>
    <definedName name="allowed293480">'Valid Values'!$U$2:$U$20</definedName>
    <definedName name="allowed310560">'Valid Values'!$AS$2:$AS$5</definedName>
    <definedName name="allowed333812">'Valid Values'!$BF$2:$BF$26</definedName>
    <definedName name="allowed340810">'Valid Values'!$AU$2:$AU$17</definedName>
    <definedName name="allowed341070">'Valid Values'!$AV$2:$AV$6</definedName>
    <definedName name="allowed346869">'Valid Values'!$W$2:$W$11</definedName>
    <definedName name="allowed351619">'Valid Values'!$X$2:$X$5</definedName>
    <definedName name="allowed351641">'Valid Values'!$Z$2:$Z$5</definedName>
    <definedName name="allowed351649">'Valid Values'!$AC$2:$AC$6</definedName>
    <definedName name="allowed352342">'Valid Values'!$AB$2:$AB$8</definedName>
    <definedName name="allowed352351">'Valid Values'!$AA$2:$AA$8</definedName>
    <definedName name="allowed364708">'Valid Values'!$AP$2:$AP$5</definedName>
    <definedName name="allowed367149">'Valid Values'!$Y$2:$Y$13</definedName>
    <definedName name="allowed368262">'Valid Values'!$AX$2:$AX$6</definedName>
    <definedName name="allowed368645">'Valid Values'!$AD$2:$AD$100</definedName>
    <definedName name="allowed369614">'Valid Values'!$AW$2:$AW$13</definedName>
    <definedName name="allowed373560">'Valid Values'!$AT$2:$AT$35</definedName>
    <definedName name="allowed375302">'Valid Values'!$AY$2:$AY$13</definedName>
    <definedName name="allowed379875">'Valid Values'!$AF$2:$AF$55</definedName>
    <definedName name="allowed382060">'Valid Values'!$AZ$2:$AZ$5</definedName>
    <definedName name="allowed384286">'Valid Values'!$AJ$2:$AJ$14</definedName>
    <definedName name="allowed385921">'Valid Values'!$BA$2:$BA$4</definedName>
    <definedName name="allowed420139">'Valid Values'!$AK$2:$AK$18</definedName>
    <definedName name="allowed421601">'Valid Values'!$BB$2:$BB$6</definedName>
    <definedName name="allowed5620">'Valid Values'!$M$2:$M$3</definedName>
    <definedName name="allowed5621">'Valid Values'!$N$2:$N$26</definedName>
    <definedName name="allowed5625">'Valid Values'!$O$2:$O$22</definedName>
    <definedName name="allowed5671">'Valid Values'!$AM$2:$AM$4</definedName>
    <definedName name="allowed5910">'Valid Values'!$AE$2:$AE$31</definedName>
    <definedName name="allowed5938">'Valid Values'!$AL$2:$AL$7</definedName>
    <definedName name="allowedcore__manufacturerId">'Valid Values'!$A$2:$A$2</definedName>
    <definedName name="allowedmedia__documentType">'Valid Values'!$I$2:$I$16</definedName>
    <definedName name="allowedmedia__language">'Valid Values'!$L$2:$L$30</definedName>
    <definedName name="allowedmedia__legalDocumentType">'Valid Values'!$J$2:$J$506</definedName>
    <definedName name="allowedmedia__regionType">'Valid Values'!$K$2:$K$5</definedName>
    <definedName name="allowedpropSixtyFive__chemicalId">'Valid Values'!$F$2:$F$902</definedName>
    <definedName name="allowedpropSixtyFive__countryOfManufacturer">'Valid Values'!$H$2:$H$248</definedName>
    <definedName name="allowedpropSixtyFive__toxicity">'Valid Values'!$G$2:$G$3</definedName>
    <definedName name="allowedshippingAndFulfillment__freightClass">'Valid Values'!$C$2:$C$19</definedName>
    <definedName name="allowedshippingAndFulfillment__leadTime">'Valid Values'!$D$2:$D$18</definedName>
    <definedName name="allowedshippingAndFulfillment__replacementLeadTime">'Valid Values'!$E$2:$E$7</definedName>
    <definedName name="allowedshippingAndFulfillment__shipType">'Valid Values'!$B$2:$B$3</definedName>
    <definedName name="Class6Answers">'6 - TV Stands &amp; Enterta'!$B$8:$EU$22</definedName>
    <definedName name="Class6Errors">'6 - TV Stands &amp; Enterta-WUO_ERR'!$B$8:$EU$22</definedName>
    <definedName name="Class6Headers">'6 - TV Stands &amp; Enterta'!$B$4:$EU$4</definedName>
    <definedName name="Class6Tracker">'6 - TV Stands &amp; Enterta-WUO_TRK'!$B$8:$EU$22</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Documents'!$B$7:$H$7</definedName>
    <definedName name="media__documentsErrors">'Additional Documents-WUO_ERR'!$B$7:$H$7</definedName>
    <definedName name="media__documentsHeaders">'Additional Documents'!$B$4:$H$4</definedName>
    <definedName name="media__documentsTracker">'Additional Documents-WUO_TRK'!$B$7:$H$7</definedName>
    <definedName name="media__imagesAnswers">'Additional Images'!$B$7:$D$7</definedName>
    <definedName name="media__imagesErrors">'Additional Images-WUO_ERR'!$B$7:$D$7</definedName>
    <definedName name="media__imagesHeaders">'Additional Images'!$B$4:$D$4</definedName>
    <definedName name="media__imagesTracker">'Additional Images-WUO_TRK'!$B$7:$D$7</definedName>
    <definedName name="media__videosAnswers">'Additional Videos'!$B$7:$D$7</definedName>
    <definedName name="media__videosErrors">'Additional Videos-WUO_ERR'!$B$7:$D$7</definedName>
    <definedName name="media__videosHeaders">'Additional Videos'!$B$4:$D$4</definedName>
    <definedName name="media__videosTracker">'Additional Videos-WUO_TRK'!$B$7:$D$7</definedName>
    <definedName name="propSixtyFive__chemicalsAnswers">'Additional Chemicals'!$B$7:$E$7</definedName>
    <definedName name="propSixtyFive__chemicalsErrors">'Additional Chemicals-WUO_ERR'!$B$7:$E$7</definedName>
    <definedName name="propSixtyFive__chemicalsHeaders">'Additional Chemicals'!$B$4:$E$4</definedName>
    <definedName name="propSixtyFive__chemicalsTracker">'Additional Chemicals-WUO_TRK'!$B$7:$E$7</definedName>
    <definedName name="shippingAndFulfillment__cartonsAnswers">'Additional Cartons'!$B$7:$G$7</definedName>
    <definedName name="shippingAndFulfillment__cartonsErrors">'Additional Cartons-WUO_ERR'!$B$7:$G$7</definedName>
    <definedName name="shippingAndFulfillment__cartonsHeaders">'Additional Cartons'!$B$4:$G$4</definedName>
    <definedName name="shippingAndFulfillment__cartonsTracker">'Additional Cartons-WUO_TRK'!$B$7:$G$7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Calibri"/>
      <family val="2"/>
      <color theme="10"/>
      <sz val="11"/>
      <u val="single"/>
    </font>
    <font>
      <name val="Tahoma"/>
      <family val="2"/>
      <color indexed="81"/>
      <sz val="8"/>
    </font>
  </fonts>
  <fills count="20">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2">
    <xf numFmtId="0" fontId="0" fillId="0" borderId="0"/>
    <xf numFmtId="0" fontId="9" fillId="0" borderId="0" applyAlignment="1" applyProtection="1">
      <alignment vertical="top"/>
      <protection locked="0" hidden="0"/>
    </xf>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5" fillId="0" borderId="0" applyAlignment="1" pivotButton="0" quotePrefix="0" xfId="0">
      <alignment wrapText="1"/>
    </xf>
    <xf numFmtId="0" fontId="4" fillId="0" borderId="7"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0" fillId="16" borderId="9" applyAlignment="1" pivotButton="0" quotePrefix="0" xfId="0">
      <alignment horizontal="center" vertical="top" wrapText="1"/>
    </xf>
    <xf numFmtId="0" fontId="7" fillId="17" borderId="8" applyAlignment="1" pivotButton="0" quotePrefix="0" xfId="0">
      <alignment horizontal="center" vertical="center"/>
    </xf>
    <xf numFmtId="0" fontId="3" fillId="18"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19"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0" fillId="0" borderId="0" applyProtection="1" pivotButton="0" quotePrefix="0" xfId="0">
      <protection locked="0" hidden="0"/>
    </xf>
    <xf numFmtId="0" fontId="6" fillId="18" borderId="9" applyAlignment="1" pivotButton="0" quotePrefix="0" xfId="0">
      <alignment horizontal="center" vertical="center" wrapText="1"/>
    </xf>
    <xf numFmtId="0" fontId="9" fillId="0" borderId="0" pivotButton="0" quotePrefix="0" xfId="1"/>
    <xf numFmtId="0" fontId="0" fillId="0" borderId="13" pivotButton="0" quotePrefix="0" xfId="0"/>
    <xf numFmtId="0" fontId="0" fillId="0" borderId="14" pivotButton="0" quotePrefix="0" xfId="0"/>
  </cellXfs>
  <cellStyles count="2">
    <cellStyle name="Normal" xfId="0" builtinId="0"/>
    <cellStyle name="Hyperlink" xfId="1" builtinId="8"/>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s>
</file>

<file path=xl/worksheets/sheet1.xml><?xml version="1.0" encoding="utf-8"?>
<worksheet xmlns="http://schemas.openxmlformats.org/spreadsheetml/2006/main">
  <sheetPr>
    <outlinePr summaryBelow="1" summaryRight="1"/>
    <pageSetUpPr/>
  </sheetPr>
  <dimension ref="A1:D40"/>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Conditional Formatting</t>
        </is>
      </c>
    </row>
    <row r="3">
      <c r="A3" s="4" t="inlineStr">
        <is>
          <t>Some answers to questions on the spec sheet are dependent on upstream responses, whether they are related to attributes like material type, existence of features</t>
        </is>
      </c>
      <c r="C3" s="5" t="inlineStr">
        <is>
          <t>Legends</t>
        </is>
      </c>
      <c r="D3" s="5" t="n"/>
    </row>
    <row r="4">
      <c r="A4" s="4" t="inlineStr">
        <is>
          <t>or compliance. Real-time cell coloring per the legend indicates whether an input is required, has an error or has a conditional rule applied.</t>
        </is>
      </c>
      <c r="C4" s="6" t="inlineStr">
        <is>
          <t>Cell Fill Colors</t>
        </is>
      </c>
      <c r="D4" s="7" t="n"/>
    </row>
    <row r="5">
      <c r="A5" s="3" t="inlineStr">
        <is>
          <t>Error Guidance</t>
        </is>
      </c>
      <c r="C5" s="8" t="inlineStr">
        <is>
          <t>Light Red</t>
        </is>
      </c>
      <c r="D5" s="9" t="inlineStr">
        <is>
          <t>Missing required data</t>
        </is>
      </c>
    </row>
    <row r="6">
      <c r="A6" s="4" t="inlineStr">
        <is>
          <t>Errors are highlighted on the Error Summary Tab which shows a summary of all errors across all sheets with high level details and hyperlinks to the corresponding</t>
        </is>
      </c>
      <c r="C6" s="10" t="inlineStr">
        <is>
          <t>Gray</t>
        </is>
      </c>
      <c r="D6" s="9" t="inlineStr">
        <is>
          <t>Not required/will be autofilled*</t>
        </is>
      </c>
    </row>
    <row r="7">
      <c r="A7" s="4" t="inlineStr">
        <is>
          <t>cell where the error occurred. Additionally, a new Error Status Column at the beginning of each class sheet will show the status of each row and will display the first error</t>
        </is>
      </c>
      <c r="C7" s="11" t="inlineStr">
        <is>
          <t>Red</t>
        </is>
      </c>
      <c r="D7" s="9" t="inlineStr">
        <is>
          <t>Error/incorrect answer</t>
        </is>
      </c>
    </row>
    <row r="8">
      <c r="A8" s="4" t="inlineStr">
        <is>
          <t>error message in that row, and will update as errors are resolved from left to right.</t>
        </is>
      </c>
      <c r="C8" s="12" t="inlineStr">
        <is>
          <t>Blue</t>
        </is>
      </c>
      <c r="D8" s="9" t="inlineStr">
        <is>
          <t>Autofill suggested by Wayfair (review needed)</t>
        </is>
      </c>
    </row>
    <row r="9">
      <c r="C9" s="13" t="inlineStr">
        <is>
          <t>Yellow</t>
        </is>
      </c>
      <c r="D9" s="9" t="inlineStr">
        <is>
          <t>Warning</t>
        </is>
      </c>
    </row>
    <row r="10">
      <c r="A10" s="5" t="inlineStr">
        <is>
          <t>Class Sheet Instructions</t>
        </is>
      </c>
      <c r="C10" s="14" t="inlineStr">
        <is>
          <t>No fill</t>
        </is>
      </c>
      <c r="D10" s="15" t="inlineStr">
        <is>
          <t>Validated/no action required</t>
        </is>
      </c>
    </row>
    <row r="11">
      <c r="D11" s="4" t="inlineStr">
        <is>
          <t>* For products that have already been submitted, the entire row will be filled gray and cannot be edited further</t>
        </is>
      </c>
    </row>
    <row r="12">
      <c r="A12" s="4" t="inlineStr">
        <is>
          <t>All data provided in the class sheet feeds directly to the customer-facing Product Details Page (PDP), optimizes search and enables order fulfillment. Please ensure the</t>
        </is>
      </c>
    </row>
    <row r="13">
      <c r="A13" s="4" t="inlineStr">
        <is>
          <t>data provided is accurate and as detailed as possible.</t>
        </is>
      </c>
      <c r="C13" s="6" t="inlineStr">
        <is>
          <t>Data Priority</t>
        </is>
      </c>
      <c r="D13" s="7" t="n"/>
    </row>
    <row r="14">
      <c r="A14" s="16" t="inlineStr">
        <is>
          <t>Notes:</t>
        </is>
      </c>
      <c r="C14" s="17" t="inlineStr">
        <is>
          <t>Required</t>
        </is>
      </c>
      <c r="D14" s="9" t="inlineStr">
        <is>
          <t>Data required for product to be live on site</t>
        </is>
      </c>
    </row>
    <row r="15">
      <c r="A15" s="4" t="inlineStr">
        <is>
          <t xml:space="preserve">  •  Column headers provide additional information on the data required for each column.</t>
        </is>
      </c>
      <c r="C15" s="17" t="inlineStr">
        <is>
          <t>Recommended</t>
        </is>
      </c>
      <c r="D15" s="9" t="inlineStr">
        <is>
          <t>Not required but recommended to improve search and browse</t>
        </is>
      </c>
    </row>
    <row r="16">
      <c r="A16" s="4" t="inlineStr">
        <is>
          <t xml:space="preserve">  •  Completing Recommended and Additional fields further enhances the customer experience and improves the quality of listings for better product discovery.</t>
        </is>
      </c>
      <c r="C16" s="17" t="inlineStr">
        <is>
          <t>Additional</t>
        </is>
      </c>
      <c r="D16" s="9" t="inlineStr">
        <is>
          <t>Optional but enhances listings for customers</t>
        </is>
      </c>
    </row>
    <row r="17">
      <c r="A17" s="4" t="inlineStr">
        <is>
          <t xml:space="preserve">  •  Marketing Copy should provide a compelling, informative overview of the product, ensuring it effectively highlights key features, benefits, and use cases.</t>
        </is>
      </c>
      <c r="C17" s="14" t="inlineStr">
        <is>
          <t>Conditional</t>
        </is>
      </c>
      <c r="D17" s="15" t="inlineStr">
        <is>
          <t>Data may be required based on prior responses</t>
        </is>
      </c>
    </row>
    <row r="18">
      <c r="A18" s="4" t="inlineStr">
        <is>
          <t xml:space="preserve">       Incorporating comprehensive, descriptive language will enable future enhancements for capturing and improving product tagging.</t>
        </is>
      </c>
    </row>
    <row r="19">
      <c r="A19" s="4" t="inlineStr">
        <is>
          <t xml:space="preserve">       ◦  Provide key selling point(s)/feature(s) that differentiate your product and inform customers about your product and encourage purchase.</t>
        </is>
      </c>
      <c r="C19" s="6" t="inlineStr">
        <is>
          <t>Data Type</t>
        </is>
      </c>
      <c r="D19" s="7" t="n"/>
    </row>
    <row r="20">
      <c r="A20" s="4" t="inlineStr">
        <is>
          <t xml:space="preserve">       ◦  Either Marketing Copy OR at least 3 Feature Bullets are required. Feature bullets will be displayed on Wayfair PDP in bulleted form.</t>
        </is>
      </c>
      <c r="C20" s="17" t="inlineStr">
        <is>
          <t>Text</t>
        </is>
      </c>
      <c r="D20" s="9" t="inlineStr">
        <is>
          <t>Enter a text-based response</t>
        </is>
      </c>
    </row>
    <row r="21">
      <c r="A21" s="4" t="inlineStr">
        <is>
          <t xml:space="preserve">  •  The order in which media is input may not be reflected in order of imagery on the product page.</t>
        </is>
      </c>
      <c r="C21" s="17" t="inlineStr">
        <is>
          <t>Single-Select</t>
        </is>
      </c>
      <c r="D21" s="9" t="inlineStr">
        <is>
          <t>Select one option from a list of provided options (listed in a dropdown on the cell)</t>
        </is>
      </c>
    </row>
    <row r="22">
      <c r="A22" s="4" t="inlineStr">
        <is>
          <t xml:space="preserve">  •  If all products in a class have the same answer to a question, a default value can be set. An answer entered in the Default Answer row will be applied to all products</t>
        </is>
      </c>
      <c r="C22" s="17" t="inlineStr">
        <is>
          <t>Multi-Select</t>
        </is>
      </c>
      <c r="D22" s="9" t="inlineStr">
        <is>
          <t>Enter one or more options from a list of provided options, separated using a semi-colon (;)</t>
        </is>
      </c>
    </row>
    <row r="23">
      <c r="A23" s="4" t="inlineStr">
        <is>
          <t xml:space="preserve">      in that class automatically. Additional products added to this class in the future will have the same default value applied as well. For any products that have a</t>
        </is>
      </c>
      <c r="C23" s="17" t="inlineStr">
        <is>
          <t>Number*</t>
        </is>
      </c>
      <c r="D23" s="9" t="inlineStr">
        <is>
          <t>Enter a decimal numeric response with up to 2 decimal points</t>
        </is>
      </c>
    </row>
    <row r="24">
      <c r="A24" s="4" t="inlineStr">
        <is>
          <t xml:space="preserve">      different answer than others in the class, enter the answer manually to the applicable row to bypass the default just for that question and product.</t>
        </is>
      </c>
      <c r="C24" s="17" t="inlineStr">
        <is>
          <t>Whole Number*</t>
        </is>
      </c>
      <c r="D24" s="9" t="inlineStr">
        <is>
          <t>Enter an integer (whole number) numeric response</t>
        </is>
      </c>
    </row>
    <row r="25">
      <c r="C25" s="14" t="inlineStr">
        <is>
          <t>Yes or No</t>
        </is>
      </c>
      <c r="D25" s="15" t="inlineStr">
        <is>
          <t>Enter a Yes, No or Does Not Apply response (listed in a dropdown on the cell)</t>
        </is>
      </c>
    </row>
    <row r="26">
      <c r="A26" s="5" t="inlineStr">
        <is>
          <t>Additional Tabs Instructions</t>
        </is>
      </c>
      <c r="D26" s="4" t="inlineStr">
        <is>
          <t>* Does Not Apply is a valid response when applicable</t>
        </is>
      </c>
    </row>
    <row r="27">
      <c r="A27" s="3" t="inlineStr">
        <is>
          <t>Additional Cartons</t>
        </is>
      </c>
    </row>
    <row r="28">
      <c r="A28" s="4" t="inlineStr">
        <is>
          <t>If a product ships in more than 5 cartons, use the Additional Cartons tab to submit data for cartons 6 and beyond. To add additional cartons, provide the Supplier Part</t>
        </is>
      </c>
    </row>
    <row r="29">
      <c r="A29" s="4" t="inlineStr">
        <is>
          <t>Number followed by corresponding data for each carton.</t>
        </is>
      </c>
    </row>
    <row r="30">
      <c r="A30" s="3" t="inlineStr">
        <is>
          <t>Additional Chemicals</t>
        </is>
      </c>
    </row>
    <row r="31">
      <c r="A31" s="4" t="inlineStr">
        <is>
          <t>If your product contains more than 5 chemicals that need to be reported for Proposition 65, use the Additional Chemicals tab to add additional data.</t>
        </is>
      </c>
    </row>
    <row r="32">
      <c r="A32" s="3" t="inlineStr">
        <is>
          <t>Additional Media</t>
        </is>
      </c>
    </row>
    <row r="33">
      <c r="A33" s="4" t="inlineStr">
        <is>
          <t>If a product has more media files than there are columns for in the class sheet, use the Additional Images, Videos or Documents tabs to add additional data.</t>
        </is>
      </c>
    </row>
    <row r="34">
      <c r="A34" s="16" t="inlineStr">
        <is>
          <t>Notes:</t>
        </is>
      </c>
    </row>
    <row r="35">
      <c r="A35" s="4" t="inlineStr">
        <is>
          <t xml:space="preserve">  •  A maximum of 3 videos can be shown on a product display page in the media tray. Additional videos can be showcased within Waymore content.</t>
        </is>
      </c>
    </row>
    <row r="36">
      <c r="A36" s="3" t="inlineStr">
        <is>
          <t>Valid Values</t>
        </is>
      </c>
    </row>
    <row r="37">
      <c r="A37" s="4" t="inlineStr">
        <is>
          <t>The Valid Values tab shows all acceptable answers to single- and multi-select questions. Hyperlinks below each column header will bring you to the corresponding</t>
        </is>
      </c>
    </row>
    <row r="38">
      <c r="A38" s="4" t="inlineStr">
        <is>
          <t>values list on this tab.</t>
        </is>
      </c>
    </row>
    <row r="39">
      <c r="A39" s="3" t="inlineStr">
        <is>
          <t>Failed Products</t>
        </is>
      </c>
    </row>
    <row r="40">
      <c r="A40"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_xlfn.LET(_xlpm.class6Data, GetSheetStatusData(Class6Tracker, Class6Errors),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_xlfn.VSTACK(_xlpm.class6Data,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_xlfn.LET(_xlpm.class6Data, GetSheetNameData(Class6Tracker, Class6Errors, "6 - TV Stands &amp; Enterta"),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_xlfn.VSTACK(_xlpm.class6Data, _xlpm.shippingAndFulfillment__cartonsData, _xlpm.propSixtyFive__chemicalsData, _xlpm.media__imagesData, _xlpm.media__videosData, _xlpm.media__documentsData), _xlfn._xlws.FILTER(_xlpm.stackedData, _xlpm.stackedData&lt;&gt;"", ""))</f>
        <v/>
      </c>
      <c r="D3" s="20">
        <f t="array" ref="D3">_xlfn.LET(_xlpm.class6PartNumbers, GetSheetSupplierPartNumbers(Class6Tracker, Class6Errors, '6 - TV Stands &amp; Enterta'!B:B),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_xlfn.VSTACK(_xlpm.class6PartNumbers,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_xlfn.LET(_xlpm.class6ProductNames, GetSheetProductNames(Class6Tracker, Class6Errors, '6 - TV Stands &amp; Enterta'!G:G),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_xlfn.VSTACK(_xlpm.class6ProductNames,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_xlpm.class6QuestionDisplayNames, GetErrorQuestionDisplayNames(Class6Headers, Class6Tracker, Class6Errors)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_xlfn.VSTACK(_xlpm.class6QuestionDisplayNames,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_xlpm.class6ProvidedAnswers, GetFilteredProvidedAnswers(Class6Answers, Class6Errors, Class6Tracker)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_xlfn.VSTACK(_xlpm.class6ProvidedAnswers,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_xlfn.LET(_xlpm.class6ErrorMessages, _xlfn.FILTER(
                    _xlfn.TOCOL(Class6Errors),
                    _xlfn.TOCOL((Class6Errors &lt;&gt; "") * (Class6Tracker &lt;&gt; "Valid") * (Class6Tracker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_xlfn.VSTACK(_xlpm.class6ErrorMessages,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_xlfn.LET(_xlpm.class6Addresses, GetSheetLocationAddresses(Class6Tracker, Class6Errors),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_xlfn.VSTACK(_xlpm.class6Addresses,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V908"/>
  <sheetViews>
    <sheetView workbookViewId="0">
      <selection activeCell="A1" sqref="A1"/>
    </sheetView>
  </sheetViews>
  <sheetFormatPr baseColWidth="8" defaultRowHeight="15"/>
  <sheetData>
    <row r="1">
      <c r="A1" t="inlineStr">
        <is>
          <t>{"brand_catalog_id": 1, "previous_upload_id": 557143, "template_type": "DEFAULT_QUESTIONS", "supplier_id": 455634, "template_context": "STANDARD", "app_version": "v2", "product_count": 0, "default_answers_included": true, "default_answers_supported": true, "use_legacy_excel_format": false, "include_variant_grouping": false, "download_template_request_id": "9dccca51-4ea6-414d-981d-669de11ec959",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Entertainment Center</t>
        </is>
      </c>
      <c r="C8" t="inlineStr">
        <is>
          <t>Yes</t>
        </is>
      </c>
      <c r="D8" t="inlineStr">
        <is>
          <t>Yes</t>
        </is>
      </c>
      <c r="E8" t="inlineStr">
        <is>
          <t>No</t>
        </is>
      </c>
      <c r="F8" t="inlineStr">
        <is>
          <t>Yes</t>
        </is>
      </c>
      <c r="G8" t="inlineStr">
        <is>
          <t>Yes</t>
        </is>
      </c>
      <c r="H8" t="inlineStr">
        <is>
          <t>Yes</t>
        </is>
      </c>
      <c r="I8" t="inlineStr">
        <is>
          <t>No</t>
        </is>
      </c>
      <c r="J8" t="inlineStr">
        <is>
          <t>Yes</t>
        </is>
      </c>
      <c r="K8" t="inlineStr">
        <is>
          <t>Yes</t>
        </is>
      </c>
      <c r="L8" t="inlineStr">
        <is>
          <t>Yes</t>
        </is>
      </c>
      <c r="M8" t="inlineStr">
        <is>
          <t>Yes</t>
        </is>
      </c>
      <c r="N8" t="inlineStr">
        <is>
          <t>No</t>
        </is>
      </c>
      <c r="O8" t="inlineStr">
        <is>
          <t>Yes</t>
        </is>
      </c>
      <c r="P8" t="inlineStr">
        <is>
          <t>No</t>
        </is>
      </c>
      <c r="Q8" t="inlineStr">
        <is>
          <t>No</t>
        </is>
      </c>
      <c r="R8" t="inlineStr">
        <is>
          <t>No</t>
        </is>
      </c>
      <c r="S8" t="inlineStr">
        <is>
          <t>Yes</t>
        </is>
      </c>
      <c r="T8" t="inlineStr">
        <is>
          <t>No</t>
        </is>
      </c>
      <c r="U8" t="inlineStr">
        <is>
          <t>No</t>
        </is>
      </c>
      <c r="V8" t="inlineStr">
        <is>
          <t>Dovetail</t>
        </is>
      </c>
      <c r="W8" t="inlineStr">
        <is>
          <t>Yes</t>
        </is>
      </c>
      <c r="X8" t="inlineStr">
        <is>
          <t>Lithium Metal</t>
        </is>
      </c>
      <c r="Y8" t="inlineStr">
        <is>
          <t>Cell</t>
        </is>
      </c>
      <c r="Z8" t="inlineStr">
        <is>
          <t>1</t>
        </is>
      </c>
      <c r="AA8" t="inlineStr">
        <is>
          <t>Stand alone</t>
        </is>
      </c>
      <c r="AB8" t="inlineStr">
        <is>
          <t>Cells exceeding 5 grams</t>
        </is>
      </c>
      <c r="AC8" t="inlineStr">
        <is>
          <t>Cells of between 20w/h and 60w/h</t>
        </is>
      </c>
      <c r="AD8" t="inlineStr">
        <is>
          <t>2.5kg or less</t>
        </is>
      </c>
      <c r="AE8" t="inlineStr">
        <is>
          <t>Yes</t>
        </is>
      </c>
      <c r="AF8" t="inlineStr">
        <is>
          <t>No</t>
        </is>
      </c>
      <c r="AG8" t="inlineStr">
        <is>
          <t>Yes</t>
        </is>
      </c>
      <c r="AH8" t="inlineStr">
        <is>
          <t>Yes</t>
        </is>
      </c>
      <c r="AI8" t="inlineStr">
        <is>
          <t>Direct Vent</t>
        </is>
      </c>
      <c r="AJ8" t="inlineStr">
        <is>
          <t>Yes</t>
        </is>
      </c>
      <c r="AK8" t="inlineStr">
        <is>
          <t>Yes</t>
        </is>
      </c>
      <c r="AL8" t="inlineStr">
        <is>
          <t>Yes</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1</t>
        </is>
      </c>
      <c r="AV8" t="inlineStr">
        <is>
          <t>I</t>
        </is>
      </c>
      <c r="AW8" t="inlineStr">
        <is>
          <t>&gt;0 - ≤25ml</t>
        </is>
      </c>
      <c r="AX8" t="inlineStr">
        <is>
          <t>Yes</t>
        </is>
      </c>
      <c r="AY8" t="inlineStr">
        <is>
          <t>No</t>
        </is>
      </c>
      <c r="AZ8" t="inlineStr">
        <is>
          <t>No</t>
        </is>
      </c>
      <c r="BA8" t="inlineStr">
        <is>
          <t>1A</t>
        </is>
      </c>
      <c r="BB8" t="inlineStr">
        <is>
          <t>Yes</t>
        </is>
      </c>
      <c r="BC8" t="inlineStr">
        <is>
          <t>BIFMA Accredited</t>
        </is>
      </c>
      <c r="BD8" t="inlineStr">
        <is>
          <t>28"</t>
        </is>
      </c>
      <c r="BE8" t="inlineStr">
        <is>
          <t>Yes</t>
        </is>
      </c>
      <c r="BF8" t="inlineStr">
        <is>
          <t>No Assembly Needed</t>
        </is>
      </c>
      <c r="BG8" t="inlineStr">
        <is>
          <t>30 Days</t>
        </is>
      </c>
      <c r="BH8" t="inlineStr">
        <is>
          <t>Yes</t>
        </is>
      </c>
      <c r="BI8" t="inlineStr">
        <is>
          <t>Yes</t>
        </is>
      </c>
      <c r="BJ8" t="inlineStr">
        <is>
          <t>Full</t>
        </is>
      </c>
      <c r="BK8" t="inlineStr">
        <is>
          <t>CASA DESIGN FURNITURE</t>
        </is>
      </c>
      <c r="BL8" t="inlineStr">
        <is>
          <t>US</t>
        </is>
      </c>
      <c r="BM8" t="inlineStr">
        <is>
          <t>Arabic</t>
        </is>
      </c>
      <c r="BN8" t="inlineStr">
        <is>
          <t>No</t>
        </is>
      </c>
      <c r="BO8" t="inlineStr">
        <is>
          <t>A-alpha-C (2-Amino-9H-pyrido[2,3-b]indole)</t>
        </is>
      </c>
      <c r="BP8" t="inlineStr">
        <is>
          <t>United States</t>
        </is>
      </c>
      <c r="BQ8" t="inlineStr">
        <is>
          <t>Small Parcel</t>
        </is>
      </c>
      <c r="BR8" t="inlineStr">
        <is>
          <t>50</t>
        </is>
      </c>
      <c r="BS8" t="inlineStr">
        <is>
          <t>0</t>
        </is>
      </c>
      <c r="BT8" t="inlineStr">
        <is>
          <t>0</t>
        </is>
      </c>
      <c r="BU8" t="inlineStr">
        <is>
          <t>No</t>
        </is>
      </c>
      <c r="BV8" t="inlineStr">
        <is>
          <t>No</t>
        </is>
      </c>
    </row>
    <row r="9">
      <c r="A9" t="inlineStr">
        <is>
          <t>Multimedia Storage</t>
        </is>
      </c>
      <c r="B9" t="inlineStr">
        <is>
          <t>TV Stand</t>
        </is>
      </c>
      <c r="C9" t="inlineStr">
        <is>
          <t>No</t>
        </is>
      </c>
      <c r="D9" t="inlineStr">
        <is>
          <t>No</t>
        </is>
      </c>
      <c r="E9" t="inlineStr">
        <is>
          <t>Yes</t>
        </is>
      </c>
      <c r="F9" t="inlineStr">
        <is>
          <t>No</t>
        </is>
      </c>
      <c r="G9" t="inlineStr">
        <is>
          <t>No</t>
        </is>
      </c>
      <c r="H9" t="inlineStr">
        <is>
          <t>No</t>
        </is>
      </c>
      <c r="I9" t="inlineStr">
        <is>
          <t>Yes</t>
        </is>
      </c>
      <c r="J9" t="inlineStr">
        <is>
          <t>No</t>
        </is>
      </c>
      <c r="K9" t="inlineStr">
        <is>
          <t>No</t>
        </is>
      </c>
      <c r="L9" t="inlineStr">
        <is>
          <t>No</t>
        </is>
      </c>
      <c r="M9" t="inlineStr">
        <is>
          <t>No</t>
        </is>
      </c>
      <c r="N9" t="inlineStr">
        <is>
          <t>Yes</t>
        </is>
      </c>
      <c r="O9" t="inlineStr">
        <is>
          <t>No</t>
        </is>
      </c>
      <c r="P9" t="inlineStr">
        <is>
          <t>Yes</t>
        </is>
      </c>
      <c r="Q9" t="inlineStr">
        <is>
          <t>Yes</t>
        </is>
      </c>
      <c r="R9" t="inlineStr">
        <is>
          <t>Yes</t>
        </is>
      </c>
      <c r="S9" t="inlineStr">
        <is>
          <t>No</t>
        </is>
      </c>
      <c r="T9" t="inlineStr">
        <is>
          <t>Yes</t>
        </is>
      </c>
      <c r="U9" t="inlineStr">
        <is>
          <t>Yes</t>
        </is>
      </c>
      <c r="V9" t="inlineStr">
        <is>
          <t>Mortise and Tenon</t>
        </is>
      </c>
      <c r="W9" t="inlineStr">
        <is>
          <t>No</t>
        </is>
      </c>
      <c r="X9" t="inlineStr">
        <is>
          <t>Lithium Ion / Lithium Polymer</t>
        </is>
      </c>
      <c r="Y9" t="inlineStr">
        <is>
          <t>Battery</t>
        </is>
      </c>
      <c r="Z9" t="inlineStr">
        <is>
          <t>2</t>
        </is>
      </c>
      <c r="AA9" t="inlineStr">
        <is>
          <t>Contained in product</t>
        </is>
      </c>
      <c r="AB9" t="inlineStr">
        <is>
          <t>Batteries of 2 grams or less</t>
        </is>
      </c>
      <c r="AC9" t="inlineStr">
        <is>
          <t>Cells exceeding 60w/h</t>
        </is>
      </c>
      <c r="AD9" t="inlineStr">
        <is>
          <t>2.5kg to 5kg</t>
        </is>
      </c>
      <c r="AE9" t="inlineStr">
        <is>
          <t>No</t>
        </is>
      </c>
      <c r="AF9" t="inlineStr">
        <is>
          <t>Yes</t>
        </is>
      </c>
      <c r="AG9" t="inlineStr">
        <is>
          <t>No</t>
        </is>
      </c>
      <c r="AH9" t="inlineStr">
        <is>
          <t>No</t>
        </is>
      </c>
      <c r="AI9" t="inlineStr">
        <is>
          <t>Natural Vent</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2.2</t>
        </is>
      </c>
      <c r="AV9" t="inlineStr">
        <is>
          <t>III</t>
        </is>
      </c>
      <c r="AW9" t="inlineStr">
        <is>
          <t>&gt;1L - ≤5L</t>
        </is>
      </c>
      <c r="AX9" t="inlineStr">
        <is>
          <t>No</t>
        </is>
      </c>
      <c r="AY9" t="inlineStr">
        <is>
          <t>Yes</t>
        </is>
      </c>
      <c r="AZ9" t="inlineStr">
        <is>
          <t>Yes</t>
        </is>
      </c>
      <c r="BA9" t="inlineStr">
        <is>
          <t>3A or 6A</t>
        </is>
      </c>
      <c r="BB9" t="inlineStr">
        <is>
          <t>No</t>
        </is>
      </c>
      <c r="BC9" t="inlineStr">
        <is>
          <t>BIFMA Equivalent</t>
        </is>
      </c>
      <c r="BD9" t="inlineStr">
        <is>
          <t>24"</t>
        </is>
      </c>
      <c r="BE9" t="inlineStr">
        <is>
          <t>No</t>
        </is>
      </c>
      <c r="BF9" t="inlineStr">
        <is>
          <t>Minimal Assembly Needed</t>
        </is>
      </c>
      <c r="BG9" t="inlineStr">
        <is>
          <t>60 Days</t>
        </is>
      </c>
      <c r="BH9" t="inlineStr">
        <is>
          <t>No</t>
        </is>
      </c>
      <c r="BI9" t="inlineStr">
        <is>
          <t>No</t>
        </is>
      </c>
      <c r="BJ9" t="inlineStr">
        <is>
          <t>Limited</t>
        </is>
      </c>
      <c r="BL9" t="inlineStr">
        <is>
          <t>UK</t>
        </is>
      </c>
      <c r="BM9" t="inlineStr">
        <is>
          <t>Bulgarian</t>
        </is>
      </c>
      <c r="BN9" t="inlineStr">
        <is>
          <t>Yes</t>
        </is>
      </c>
      <c r="BO9" t="inlineStr">
        <is>
          <t>Abiraterone acetate</t>
        </is>
      </c>
      <c r="BP9" t="inlineStr">
        <is>
          <t>Canada</t>
        </is>
      </c>
      <c r="BQ9" t="inlineStr">
        <is>
          <t>LTL</t>
        </is>
      </c>
      <c r="BR9" t="inlineStr">
        <is>
          <t>55</t>
        </is>
      </c>
      <c r="BS9" t="inlineStr">
        <is>
          <t>24</t>
        </is>
      </c>
      <c r="BT9" t="inlineStr">
        <is>
          <t>24</t>
        </is>
      </c>
      <c r="BU9" t="inlineStr">
        <is>
          <t>Yes</t>
        </is>
      </c>
      <c r="BV9" t="inlineStr">
        <is>
          <t>Yes</t>
        </is>
      </c>
    </row>
    <row r="10">
      <c r="A10" t="inlineStr">
        <is>
          <t>Speaker Stands</t>
        </is>
      </c>
      <c r="C10" t="inlineStr">
        <is>
          <t>Unavailable</t>
        </is>
      </c>
      <c r="F10" t="inlineStr">
        <is>
          <t>Does Not Apply</t>
        </is>
      </c>
      <c r="H10" t="inlineStr">
        <is>
          <t>Unavailable</t>
        </is>
      </c>
      <c r="I10" t="inlineStr">
        <is>
          <t>Unavailable</t>
        </is>
      </c>
      <c r="J10" t="inlineStr">
        <is>
          <t>Unavailable</t>
        </is>
      </c>
      <c r="K10" t="inlineStr">
        <is>
          <t>Does Not Apply</t>
        </is>
      </c>
      <c r="L10" t="inlineStr">
        <is>
          <t>Unavailable</t>
        </is>
      </c>
      <c r="M10" t="inlineStr">
        <is>
          <t>Unavailable</t>
        </is>
      </c>
      <c r="N10" t="inlineStr">
        <is>
          <t>Unavailable</t>
        </is>
      </c>
      <c r="O10" t="inlineStr">
        <is>
          <t>Unavailable</t>
        </is>
      </c>
      <c r="T10" t="inlineStr">
        <is>
          <t>Unavailable</t>
        </is>
      </c>
      <c r="U10" t="inlineStr">
        <is>
          <t>Does Not Apply</t>
        </is>
      </c>
      <c r="V10" t="inlineStr">
        <is>
          <t>Rabbet Joint</t>
        </is>
      </c>
      <c r="W10" t="inlineStr">
        <is>
          <t>Unavailable</t>
        </is>
      </c>
      <c r="X10" t="inlineStr">
        <is>
          <t>Nickel Cadmium</t>
        </is>
      </c>
      <c r="Y10" t="inlineStr">
        <is>
          <t>Button Cell</t>
        </is>
      </c>
      <c r="Z10" t="inlineStr">
        <is>
          <t>3</t>
        </is>
      </c>
      <c r="AA10" t="inlineStr">
        <is>
          <t>Packed with product</t>
        </is>
      </c>
      <c r="AB10" t="inlineStr">
        <is>
          <t>Batteries of between 2 and 25 grams</t>
        </is>
      </c>
      <c r="AC10" t="inlineStr">
        <is>
          <t>Cells of 20w/h or less</t>
        </is>
      </c>
      <c r="AD10" t="inlineStr">
        <is>
          <t>More than 10kg</t>
        </is>
      </c>
      <c r="AE10" t="inlineStr">
        <is>
          <t>Unavailable</t>
        </is>
      </c>
      <c r="AF10" t="inlineStr">
        <is>
          <t>Unavailable</t>
        </is>
      </c>
      <c r="AG10" t="inlineStr">
        <is>
          <t>Does Not Apply</t>
        </is>
      </c>
      <c r="AH10" t="inlineStr">
        <is>
          <t>Unavailable</t>
        </is>
      </c>
      <c r="AI10" t="inlineStr">
        <is>
          <t>Vent Free</t>
        </is>
      </c>
      <c r="AJ10" t="inlineStr">
        <is>
          <t>Unavailable</t>
        </is>
      </c>
      <c r="AK10" t="inlineStr">
        <is>
          <t>Unavailable</t>
        </is>
      </c>
      <c r="AL10" t="inlineStr">
        <is>
          <t>Unavailable</t>
        </is>
      </c>
      <c r="AM10" t="inlineStr">
        <is>
          <t>Does Not Apply</t>
        </is>
      </c>
      <c r="AN10" t="inlineStr">
        <is>
          <t>Does Not Apply</t>
        </is>
      </c>
      <c r="AO10" t="inlineStr">
        <is>
          <t>Does Not Apply</t>
        </is>
      </c>
      <c r="AP10" t="inlineStr">
        <is>
          <t>Yes, Compliance Verified Program Member</t>
        </is>
      </c>
      <c r="AQ10" t="inlineStr">
        <is>
          <t>Does Not Apply</t>
        </is>
      </c>
      <c r="AT10" t="inlineStr">
        <is>
          <t>Yes, Compliance Verified Program Member</t>
        </is>
      </c>
      <c r="AU10" t="inlineStr">
        <is>
          <t>2.1</t>
        </is>
      </c>
      <c r="AV10" t="inlineStr">
        <is>
          <t>No Packing Group</t>
        </is>
      </c>
      <c r="AW10" t="inlineStr">
        <is>
          <t>&gt;0.5L - ≤1L</t>
        </is>
      </c>
      <c r="AY10" t="inlineStr">
        <is>
          <t>Yes, Compliance Verified Program Member</t>
        </is>
      </c>
      <c r="AZ10" t="inlineStr">
        <is>
          <t>Yes, Compliance Verified Program Member</t>
        </is>
      </c>
      <c r="BA10" t="inlineStr">
        <is>
          <t>Does Not Apply</t>
        </is>
      </c>
      <c r="BB10" t="inlineStr">
        <is>
          <t>Does Not Apply</t>
        </is>
      </c>
      <c r="BC10" t="inlineStr">
        <is>
          <t>Contract Grade Accredited</t>
        </is>
      </c>
      <c r="BD10" t="inlineStr">
        <is>
          <t>40"</t>
        </is>
      </c>
      <c r="BF10" t="inlineStr">
        <is>
          <t>Full Assembly Needed</t>
        </is>
      </c>
      <c r="BG10" t="inlineStr">
        <is>
          <t>90 Days</t>
        </is>
      </c>
      <c r="BH10" t="inlineStr">
        <is>
          <t>Does Not Apply</t>
        </is>
      </c>
      <c r="BJ10" t="inlineStr">
        <is>
          <t>Does Not Apply</t>
        </is>
      </c>
      <c r="BL10" t="inlineStr">
        <is>
          <t>EU</t>
        </is>
      </c>
      <c r="BM10" t="inlineStr">
        <is>
          <t>Czech (Czech Republic)</t>
        </is>
      </c>
      <c r="BO10" t="inlineStr">
        <is>
          <t>Acetaldehyde</t>
        </is>
      </c>
      <c r="BP10" t="inlineStr">
        <is>
          <t>Afghanistan</t>
        </is>
      </c>
      <c r="BR10" t="inlineStr">
        <is>
          <t>60</t>
        </is>
      </c>
      <c r="BS10" t="inlineStr">
        <is>
          <t>48</t>
        </is>
      </c>
      <c r="BT10" t="inlineStr">
        <is>
          <t>48</t>
        </is>
      </c>
    </row>
    <row r="11">
      <c r="A11" t="inlineStr">
        <is>
          <t>TV Stands &amp; Entertainment Centers</t>
        </is>
      </c>
      <c r="V11" t="inlineStr">
        <is>
          <t>Basic Butt</t>
        </is>
      </c>
      <c r="W11" t="inlineStr">
        <is>
          <t>Does Not Apply</t>
        </is>
      </c>
      <c r="X11" t="inlineStr">
        <is>
          <t>Nickel Metal Hydride</t>
        </is>
      </c>
      <c r="Y11" t="inlineStr">
        <is>
          <t>Does Not Apply</t>
        </is>
      </c>
      <c r="Z11" t="inlineStr">
        <is>
          <t>6</t>
        </is>
      </c>
      <c r="AA11" t="inlineStr">
        <is>
          <t>Does Not Apply</t>
        </is>
      </c>
      <c r="AB11" t="inlineStr">
        <is>
          <t>Cells of 1gram or less</t>
        </is>
      </c>
      <c r="AC11" t="inlineStr">
        <is>
          <t>Batteries exceeding 300w/h</t>
        </is>
      </c>
      <c r="AD11" t="inlineStr">
        <is>
          <t>5kg to 10kg</t>
        </is>
      </c>
      <c r="AF11" t="inlineStr">
        <is>
          <t>Does Not Apply</t>
        </is>
      </c>
      <c r="AI11" t="inlineStr">
        <is>
          <t>External</t>
        </is>
      </c>
      <c r="AJ11" t="inlineStr">
        <is>
          <t>Does Not Apply</t>
        </is>
      </c>
      <c r="AK11" t="inlineStr">
        <is>
          <t>Does Not Apply</t>
        </is>
      </c>
      <c r="AL11" t="inlineStr">
        <is>
          <t>Does Not Apply</t>
        </is>
      </c>
      <c r="AP11" t="inlineStr">
        <is>
          <t>Does Not Apply</t>
        </is>
      </c>
      <c r="AT11" t="inlineStr">
        <is>
          <t>Does Not Apply</t>
        </is>
      </c>
      <c r="AU11" t="inlineStr">
        <is>
          <t>7</t>
        </is>
      </c>
      <c r="AV11" t="inlineStr">
        <is>
          <t>II</t>
        </is>
      </c>
      <c r="AW11" t="inlineStr">
        <is>
          <t>&gt;0 - ≤100g</t>
        </is>
      </c>
      <c r="AY11" t="inlineStr">
        <is>
          <t>Unavailable</t>
        </is>
      </c>
      <c r="AZ11" t="inlineStr">
        <is>
          <t>Does Not Apply</t>
        </is>
      </c>
      <c r="BC11" t="inlineStr">
        <is>
          <t>Unavailable</t>
        </is>
      </c>
      <c r="BD11" t="inlineStr">
        <is>
          <t>32"</t>
        </is>
      </c>
      <c r="BF11" t="inlineStr">
        <is>
          <t>Does Not Apply</t>
        </is>
      </c>
      <c r="BG11" t="inlineStr">
        <is>
          <t>6 Months</t>
        </is>
      </c>
      <c r="BL11" t="inlineStr">
        <is>
          <t>CA</t>
        </is>
      </c>
      <c r="BM11" t="inlineStr">
        <is>
          <t>Danish</t>
        </is>
      </c>
      <c r="BO11" t="inlineStr">
        <is>
          <t>Acetamide</t>
        </is>
      </c>
      <c r="BP11" t="inlineStr">
        <is>
          <t>Åland Islands</t>
        </is>
      </c>
      <c r="BR11" t="inlineStr">
        <is>
          <t>65</t>
        </is>
      </c>
      <c r="BS11" t="inlineStr">
        <is>
          <t>72</t>
        </is>
      </c>
      <c r="BT11" t="inlineStr">
        <is>
          <t>72</t>
        </is>
      </c>
    </row>
    <row r="12">
      <c r="A12" t="inlineStr">
        <is>
          <t>Audio Towers</t>
        </is>
      </c>
      <c r="V12" t="inlineStr">
        <is>
          <t>Biscuit Joint</t>
        </is>
      </c>
      <c r="X12" t="inlineStr">
        <is>
          <t>Alkaline</t>
        </is>
      </c>
      <c r="Z12" t="inlineStr">
        <is>
          <t>7</t>
        </is>
      </c>
      <c r="AB12" t="inlineStr">
        <is>
          <t>Cells of between 1 and 5 grams</t>
        </is>
      </c>
      <c r="AC12" t="inlineStr">
        <is>
          <t>Batteries of between 100w/h and 300 w/h</t>
        </is>
      </c>
      <c r="AD12" t="inlineStr">
        <is>
          <t>Does Not Apply</t>
        </is>
      </c>
      <c r="AI12" t="inlineStr">
        <is>
          <t>Convertible</t>
        </is>
      </c>
      <c r="AU12" t="inlineStr">
        <is>
          <t>5.2</t>
        </is>
      </c>
      <c r="AV12" t="inlineStr">
        <is>
          <t>Does Not Apply</t>
        </is>
      </c>
      <c r="AW12" t="inlineStr">
        <is>
          <t>&gt;100 - ≤500g</t>
        </is>
      </c>
      <c r="AY12" t="inlineStr">
        <is>
          <t>Does Not Apply</t>
        </is>
      </c>
      <c r="BC12" t="inlineStr">
        <is>
          <t>Does Not Apply</t>
        </is>
      </c>
      <c r="BD12" t="inlineStr">
        <is>
          <t>42"</t>
        </is>
      </c>
      <c r="BG12" t="inlineStr">
        <is>
          <t>1 Year</t>
        </is>
      </c>
      <c r="BM12" t="inlineStr">
        <is>
          <t>German</t>
        </is>
      </c>
      <c r="BO12" t="inlineStr">
        <is>
          <t>Acetazolamide</t>
        </is>
      </c>
      <c r="BP12" t="inlineStr">
        <is>
          <t>Albania</t>
        </is>
      </c>
      <c r="BR12" t="inlineStr">
        <is>
          <t>70</t>
        </is>
      </c>
      <c r="BS12" t="inlineStr">
        <is>
          <t>96</t>
        </is>
      </c>
      <c r="BT12" t="inlineStr">
        <is>
          <t>96</t>
        </is>
      </c>
    </row>
    <row r="13">
      <c r="A13" t="inlineStr">
        <is>
          <t>Office Chairs</t>
        </is>
      </c>
      <c r="V13" t="inlineStr">
        <is>
          <t>Tongue and Groove</t>
        </is>
      </c>
      <c r="X13" t="inlineStr">
        <is>
          <t>Carbon Zinc</t>
        </is>
      </c>
      <c r="Z13" t="inlineStr">
        <is>
          <t>5</t>
        </is>
      </c>
      <c r="AB13" t="inlineStr">
        <is>
          <t>Batteries exceeding 25 grams</t>
        </is>
      </c>
      <c r="AC13" t="inlineStr">
        <is>
          <t>Batteries of 100w/h or less</t>
        </is>
      </c>
      <c r="AI13" t="inlineStr">
        <is>
          <t>Recirculating</t>
        </is>
      </c>
      <c r="AU13" t="inlineStr">
        <is>
          <t>6.1</t>
        </is>
      </c>
      <c r="AW13" t="inlineStr">
        <is>
          <t>&gt;500g - ≤1kg</t>
        </is>
      </c>
      <c r="BD13" t="inlineStr">
        <is>
          <t>49"</t>
        </is>
      </c>
      <c r="BG13" t="inlineStr">
        <is>
          <t>2 Years</t>
        </is>
      </c>
      <c r="BM13" t="inlineStr">
        <is>
          <t>Greek</t>
        </is>
      </c>
      <c r="BO13" t="inlineStr">
        <is>
          <t>Acetochlor</t>
        </is>
      </c>
      <c r="BP13" t="inlineStr">
        <is>
          <t>Algeria</t>
        </is>
      </c>
      <c r="BR13" t="inlineStr">
        <is>
          <t>77.5</t>
        </is>
      </c>
      <c r="BS13" t="inlineStr">
        <is>
          <t>120</t>
        </is>
      </c>
      <c r="BT13" t="inlineStr">
        <is>
          <t>120</t>
        </is>
      </c>
    </row>
    <row r="14">
      <c r="A14" t="inlineStr">
        <is>
          <t>Beds</t>
        </is>
      </c>
      <c r="V14" t="inlineStr">
        <is>
          <t>Pocket Joint</t>
        </is>
      </c>
      <c r="X14" t="inlineStr">
        <is>
          <t>Lead Acid (Spillable)</t>
        </is>
      </c>
      <c r="Z14" t="inlineStr">
        <is>
          <t>8</t>
        </is>
      </c>
      <c r="AB14" t="inlineStr">
        <is>
          <t>Does Not Apply</t>
        </is>
      </c>
      <c r="AC14" t="inlineStr">
        <is>
          <t>Does Not Apply</t>
        </is>
      </c>
      <c r="AI14" t="inlineStr">
        <is>
          <t>B-Vent</t>
        </is>
      </c>
      <c r="AU14" t="inlineStr">
        <is>
          <t>3</t>
        </is>
      </c>
      <c r="AW14" t="inlineStr">
        <is>
          <t>&gt;125ml - ≤500ml</t>
        </is>
      </c>
      <c r="BD14" t="inlineStr">
        <is>
          <t>55"</t>
        </is>
      </c>
      <c r="BG14" t="inlineStr">
        <is>
          <t>3 Years</t>
        </is>
      </c>
      <c r="BM14" t="inlineStr">
        <is>
          <t>English (United Kingdom)</t>
        </is>
      </c>
      <c r="BO14" t="inlineStr">
        <is>
          <t>Acetohydroxamic acid</t>
        </is>
      </c>
      <c r="BP14" t="inlineStr">
        <is>
          <t>American Samoa</t>
        </is>
      </c>
      <c r="BR14" t="inlineStr">
        <is>
          <t>85</t>
        </is>
      </c>
      <c r="BS14" t="inlineStr">
        <is>
          <t>144</t>
        </is>
      </c>
    </row>
    <row r="15">
      <c r="A15" t="inlineStr">
        <is>
          <t>Dressers &amp; Chests</t>
        </is>
      </c>
      <c r="V15" t="inlineStr">
        <is>
          <t>Cam Bolt</t>
        </is>
      </c>
      <c r="X15" t="inlineStr">
        <is>
          <t>Lead Acid (Non-Spillable)</t>
        </is>
      </c>
      <c r="Z15" t="inlineStr">
        <is>
          <t>10</t>
        </is>
      </c>
      <c r="AI15" t="inlineStr">
        <is>
          <t>Does Not Apply</t>
        </is>
      </c>
      <c r="AU15" t="inlineStr">
        <is>
          <t>4.1</t>
        </is>
      </c>
      <c r="AW15" t="inlineStr">
        <is>
          <t>&gt;25 - ≤125ml</t>
        </is>
      </c>
      <c r="BD15" t="inlineStr">
        <is>
          <t>50"</t>
        </is>
      </c>
      <c r="BG15" t="inlineStr">
        <is>
          <t>5 Years</t>
        </is>
      </c>
      <c r="BM15" t="inlineStr">
        <is>
          <t>English (United States)</t>
        </is>
      </c>
      <c r="BO15" t="inlineStr">
        <is>
          <t>2-Acetylaminofluorene</t>
        </is>
      </c>
      <c r="BP15" t="inlineStr">
        <is>
          <t>Andorra</t>
        </is>
      </c>
      <c r="BR15" t="inlineStr">
        <is>
          <t>92.5</t>
        </is>
      </c>
      <c r="BS15" t="inlineStr">
        <is>
          <t>168</t>
        </is>
      </c>
    </row>
    <row r="16">
      <c r="A16" t="inlineStr">
        <is>
          <t>Nightstands</t>
        </is>
      </c>
      <c r="V16" t="inlineStr">
        <is>
          <t>Dowel Joint</t>
        </is>
      </c>
      <c r="X16" t="inlineStr">
        <is>
          <t>Silver Oxide</t>
        </is>
      </c>
      <c r="Z16" t="inlineStr">
        <is>
          <t>4</t>
        </is>
      </c>
      <c r="AU16" t="inlineStr">
        <is>
          <t>4.3</t>
        </is>
      </c>
      <c r="AW16" t="inlineStr">
        <is>
          <t>&gt;1kg - ≤5kg</t>
        </is>
      </c>
      <c r="BD16" t="inlineStr">
        <is>
          <t>58"</t>
        </is>
      </c>
      <c r="BG16" t="inlineStr">
        <is>
          <t>10 Years</t>
        </is>
      </c>
      <c r="BM16" t="inlineStr">
        <is>
          <t>Spanish</t>
        </is>
      </c>
      <c r="BO16" t="inlineStr">
        <is>
          <t>Acifluorfen sodium</t>
        </is>
      </c>
      <c r="BP16" t="inlineStr">
        <is>
          <t>Angola</t>
        </is>
      </c>
      <c r="BR16" t="inlineStr">
        <is>
          <t>100</t>
        </is>
      </c>
      <c r="BS16" t="inlineStr">
        <is>
          <t>192</t>
        </is>
      </c>
    </row>
    <row r="17">
      <c r="A17" t="inlineStr">
        <is>
          <t>Armoires &amp; Wardrobes</t>
        </is>
      </c>
      <c r="V17" t="inlineStr">
        <is>
          <t>Half-Lap</t>
        </is>
      </c>
      <c r="X17" t="inlineStr">
        <is>
          <t>Does Not Apply</t>
        </is>
      </c>
      <c r="Z17" t="inlineStr">
        <is>
          <t>9</t>
        </is>
      </c>
      <c r="AU17" t="inlineStr">
        <is>
          <t>4.2</t>
        </is>
      </c>
      <c r="AW17" t="inlineStr">
        <is>
          <t>&gt;5L</t>
        </is>
      </c>
      <c r="BD17" t="inlineStr">
        <is>
          <t>65"</t>
        </is>
      </c>
      <c r="BG17" t="inlineStr">
        <is>
          <t>20 Years</t>
        </is>
      </c>
      <c r="BM17" t="inlineStr">
        <is>
          <t>Finnish</t>
        </is>
      </c>
      <c r="BO17" t="inlineStr">
        <is>
          <t>Acrylamide</t>
        </is>
      </c>
      <c r="BP17" t="inlineStr">
        <is>
          <t>Anguilla</t>
        </is>
      </c>
      <c r="BR17" t="inlineStr">
        <is>
          <t>110</t>
        </is>
      </c>
      <c r="BS17" t="inlineStr">
        <is>
          <t>216</t>
        </is>
      </c>
    </row>
    <row r="18">
      <c r="A18" t="inlineStr">
        <is>
          <t>Daybeds &amp; Guest Beds</t>
        </is>
      </c>
      <c r="V18" t="inlineStr">
        <is>
          <t>Box</t>
        </is>
      </c>
      <c r="Z18" t="inlineStr">
        <is>
          <t>Unavailable</t>
        </is>
      </c>
      <c r="AU18" t="inlineStr">
        <is>
          <t>5.1</t>
        </is>
      </c>
      <c r="AW18" t="inlineStr">
        <is>
          <t>&gt;5kg</t>
        </is>
      </c>
      <c r="BD18" t="inlineStr">
        <is>
          <t>75"</t>
        </is>
      </c>
      <c r="BG18" t="inlineStr">
        <is>
          <t>25 Years</t>
        </is>
      </c>
      <c r="BM18" t="inlineStr">
        <is>
          <t>French (Canada)</t>
        </is>
      </c>
      <c r="BO18" t="inlineStr">
        <is>
          <t>Acrylonitrile</t>
        </is>
      </c>
      <c r="BP18" t="inlineStr">
        <is>
          <t>Antarctica</t>
        </is>
      </c>
      <c r="BR18" t="inlineStr">
        <is>
          <t>125</t>
        </is>
      </c>
      <c r="BS18" t="inlineStr">
        <is>
          <t>240</t>
        </is>
      </c>
    </row>
    <row r="19">
      <c r="A19" t="inlineStr">
        <is>
          <t>Headboards</t>
        </is>
      </c>
      <c r="V19" t="inlineStr">
        <is>
          <t>Lap</t>
        </is>
      </c>
      <c r="Z19" t="inlineStr">
        <is>
          <t>Does Not Apply</t>
        </is>
      </c>
      <c r="AU19" t="inlineStr">
        <is>
          <t>2.3</t>
        </is>
      </c>
      <c r="AW19" t="inlineStr">
        <is>
          <t>Does Not Apply</t>
        </is>
      </c>
      <c r="BD19" t="inlineStr">
        <is>
          <t>70"</t>
        </is>
      </c>
      <c r="BG19" t="inlineStr">
        <is>
          <t>Lifetime</t>
        </is>
      </c>
      <c r="BM19" t="inlineStr">
        <is>
          <t>Hungarian</t>
        </is>
      </c>
      <c r="BO19" t="inlineStr">
        <is>
          <t>Actinomycin D</t>
        </is>
      </c>
      <c r="BP19" t="inlineStr">
        <is>
          <t>Antigua and Barbuda</t>
        </is>
      </c>
      <c r="BR19" t="inlineStr">
        <is>
          <t>150</t>
        </is>
      </c>
      <c r="BS19" t="inlineStr">
        <is>
          <t>360</t>
        </is>
      </c>
    </row>
    <row r="20">
      <c r="A20" t="inlineStr">
        <is>
          <t>Bedroom Sets</t>
        </is>
      </c>
      <c r="V20" t="inlineStr">
        <is>
          <t>Double Dowelled</t>
        </is>
      </c>
      <c r="AU20" t="inlineStr">
        <is>
          <t>6.2</t>
        </is>
      </c>
      <c r="BD20" t="inlineStr">
        <is>
          <t>48"</t>
        </is>
      </c>
      <c r="BG20" t="inlineStr">
        <is>
          <t>15 Years</t>
        </is>
      </c>
      <c r="BM20" t="inlineStr">
        <is>
          <t>Indonesian</t>
        </is>
      </c>
      <c r="BO20" t="inlineStr">
        <is>
          <t>AF-2;[2-(2-furyl)-3-(5-nitro-2-furyl)]acrylamide</t>
        </is>
      </c>
      <c r="BP20" t="inlineStr">
        <is>
          <t>Argentina</t>
        </is>
      </c>
      <c r="BR20" t="inlineStr">
        <is>
          <t>175</t>
        </is>
      </c>
      <c r="BS20" t="inlineStr">
        <is>
          <t>480</t>
        </is>
      </c>
    </row>
    <row r="21">
      <c r="A21" t="inlineStr">
        <is>
          <t>Easels</t>
        </is>
      </c>
      <c r="V21" t="inlineStr">
        <is>
          <t>Bridle</t>
        </is>
      </c>
      <c r="AU21" t="inlineStr">
        <is>
          <t>9</t>
        </is>
      </c>
      <c r="BD21" t="inlineStr">
        <is>
          <t>43"</t>
        </is>
      </c>
      <c r="BG21" t="inlineStr">
        <is>
          <t>4 Years</t>
        </is>
      </c>
      <c r="BM21" t="inlineStr">
        <is>
          <t>Icelandic</t>
        </is>
      </c>
      <c r="BO21" t="inlineStr">
        <is>
          <t>Aflatoxins</t>
        </is>
      </c>
      <c r="BP21" t="inlineStr">
        <is>
          <t>Armenia</t>
        </is>
      </c>
      <c r="BR21" t="inlineStr">
        <is>
          <t>200</t>
        </is>
      </c>
      <c r="BS21" t="inlineStr">
        <is>
          <t>600</t>
        </is>
      </c>
    </row>
    <row r="22">
      <c r="A22" t="inlineStr">
        <is>
          <t>Display Cases</t>
        </is>
      </c>
      <c r="V22" t="inlineStr">
        <is>
          <t>Halved</t>
        </is>
      </c>
      <c r="AU22" t="inlineStr">
        <is>
          <t>8</t>
        </is>
      </c>
      <c r="BD22" t="inlineStr">
        <is>
          <t>88"</t>
        </is>
      </c>
      <c r="BG22" t="inlineStr">
        <is>
          <t>18 Months</t>
        </is>
      </c>
      <c r="BM22" t="inlineStr">
        <is>
          <t>Italian</t>
        </is>
      </c>
      <c r="BO22" t="inlineStr">
        <is>
          <t>Alachlor</t>
        </is>
      </c>
      <c r="BP22" t="inlineStr">
        <is>
          <t>Aruba</t>
        </is>
      </c>
      <c r="BR22" t="inlineStr">
        <is>
          <t>250</t>
        </is>
      </c>
      <c r="BS22" t="inlineStr">
        <is>
          <t>720</t>
        </is>
      </c>
    </row>
    <row r="23">
      <c r="A23" t="inlineStr">
        <is>
          <t>Lockers</t>
        </is>
      </c>
      <c r="V23" t="inlineStr">
        <is>
          <t>Corner Block Reinforced</t>
        </is>
      </c>
      <c r="AU23" t="inlineStr">
        <is>
          <t>Does Not Apply</t>
        </is>
      </c>
      <c r="BD23" t="inlineStr">
        <is>
          <t>60"</t>
        </is>
      </c>
      <c r="BG23" t="inlineStr">
        <is>
          <t>6 Years</t>
        </is>
      </c>
      <c r="BM23" t="inlineStr">
        <is>
          <t>Japanese</t>
        </is>
      </c>
      <c r="BO23" t="inlineStr">
        <is>
          <t>Alcoholic beverages, when associated with alcohol abuse</t>
        </is>
      </c>
      <c r="BP23" t="inlineStr">
        <is>
          <t>Australia</t>
        </is>
      </c>
      <c r="BR23" t="inlineStr">
        <is>
          <t>300</t>
        </is>
      </c>
      <c r="BS23" t="inlineStr">
        <is>
          <t>840</t>
        </is>
      </c>
    </row>
    <row r="24">
      <c r="A24" t="inlineStr">
        <is>
          <t>Lecterns &amp; Podiums</t>
        </is>
      </c>
      <c r="V24" t="inlineStr">
        <is>
          <t>Miter</t>
        </is>
      </c>
      <c r="BD24" t="inlineStr">
        <is>
          <t>78"</t>
        </is>
      </c>
      <c r="BG24" t="inlineStr">
        <is>
          <t>7 Years</t>
        </is>
      </c>
      <c r="BM24" t="inlineStr">
        <is>
          <t>Korean</t>
        </is>
      </c>
      <c r="BO24" t="inlineStr">
        <is>
          <t>Aldrin</t>
        </is>
      </c>
      <c r="BP24" t="inlineStr">
        <is>
          <t>Austria</t>
        </is>
      </c>
      <c r="BR24" t="inlineStr">
        <is>
          <t>400</t>
        </is>
      </c>
      <c r="BS24" t="inlineStr">
        <is>
          <t>960</t>
        </is>
      </c>
    </row>
    <row r="25">
      <c r="A25" t="inlineStr">
        <is>
          <t>Desks</t>
        </is>
      </c>
      <c r="V25" t="inlineStr">
        <is>
          <t>Unavailable</t>
        </is>
      </c>
      <c r="BD25" t="inlineStr">
        <is>
          <t>85"</t>
        </is>
      </c>
      <c r="BG25" t="inlineStr">
        <is>
          <t>8 Years</t>
        </is>
      </c>
      <c r="BM25" t="inlineStr">
        <is>
          <t>Norwegian (Bokmål)</t>
        </is>
      </c>
      <c r="BO25" t="inlineStr">
        <is>
          <t>All-trans retinoic acid</t>
        </is>
      </c>
      <c r="BP25" t="inlineStr">
        <is>
          <t>Azerbaijan</t>
        </is>
      </c>
      <c r="BR25" t="inlineStr">
        <is>
          <t>500</t>
        </is>
      </c>
    </row>
    <row r="26">
      <c r="A26" t="inlineStr">
        <is>
          <t>Literature Racks</t>
        </is>
      </c>
      <c r="V26" t="inlineStr">
        <is>
          <t>Does Not Apply</t>
        </is>
      </c>
      <c r="BD26" t="inlineStr">
        <is>
          <t>77"</t>
        </is>
      </c>
      <c r="BG26" t="inlineStr">
        <is>
          <t>9 Years</t>
        </is>
      </c>
      <c r="BM26" t="inlineStr">
        <is>
          <t>Dutch</t>
        </is>
      </c>
      <c r="BO26" t="inlineStr">
        <is>
          <t>Aloe Vera, non-decolorized whole leaf extract</t>
        </is>
      </c>
      <c r="BP26" t="inlineStr">
        <is>
          <t>Bahamas</t>
        </is>
      </c>
    </row>
    <row r="27">
      <c r="A27" t="inlineStr">
        <is>
          <t>Filing Cabinets</t>
        </is>
      </c>
      <c r="BG27" t="inlineStr">
        <is>
          <t>12 Years</t>
        </is>
      </c>
      <c r="BM27" t="inlineStr">
        <is>
          <t>Polish</t>
        </is>
      </c>
      <c r="BO27" t="inlineStr">
        <is>
          <t>Alprazolam</t>
        </is>
      </c>
      <c r="BP27" t="inlineStr">
        <is>
          <t>Bahrain</t>
        </is>
      </c>
    </row>
    <row r="28">
      <c r="A28" t="inlineStr">
        <is>
          <t>Bookcases</t>
        </is>
      </c>
      <c r="BG28" t="inlineStr">
        <is>
          <t>11 Years</t>
        </is>
      </c>
      <c r="BM28" t="inlineStr">
        <is>
          <t>Portuguese</t>
        </is>
      </c>
      <c r="BO28" t="inlineStr">
        <is>
          <t>Amantadine hydrochloride</t>
        </is>
      </c>
      <c r="BP28" t="inlineStr">
        <is>
          <t>Bangladesh</t>
        </is>
      </c>
    </row>
    <row r="29">
      <c r="A29" t="inlineStr">
        <is>
          <t>Classroom Chairs</t>
        </is>
      </c>
      <c r="BG29" t="inlineStr">
        <is>
          <t>13 Years</t>
        </is>
      </c>
      <c r="BM29" t="inlineStr">
        <is>
          <t>Romanian</t>
        </is>
      </c>
      <c r="BO29" t="inlineStr">
        <is>
          <t>Amikacin sulfate</t>
        </is>
      </c>
      <c r="BP29" t="inlineStr">
        <is>
          <t>Barbados</t>
        </is>
      </c>
    </row>
    <row r="30">
      <c r="A30" t="inlineStr">
        <is>
          <t>Wall &amp; Accent Mirrors</t>
        </is>
      </c>
      <c r="BG30" t="inlineStr">
        <is>
          <t>14 Years</t>
        </is>
      </c>
      <c r="BM30" t="inlineStr">
        <is>
          <t>Russian</t>
        </is>
      </c>
      <c r="BO30" t="inlineStr">
        <is>
          <t>2-Aminoanthraquinone</t>
        </is>
      </c>
      <c r="BP30" t="inlineStr">
        <is>
          <t>Belarus</t>
        </is>
      </c>
    </row>
    <row r="31">
      <c r="A31" t="inlineStr">
        <is>
          <t>Office Stools</t>
        </is>
      </c>
      <c r="BG31" t="inlineStr">
        <is>
          <t>No Commercial Warranty</t>
        </is>
      </c>
      <c r="BM31" t="inlineStr">
        <is>
          <t>Slovak</t>
        </is>
      </c>
      <c r="BO31" t="inlineStr">
        <is>
          <t>p-Aminoazobenzene</t>
        </is>
      </c>
      <c r="BP31" t="inlineStr">
        <is>
          <t>Belgium</t>
        </is>
      </c>
    </row>
    <row r="32">
      <c r="A32" t="inlineStr">
        <is>
          <t>Office Sets</t>
        </is>
      </c>
      <c r="BG32" t="inlineStr">
        <is>
          <t>Does Not Apply</t>
        </is>
      </c>
      <c r="BM32" t="inlineStr">
        <is>
          <t>Swedish</t>
        </is>
      </c>
      <c r="BO32" t="inlineStr">
        <is>
          <t>o-Aminoazotoluene</t>
        </is>
      </c>
      <c r="BP32" t="inlineStr">
        <is>
          <t>Belize</t>
        </is>
      </c>
    </row>
    <row r="33">
      <c r="A33" t="inlineStr">
        <is>
          <t>Stackable &amp; Nesting Chairs</t>
        </is>
      </c>
      <c r="BM33" t="inlineStr">
        <is>
          <t>Ukrainian</t>
        </is>
      </c>
      <c r="BO33" t="inlineStr">
        <is>
          <t>4-Aminobiphenyl (4-aminodiphenyl)</t>
        </is>
      </c>
      <c r="BP33" t="inlineStr">
        <is>
          <t>Benin</t>
        </is>
      </c>
    </row>
    <row r="34">
      <c r="A34" t="inlineStr">
        <is>
          <t>Futon Mattresses</t>
        </is>
      </c>
      <c r="BM34" t="inlineStr">
        <is>
          <t>Vietnamese</t>
        </is>
      </c>
      <c r="BO34" t="inlineStr">
        <is>
          <t>1-Amino-2,4-dibromoanthraquinone</t>
        </is>
      </c>
      <c r="BP34" t="inlineStr">
        <is>
          <t>Bermuda</t>
        </is>
      </c>
    </row>
    <row r="35">
      <c r="A35" t="inlineStr">
        <is>
          <t>Pot Racks</t>
        </is>
      </c>
      <c r="BM35" t="inlineStr">
        <is>
          <t>Chinese (S)</t>
        </is>
      </c>
      <c r="BO35" t="inlineStr">
        <is>
          <t>3-Amino-9-ethylcarbazole hydrochloride</t>
        </is>
      </c>
      <c r="BP35" t="inlineStr">
        <is>
          <t>Bhutan</t>
        </is>
      </c>
    </row>
    <row r="36">
      <c r="A36" t="inlineStr">
        <is>
          <t>Plant Stands &amp; Tables</t>
        </is>
      </c>
      <c r="BM36" t="inlineStr">
        <is>
          <t>Chinese (T)</t>
        </is>
      </c>
      <c r="BO36" t="inlineStr">
        <is>
          <t>2-Aminofluorene</t>
        </is>
      </c>
      <c r="BP36" t="inlineStr">
        <is>
          <t>Bolivia</t>
        </is>
      </c>
    </row>
    <row r="37">
      <c r="A37" t="inlineStr">
        <is>
          <t>Accent Chairs</t>
        </is>
      </c>
      <c r="BO37" t="inlineStr">
        <is>
          <t>Aminoglutethimide</t>
        </is>
      </c>
      <c r="BP37" t="inlineStr">
        <is>
          <t>Bosnia and Herzegovina</t>
        </is>
      </c>
    </row>
    <row r="38">
      <c r="A38" t="inlineStr">
        <is>
          <t>Kitchen Islands</t>
        </is>
      </c>
      <c r="BO38" t="inlineStr">
        <is>
          <t>Aminoglycosides</t>
        </is>
      </c>
      <c r="BP38" t="inlineStr">
        <is>
          <t>Botswana</t>
        </is>
      </c>
    </row>
    <row r="39">
      <c r="A39" t="inlineStr">
        <is>
          <t>Baker's Racks</t>
        </is>
      </c>
      <c r="BO39" t="inlineStr">
        <is>
          <t>1-Amino-2-methylanthraquinone</t>
        </is>
      </c>
      <c r="BP39" t="inlineStr">
        <is>
          <t>Bouvet Island</t>
        </is>
      </c>
    </row>
    <row r="40">
      <c r="A40" t="inlineStr">
        <is>
          <t>Wine Racks</t>
        </is>
      </c>
      <c r="BO40" t="inlineStr">
        <is>
          <t>2-Amino-5-(5-nitro-2-furyl)-1,3,4-thiadiazole</t>
        </is>
      </c>
      <c r="BP40" t="inlineStr">
        <is>
          <t>Brazil</t>
        </is>
      </c>
    </row>
    <row r="41">
      <c r="A41" t="inlineStr">
        <is>
          <t>Bar Stools</t>
        </is>
      </c>
      <c r="BO41" t="inlineStr">
        <is>
          <t>4-Amino-2-nitrophenol</t>
        </is>
      </c>
      <c r="BP41" t="inlineStr">
        <is>
          <t>British Indian Ocean Territory</t>
        </is>
      </c>
    </row>
    <row r="42">
      <c r="A42" t="inlineStr">
        <is>
          <t>Mantel &amp; Tabletop Clocks</t>
        </is>
      </c>
      <c r="BO42" t="inlineStr">
        <is>
          <t>Aminopterin</t>
        </is>
      </c>
      <c r="BP42" t="inlineStr">
        <is>
          <t>Brunei Darussalam</t>
        </is>
      </c>
    </row>
    <row r="43">
      <c r="A43" t="inlineStr">
        <is>
          <t>Grandfather Clocks / Floor Clocks</t>
        </is>
      </c>
      <c r="BO43" t="inlineStr">
        <is>
          <t>Amiodarone hydrochloride</t>
        </is>
      </c>
      <c r="BP43" t="inlineStr">
        <is>
          <t>Bulgaria</t>
        </is>
      </c>
    </row>
    <row r="44">
      <c r="A44" t="inlineStr">
        <is>
          <t>Conference Tables</t>
        </is>
      </c>
      <c r="BO44" t="inlineStr">
        <is>
          <t>Amitraz</t>
        </is>
      </c>
      <c r="BP44" t="inlineStr">
        <is>
          <t>Burkina Faso</t>
        </is>
      </c>
    </row>
    <row r="45">
      <c r="A45" t="inlineStr">
        <is>
          <t>Folding Tables</t>
        </is>
      </c>
      <c r="BO45" t="inlineStr">
        <is>
          <t>Amitrole</t>
        </is>
      </c>
      <c r="BP45" t="inlineStr">
        <is>
          <t>Burundi</t>
        </is>
      </c>
    </row>
    <row r="46">
      <c r="A46" t="inlineStr">
        <is>
          <t>Coat Racks and Hooks</t>
        </is>
      </c>
      <c r="BO46" t="inlineStr">
        <is>
          <t>Amoxapine</t>
        </is>
      </c>
      <c r="BP46" t="inlineStr">
        <is>
          <t>Cambodia</t>
        </is>
      </c>
    </row>
    <row r="47">
      <c r="A47" t="inlineStr">
        <is>
          <t>Cafeteria Tables</t>
        </is>
      </c>
      <c r="BO47" t="inlineStr">
        <is>
          <t>Amsacrine</t>
        </is>
      </c>
      <c r="BP47" t="inlineStr">
        <is>
          <t>Cameroon</t>
        </is>
      </c>
    </row>
    <row r="48">
      <c r="A48" t="inlineStr">
        <is>
          <t>Bars &amp; Bar Sets</t>
        </is>
      </c>
      <c r="BO48" t="inlineStr">
        <is>
          <t>Analgesic mixtures containing Phenacetin</t>
        </is>
      </c>
      <c r="BP48" t="inlineStr">
        <is>
          <t>Cape Verde</t>
        </is>
      </c>
    </row>
    <row r="49">
      <c r="A49" t="inlineStr">
        <is>
          <t>Electric &amp; Alternative Fuel Fireplaces</t>
        </is>
      </c>
      <c r="BO49" t="inlineStr">
        <is>
          <t>Androstenedione</t>
        </is>
      </c>
      <c r="BP49" t="inlineStr">
        <is>
          <t>Cayman Islands</t>
        </is>
      </c>
    </row>
    <row r="50">
      <c r="A50" t="inlineStr">
        <is>
          <t>Portable Tool Storage</t>
        </is>
      </c>
      <c r="BO50" t="inlineStr">
        <is>
          <t>Angiotensin converting enzyme  (ACE) inhibitors</t>
        </is>
      </c>
      <c r="BP50" t="inlineStr">
        <is>
          <t>Central African Republic</t>
        </is>
      </c>
    </row>
    <row r="51">
      <c r="A51" t="inlineStr">
        <is>
          <t>Patio Tables</t>
        </is>
      </c>
      <c r="BO51" t="inlineStr">
        <is>
          <t>Aniline</t>
        </is>
      </c>
      <c r="BP51" t="inlineStr">
        <is>
          <t>Chad</t>
        </is>
      </c>
    </row>
    <row r="52">
      <c r="A52" t="inlineStr">
        <is>
          <t>Projector Screens and Accessories</t>
        </is>
      </c>
      <c r="BO52" t="inlineStr">
        <is>
          <t>Aniline hydrochloride</t>
        </is>
      </c>
      <c r="BP52" t="inlineStr">
        <is>
          <t>Chile</t>
        </is>
      </c>
    </row>
    <row r="53">
      <c r="A53" t="inlineStr">
        <is>
          <t>Specialty Filing &amp; Filing Accessories</t>
        </is>
      </c>
      <c r="BO53" t="inlineStr">
        <is>
          <t>o-Anisidine</t>
        </is>
      </c>
      <c r="BP53" t="inlineStr">
        <is>
          <t>China</t>
        </is>
      </c>
    </row>
    <row r="54">
      <c r="A54" t="inlineStr">
        <is>
          <t>Safes</t>
        </is>
      </c>
      <c r="BO54" t="inlineStr">
        <is>
          <t>o-Anisidine hydrochloride</t>
        </is>
      </c>
      <c r="BP54" t="inlineStr">
        <is>
          <t>Christmas Island</t>
        </is>
      </c>
    </row>
    <row r="55">
      <c r="A55" t="inlineStr">
        <is>
          <t>Office Storage Cabinets</t>
        </is>
      </c>
      <c r="BO55" t="inlineStr">
        <is>
          <t>Anisindione</t>
        </is>
      </c>
      <c r="BP55" t="inlineStr">
        <is>
          <t>Cocos (Keeling) Islands</t>
        </is>
      </c>
    </row>
    <row r="56">
      <c r="A56" t="inlineStr">
        <is>
          <t>Patio Sofas</t>
        </is>
      </c>
      <c r="BO56" t="inlineStr">
        <is>
          <t>Anthraquinone</t>
        </is>
      </c>
      <c r="BP56" t="inlineStr">
        <is>
          <t>Colombia</t>
        </is>
      </c>
    </row>
    <row r="57">
      <c r="A57" t="inlineStr">
        <is>
          <t>Patio Chaise Lounges</t>
        </is>
      </c>
      <c r="BO57" t="inlineStr">
        <is>
          <t>Antimony oxide (Antimony trioxide)</t>
        </is>
      </c>
      <c r="BP57" t="inlineStr">
        <is>
          <t>Comoros</t>
        </is>
      </c>
    </row>
    <row r="58">
      <c r="A58" t="inlineStr">
        <is>
          <t>Patio Umbrellas</t>
        </is>
      </c>
      <c r="BO58" t="inlineStr">
        <is>
          <t>Aramite</t>
        </is>
      </c>
      <c r="BP58" t="inlineStr">
        <is>
          <t>Congo</t>
        </is>
      </c>
    </row>
    <row r="59">
      <c r="A59" t="inlineStr">
        <is>
          <t>Patio Dining Sets</t>
        </is>
      </c>
      <c r="BO59" t="inlineStr">
        <is>
          <t>Areca nut</t>
        </is>
      </c>
      <c r="BP59" t="inlineStr">
        <is>
          <t>Congo, The Democratic Republic of the</t>
        </is>
      </c>
    </row>
    <row r="60">
      <c r="A60" t="inlineStr">
        <is>
          <t>Outdoor Conversation Sets</t>
        </is>
      </c>
      <c r="BO60" t="inlineStr">
        <is>
          <t>Aristolochic acids</t>
        </is>
      </c>
      <c r="BP60" t="inlineStr">
        <is>
          <t>Cook Islands</t>
        </is>
      </c>
    </row>
    <row r="61">
      <c r="A61" t="inlineStr">
        <is>
          <t>Shelving &amp; Racks</t>
        </is>
      </c>
      <c r="BO61" t="inlineStr">
        <is>
          <t>Arsenic (inorganic arsenic compounds)</t>
        </is>
      </c>
      <c r="BP61" t="inlineStr">
        <is>
          <t>Costa Rica</t>
        </is>
      </c>
    </row>
    <row r="62">
      <c r="A62" t="inlineStr">
        <is>
          <t>Tool Cabinets</t>
        </is>
      </c>
      <c r="BO62" t="inlineStr">
        <is>
          <t>Arsenic (inorganic oxides)</t>
        </is>
      </c>
      <c r="BP62" t="inlineStr">
        <is>
          <t>Côte D'Ivoire</t>
        </is>
      </c>
    </row>
    <row r="63">
      <c r="A63" t="inlineStr">
        <is>
          <t>Dining Table Sets</t>
        </is>
      </c>
      <c r="BO63" t="inlineStr">
        <is>
          <t>Asbestos</t>
        </is>
      </c>
      <c r="BP63" t="inlineStr">
        <is>
          <t>Croatia</t>
        </is>
      </c>
    </row>
    <row r="64">
      <c r="A64" t="inlineStr">
        <is>
          <t>Dining Tables</t>
        </is>
      </c>
      <c r="BO64" t="inlineStr">
        <is>
          <t>Aspirin (NOTE: It is especially important not to use aspirin during the last three months of pregnancy, unless specifically directed to do so by a physician because it may cause problems in the unborn child or complications during delivery.)</t>
        </is>
      </c>
      <c r="BP64" t="inlineStr">
        <is>
          <t>Cuba</t>
        </is>
      </c>
    </row>
    <row r="65">
      <c r="A65" t="inlineStr">
        <is>
          <t>Vanities</t>
        </is>
      </c>
      <c r="BO65" t="inlineStr">
        <is>
          <t>Atenolol</t>
        </is>
      </c>
      <c r="BP65" t="inlineStr">
        <is>
          <t>Cyprus</t>
        </is>
      </c>
    </row>
    <row r="66">
      <c r="A66" t="inlineStr">
        <is>
          <t>Bean Bags</t>
        </is>
      </c>
      <c r="BO66" t="inlineStr">
        <is>
          <t>Atrazine</t>
        </is>
      </c>
      <c r="BP66" t="inlineStr">
        <is>
          <t>Czech Republic</t>
        </is>
      </c>
    </row>
    <row r="67">
      <c r="A67" t="inlineStr">
        <is>
          <t>Accent Chests / Cabinets</t>
        </is>
      </c>
      <c r="BO67" t="inlineStr">
        <is>
          <t>Auramine</t>
        </is>
      </c>
      <c r="BP67" t="inlineStr">
        <is>
          <t>Denmark</t>
        </is>
      </c>
    </row>
    <row r="68">
      <c r="A68" t="inlineStr">
        <is>
          <t>Classic Game Tables &amp; Puzzle Tables</t>
        </is>
      </c>
      <c r="BO68" t="inlineStr">
        <is>
          <t>Auranofin</t>
        </is>
      </c>
      <c r="BP68" t="inlineStr">
        <is>
          <t>Djibouti</t>
        </is>
      </c>
    </row>
    <row r="69">
      <c r="A69" t="inlineStr">
        <is>
          <t>Sideboards &amp; Buffets</t>
        </is>
      </c>
      <c r="BO69" t="inlineStr">
        <is>
          <t>Avermectin B1 (Abamectin)</t>
        </is>
      </c>
      <c r="BP69" t="inlineStr">
        <is>
          <t>Dominica</t>
        </is>
      </c>
    </row>
    <row r="70">
      <c r="A70" t="inlineStr">
        <is>
          <t>Hammocks</t>
        </is>
      </c>
      <c r="BO70" t="inlineStr">
        <is>
          <t>Azacitidine</t>
        </is>
      </c>
      <c r="BP70" t="inlineStr">
        <is>
          <t>Dominican Republic</t>
        </is>
      </c>
    </row>
    <row r="71">
      <c r="A71" t="inlineStr">
        <is>
          <t>Area Rugs</t>
        </is>
      </c>
      <c r="BO71" t="inlineStr">
        <is>
          <t>Azaserine</t>
        </is>
      </c>
      <c r="BP71" t="inlineStr">
        <is>
          <t>Ecuador</t>
        </is>
      </c>
    </row>
    <row r="72">
      <c r="A72" t="inlineStr">
        <is>
          <t>Dining Chairs</t>
        </is>
      </c>
      <c r="BO72" t="inlineStr">
        <is>
          <t>Azathioprine</t>
        </is>
      </c>
      <c r="BP72" t="inlineStr">
        <is>
          <t>Egypt</t>
        </is>
      </c>
    </row>
    <row r="73">
      <c r="A73" t="inlineStr">
        <is>
          <t>China Cabinets</t>
        </is>
      </c>
      <c r="BO73" t="inlineStr">
        <is>
          <t>Azobenzene</t>
        </is>
      </c>
      <c r="BP73" t="inlineStr">
        <is>
          <t>El Salvador</t>
        </is>
      </c>
    </row>
    <row r="74">
      <c r="A74" t="inlineStr">
        <is>
          <t>Hall Trees</t>
        </is>
      </c>
      <c r="BO74" t="inlineStr">
        <is>
          <t>Barbiturates</t>
        </is>
      </c>
      <c r="BP74" t="inlineStr">
        <is>
          <t>Equatorial Guinea</t>
        </is>
      </c>
    </row>
    <row r="75">
      <c r="A75" t="inlineStr">
        <is>
          <t>Porch Swings</t>
        </is>
      </c>
      <c r="BO75" t="inlineStr">
        <is>
          <t>Beclomethasone dipropionate</t>
        </is>
      </c>
      <c r="BP75" t="inlineStr">
        <is>
          <t>Eritrea</t>
        </is>
      </c>
    </row>
    <row r="76">
      <c r="A76" t="inlineStr">
        <is>
          <t>Jewelry Armoires</t>
        </is>
      </c>
      <c r="BO76" t="inlineStr">
        <is>
          <t>Benomyl</t>
        </is>
      </c>
      <c r="BP76" t="inlineStr">
        <is>
          <t>Estonia</t>
        </is>
      </c>
    </row>
    <row r="77">
      <c r="A77" t="inlineStr">
        <is>
          <t>Fountains</t>
        </is>
      </c>
      <c r="BO77" t="inlineStr">
        <is>
          <t>Benthiavalicarb-isopropyl</t>
        </is>
      </c>
      <c r="BP77" t="inlineStr">
        <is>
          <t>Ethiopia</t>
        </is>
      </c>
    </row>
    <row r="78">
      <c r="A78" t="inlineStr">
        <is>
          <t>Lighting Shades</t>
        </is>
      </c>
      <c r="BO78" t="inlineStr">
        <is>
          <t>Benz[a]anthracene</t>
        </is>
      </c>
      <c r="BP78" t="inlineStr">
        <is>
          <t>Falkland Islands (Malvinas)</t>
        </is>
      </c>
    </row>
    <row r="79">
      <c r="A79" t="inlineStr">
        <is>
          <t>Fireplace Accessories</t>
        </is>
      </c>
      <c r="BO79" t="inlineStr">
        <is>
          <t>Benzene</t>
        </is>
      </c>
      <c r="BP79" t="inlineStr">
        <is>
          <t>Faroe Islands</t>
        </is>
      </c>
    </row>
    <row r="80">
      <c r="A80" t="inlineStr">
        <is>
          <t>Blanket Racks &amp; Ladders</t>
        </is>
      </c>
      <c r="BO80" t="inlineStr">
        <is>
          <t>Benzidine [and its salts]</t>
        </is>
      </c>
      <c r="BP80" t="inlineStr">
        <is>
          <t>Fiji</t>
        </is>
      </c>
    </row>
    <row r="81">
      <c r="A81" t="inlineStr">
        <is>
          <t>TV Trays</t>
        </is>
      </c>
      <c r="BO81" t="inlineStr">
        <is>
          <t>Benzidine-based dyes</t>
        </is>
      </c>
      <c r="BP81" t="inlineStr">
        <is>
          <t>Finland</t>
        </is>
      </c>
    </row>
    <row r="82">
      <c r="A82" t="inlineStr">
        <is>
          <t>Cutting Boards</t>
        </is>
      </c>
      <c r="BO82" t="inlineStr">
        <is>
          <t>Benzodiazepines</t>
        </is>
      </c>
      <c r="BP82" t="inlineStr">
        <is>
          <t>France</t>
        </is>
      </c>
    </row>
    <row r="83">
      <c r="A83" t="inlineStr">
        <is>
          <t>Rug Pads</t>
        </is>
      </c>
      <c r="BO83" t="inlineStr">
        <is>
          <t>Benzo[b]fluoranthene</t>
        </is>
      </c>
      <c r="BP83" t="inlineStr">
        <is>
          <t>French Guiana</t>
        </is>
      </c>
    </row>
    <row r="84">
      <c r="A84" t="inlineStr">
        <is>
          <t>Folding Chairs</t>
        </is>
      </c>
      <c r="BO84" t="inlineStr">
        <is>
          <t>Benzo[j]fluoranthene</t>
        </is>
      </c>
      <c r="BP84" t="inlineStr">
        <is>
          <t>French Polynesia</t>
        </is>
      </c>
    </row>
    <row r="85">
      <c r="A85" t="inlineStr">
        <is>
          <t>Night Lights</t>
        </is>
      </c>
      <c r="BO85" t="inlineStr">
        <is>
          <t>Benzo[k]fluoranthene</t>
        </is>
      </c>
      <c r="BP85" t="inlineStr">
        <is>
          <t>French Southern Territories</t>
        </is>
      </c>
    </row>
    <row r="86">
      <c r="A86" t="inlineStr">
        <is>
          <t>Changing Tables</t>
        </is>
      </c>
      <c r="BO86" t="inlineStr">
        <is>
          <t>Benzofuran</t>
        </is>
      </c>
      <c r="BP86" t="inlineStr">
        <is>
          <t>Gabon</t>
        </is>
      </c>
    </row>
    <row r="87">
      <c r="A87" t="inlineStr">
        <is>
          <t>Dollies</t>
        </is>
      </c>
      <c r="BO87" t="inlineStr">
        <is>
          <t>Benzophenone</t>
        </is>
      </c>
      <c r="BP87" t="inlineStr">
        <is>
          <t>Gambia</t>
        </is>
      </c>
    </row>
    <row r="88">
      <c r="A88" t="inlineStr">
        <is>
          <t>Patio Bar Sets</t>
        </is>
      </c>
      <c r="BO88" t="inlineStr">
        <is>
          <t>Benzo[a]pyrene</t>
        </is>
      </c>
      <c r="BP88" t="inlineStr">
        <is>
          <t>Georgia</t>
        </is>
      </c>
    </row>
    <row r="89">
      <c r="A89" t="inlineStr">
        <is>
          <t>Ceiling Fans</t>
        </is>
      </c>
      <c r="BO89" t="inlineStr">
        <is>
          <t>Benzotrichloride</t>
        </is>
      </c>
      <c r="BP89" t="inlineStr">
        <is>
          <t>Germany</t>
        </is>
      </c>
    </row>
    <row r="90">
      <c r="A90" t="inlineStr">
        <is>
          <t>Patio Umbrella Accessories</t>
        </is>
      </c>
      <c r="BO90" t="inlineStr">
        <is>
          <t>Benzphetamine hydrochloride</t>
        </is>
      </c>
      <c r="BP90" t="inlineStr">
        <is>
          <t>Ghana</t>
        </is>
      </c>
    </row>
    <row r="91">
      <c r="A91" t="inlineStr">
        <is>
          <t>Gliders</t>
        </is>
      </c>
      <c r="BO91" t="inlineStr">
        <is>
          <t>Benzyl chloride</t>
        </is>
      </c>
      <c r="BP91" t="inlineStr">
        <is>
          <t>Gibraltar</t>
        </is>
      </c>
    </row>
    <row r="92">
      <c r="A92" t="inlineStr">
        <is>
          <t>Mattress Toppers and Pads</t>
        </is>
      </c>
      <c r="BO92" t="inlineStr">
        <is>
          <t>Benzyl violet 4B</t>
        </is>
      </c>
      <c r="BP92" t="inlineStr">
        <is>
          <t>Greece</t>
        </is>
      </c>
    </row>
    <row r="93">
      <c r="A93" t="inlineStr">
        <is>
          <t>TV Stand Accessories</t>
        </is>
      </c>
      <c r="BO93" t="inlineStr">
        <is>
          <t>Beryllium and beryllium compounds</t>
        </is>
      </c>
      <c r="BP93" t="inlineStr">
        <is>
          <t>Greenland</t>
        </is>
      </c>
    </row>
    <row r="94">
      <c r="A94" t="inlineStr">
        <is>
          <t>Furniture Covers</t>
        </is>
      </c>
      <c r="BO94" t="inlineStr">
        <is>
          <t>Betel quid with tobacco</t>
        </is>
      </c>
      <c r="BP94" t="inlineStr">
        <is>
          <t>Grenada</t>
        </is>
      </c>
    </row>
    <row r="95">
      <c r="A95" t="inlineStr">
        <is>
          <t>Mount Accessories</t>
        </is>
      </c>
      <c r="BO95" t="inlineStr">
        <is>
          <t>Betel quid without tobacco</t>
        </is>
      </c>
      <c r="BP95" t="inlineStr">
        <is>
          <t>Guadeloupe</t>
        </is>
      </c>
    </row>
    <row r="96">
      <c r="A96" t="inlineStr">
        <is>
          <t>Room Dividers</t>
        </is>
      </c>
      <c r="BO96" t="inlineStr">
        <is>
          <t>2,2-Bis(bromomethyl)-1,3-propanediol</t>
        </is>
      </c>
      <c r="BP96" t="inlineStr">
        <is>
          <t>Guam</t>
        </is>
      </c>
    </row>
    <row r="97">
      <c r="A97" t="inlineStr">
        <is>
          <t>Bird Baths</t>
        </is>
      </c>
      <c r="BO97" t="inlineStr">
        <is>
          <t>Bis(2-chloroethyl)ether</t>
        </is>
      </c>
      <c r="BP97" t="inlineStr">
        <is>
          <t>Guatemala</t>
        </is>
      </c>
    </row>
    <row r="98">
      <c r="A98" t="inlineStr">
        <is>
          <t>Bird Feeders</t>
        </is>
      </c>
      <c r="BO98" t="inlineStr">
        <is>
          <t>N,N-Bis(2-chloroethyl)-2-naphthylamine  (Chlornapazine)</t>
        </is>
      </c>
      <c r="BP98" t="inlineStr">
        <is>
          <t>Guernsey</t>
        </is>
      </c>
    </row>
    <row r="99">
      <c r="A99" t="inlineStr">
        <is>
          <t>Benches</t>
        </is>
      </c>
      <c r="BO99" t="inlineStr">
        <is>
          <t>Bischloroethyl nitrosourea (BCNU) (Carmustine)</t>
        </is>
      </c>
      <c r="BP99" t="inlineStr">
        <is>
          <t>Guinea</t>
        </is>
      </c>
    </row>
    <row r="100">
      <c r="A100" t="inlineStr">
        <is>
          <t>Recessed Lighting Housing</t>
        </is>
      </c>
      <c r="BO100" t="inlineStr">
        <is>
          <t>Bis(chloromethyl)ether</t>
        </is>
      </c>
      <c r="BP100" t="inlineStr">
        <is>
          <t>Guinea-Bissau</t>
        </is>
      </c>
    </row>
    <row r="101">
      <c r="A101" t="inlineStr">
        <is>
          <t>Lighting Accessories</t>
        </is>
      </c>
      <c r="BO101" t="inlineStr">
        <is>
          <t>Bis(2-chloro-1-methylethyl)ether,  technical grade</t>
        </is>
      </c>
      <c r="BP101" t="inlineStr">
        <is>
          <t>Guyana</t>
        </is>
      </c>
    </row>
    <row r="102">
      <c r="A102" t="inlineStr">
        <is>
          <t>Classroom Desks</t>
        </is>
      </c>
      <c r="BO102" t="inlineStr">
        <is>
          <t>Bisphenol A (BPA)</t>
        </is>
      </c>
      <c r="BP102" t="inlineStr">
        <is>
          <t>Haiti</t>
        </is>
      </c>
    </row>
    <row r="103">
      <c r="A103" t="inlineStr">
        <is>
          <t>Stages, Risers and Accessories</t>
        </is>
      </c>
      <c r="BO103" t="inlineStr">
        <is>
          <t>Bitumens, extracts of steam-refined and air refined</t>
        </is>
      </c>
      <c r="BP103" t="inlineStr">
        <is>
          <t>Heard Island and McDonald Islands</t>
        </is>
      </c>
    </row>
    <row r="104">
      <c r="A104" t="inlineStr">
        <is>
          <t>Rocking Chairs</t>
        </is>
      </c>
      <c r="BO104" t="inlineStr">
        <is>
          <t>Bracken fern</t>
        </is>
      </c>
      <c r="BP104" t="inlineStr">
        <is>
          <t>Holy See (Vatican City State)</t>
        </is>
      </c>
    </row>
    <row r="105">
      <c r="A105" t="inlineStr">
        <is>
          <t>Office Partitions</t>
        </is>
      </c>
      <c r="BO105" t="inlineStr">
        <is>
          <t>Bromacil lithium salt</t>
        </is>
      </c>
      <c r="BP105" t="inlineStr">
        <is>
          <t>Honduras</t>
        </is>
      </c>
    </row>
    <row r="106">
      <c r="A106" t="inlineStr">
        <is>
          <t>Furniture Cushions</t>
        </is>
      </c>
      <c r="BO106" t="inlineStr">
        <is>
          <t>Bromate</t>
        </is>
      </c>
      <c r="BP106" t="inlineStr">
        <is>
          <t>Hong Kong</t>
        </is>
      </c>
    </row>
    <row r="107">
      <c r="A107" t="inlineStr">
        <is>
          <t>Accent Stools</t>
        </is>
      </c>
      <c r="BO107" t="inlineStr">
        <is>
          <t>Bromochloroacetic acid</t>
        </is>
      </c>
      <c r="BP107" t="inlineStr">
        <is>
          <t>Hungary</t>
        </is>
      </c>
    </row>
    <row r="108">
      <c r="A108" t="inlineStr">
        <is>
          <t>Locker Room Benches</t>
        </is>
      </c>
      <c r="BO108" t="inlineStr">
        <is>
          <t>Bromodichloroacetic acid</t>
        </is>
      </c>
      <c r="BP108" t="inlineStr">
        <is>
          <t>Iceland</t>
        </is>
      </c>
    </row>
    <row r="109">
      <c r="A109" t="inlineStr">
        <is>
          <t>Living Room Sets</t>
        </is>
      </c>
      <c r="BO109" t="inlineStr">
        <is>
          <t>Bromodichloromethane</t>
        </is>
      </c>
      <c r="BP109" t="inlineStr">
        <is>
          <t>India</t>
        </is>
      </c>
    </row>
    <row r="110">
      <c r="A110" t="inlineStr">
        <is>
          <t>Sofas</t>
        </is>
      </c>
      <c r="BO110" t="inlineStr">
        <is>
          <t>Bromoethane</t>
        </is>
      </c>
      <c r="BP110" t="inlineStr">
        <is>
          <t>Indonesia</t>
        </is>
      </c>
    </row>
    <row r="111">
      <c r="A111" t="inlineStr">
        <is>
          <t>Sectionals</t>
        </is>
      </c>
      <c r="BO111" t="inlineStr">
        <is>
          <t>Bromoform</t>
        </is>
      </c>
      <c r="BP111" t="inlineStr">
        <is>
          <t>Iran, Islamic Republic of</t>
        </is>
      </c>
    </row>
    <row r="112">
      <c r="A112" t="inlineStr">
        <is>
          <t>Ottomans</t>
        </is>
      </c>
      <c r="BO112" t="inlineStr">
        <is>
          <t>1-Bromopropane (1-BP)</t>
        </is>
      </c>
      <c r="BP112" t="inlineStr">
        <is>
          <t>Iraq</t>
        </is>
      </c>
    </row>
    <row r="113">
      <c r="A113" t="inlineStr">
        <is>
          <t>Listening Centers</t>
        </is>
      </c>
      <c r="BO113" t="inlineStr">
        <is>
          <t>Bromoxynil</t>
        </is>
      </c>
      <c r="BP113" t="inlineStr">
        <is>
          <t>Ireland</t>
        </is>
      </c>
    </row>
    <row r="114">
      <c r="A114" t="inlineStr">
        <is>
          <t>Outdoor Fireplaces</t>
        </is>
      </c>
      <c r="BO114" t="inlineStr">
        <is>
          <t>Bromoxynil octanoate</t>
        </is>
      </c>
      <c r="BP114" t="inlineStr">
        <is>
          <t>Isle of Man</t>
        </is>
      </c>
    </row>
    <row r="115">
      <c r="A115" t="inlineStr">
        <is>
          <t>Projectors</t>
        </is>
      </c>
      <c r="BO115" t="inlineStr">
        <is>
          <t>Butabarbital sodium</t>
        </is>
      </c>
      <c r="BP115" t="inlineStr">
        <is>
          <t>Israel</t>
        </is>
      </c>
    </row>
    <row r="116">
      <c r="A116" t="inlineStr">
        <is>
          <t>Light Bulbs</t>
        </is>
      </c>
      <c r="BO116" t="inlineStr">
        <is>
          <t>1,3-Butadiene</t>
        </is>
      </c>
      <c r="BP116" t="inlineStr">
        <is>
          <t>Italy</t>
        </is>
      </c>
    </row>
    <row r="117">
      <c r="A117" t="inlineStr">
        <is>
          <t>Patio Ottomans</t>
        </is>
      </c>
      <c r="BO117" t="inlineStr">
        <is>
          <t>1,4-Butanediol dimethanesulfonate (Busulfan)</t>
        </is>
      </c>
      <c r="BP117" t="inlineStr">
        <is>
          <t>Jamaica</t>
        </is>
      </c>
    </row>
    <row r="118">
      <c r="A118" t="inlineStr">
        <is>
          <t>Planters</t>
        </is>
      </c>
      <c r="BO118" t="inlineStr">
        <is>
          <t>Butylated hydroxyanisole</t>
        </is>
      </c>
      <c r="BP118" t="inlineStr">
        <is>
          <t>Japan</t>
        </is>
      </c>
    </row>
    <row r="119">
      <c r="A119" t="inlineStr">
        <is>
          <t>Toy Boxes and Organizers</t>
        </is>
      </c>
      <c r="BO119" t="inlineStr">
        <is>
          <t>Butyl benzyl phthalate (BBP)d</t>
        </is>
      </c>
      <c r="BP119" t="inlineStr">
        <is>
          <t>Jersey</t>
        </is>
      </c>
    </row>
    <row r="120">
      <c r="A120" t="inlineStr">
        <is>
          <t>Rocking Horses</t>
        </is>
      </c>
      <c r="BO120" t="inlineStr">
        <is>
          <t>beta-Butyrolactone</t>
        </is>
      </c>
      <c r="BP120" t="inlineStr">
        <is>
          <t>Jordan</t>
        </is>
      </c>
    </row>
    <row r="121">
      <c r="A121" t="inlineStr">
        <is>
          <t>Stair Treads</t>
        </is>
      </c>
      <c r="BO121" t="inlineStr">
        <is>
          <t>Cacodylic acid</t>
        </is>
      </c>
      <c r="BP121" t="inlineStr">
        <is>
          <t>Kazakhstan</t>
        </is>
      </c>
    </row>
    <row r="122">
      <c r="A122" t="inlineStr">
        <is>
          <t>Rug Care</t>
        </is>
      </c>
      <c r="BO122" t="inlineStr">
        <is>
          <t>Cadmium</t>
        </is>
      </c>
      <c r="BP122" t="inlineStr">
        <is>
          <t>Kenya</t>
        </is>
      </c>
    </row>
    <row r="123">
      <c r="A123" t="inlineStr">
        <is>
          <t>Kids Chairs</t>
        </is>
      </c>
      <c r="BO123" t="inlineStr">
        <is>
          <t>Cadmium and cadmium compounds</t>
        </is>
      </c>
      <c r="BP123" t="inlineStr">
        <is>
          <t>Kiribati</t>
        </is>
      </c>
    </row>
    <row r="124">
      <c r="A124" t="inlineStr">
        <is>
          <t>Bath Accessories</t>
        </is>
      </c>
      <c r="BO124" t="inlineStr">
        <is>
          <t>Caffeic acid</t>
        </is>
      </c>
      <c r="BP124" t="inlineStr">
        <is>
          <t>Korea, Democratic People's Republic of</t>
        </is>
      </c>
    </row>
    <row r="125">
      <c r="A125" t="inlineStr">
        <is>
          <t>Storage Drawers</t>
        </is>
      </c>
      <c r="BO125" t="inlineStr">
        <is>
          <t>Captafol</t>
        </is>
      </c>
      <c r="BP125" t="inlineStr">
        <is>
          <t>Korea, Republic of</t>
        </is>
      </c>
    </row>
    <row r="126">
      <c r="A126" t="inlineStr">
        <is>
          <t>Cribs</t>
        </is>
      </c>
      <c r="BO126" t="inlineStr">
        <is>
          <t>Captan</t>
        </is>
      </c>
      <c r="BP126" t="inlineStr">
        <is>
          <t>Kuwait</t>
        </is>
      </c>
    </row>
    <row r="127">
      <c r="A127" t="inlineStr">
        <is>
          <t>Cable Management</t>
        </is>
      </c>
      <c r="BO127" t="inlineStr">
        <is>
          <t>Carbamazepine</t>
        </is>
      </c>
      <c r="BP127" t="inlineStr">
        <is>
          <t>Kyrgyzstan</t>
        </is>
      </c>
    </row>
    <row r="128">
      <c r="A128" t="inlineStr">
        <is>
          <t>Locker Accessories</t>
        </is>
      </c>
      <c r="BO128" t="inlineStr">
        <is>
          <t>Carbaryl</t>
        </is>
      </c>
      <c r="BP128" t="inlineStr">
        <is>
          <t>Lao People's Democratic Republic</t>
        </is>
      </c>
    </row>
    <row r="129">
      <c r="A129" t="inlineStr">
        <is>
          <t>Kids Tables and Sets</t>
        </is>
      </c>
      <c r="BO129" t="inlineStr">
        <is>
          <t>Carbazole</t>
        </is>
      </c>
      <c r="BP129" t="inlineStr">
        <is>
          <t>Latvia</t>
        </is>
      </c>
    </row>
    <row r="130">
      <c r="A130" t="inlineStr">
        <is>
          <t>Breakroom Tables</t>
        </is>
      </c>
      <c r="BO130" t="inlineStr">
        <is>
          <t>Carbon black (airborne, unbound particles of respirable size)</t>
        </is>
      </c>
      <c r="BP130" t="inlineStr">
        <is>
          <t>Lebanon</t>
        </is>
      </c>
    </row>
    <row r="131">
      <c r="A131" t="inlineStr">
        <is>
          <t>Air Mattresses</t>
        </is>
      </c>
      <c r="BO131" t="inlineStr">
        <is>
          <t>Carbon-black extracts</t>
        </is>
      </c>
      <c r="BP131" t="inlineStr">
        <is>
          <t>Lesotho</t>
        </is>
      </c>
    </row>
    <row r="132">
      <c r="A132" t="inlineStr">
        <is>
          <t>Board &amp; Easel Accessories</t>
        </is>
      </c>
      <c r="BO132" t="inlineStr">
        <is>
          <t>Carbon disulfide</t>
        </is>
      </c>
      <c r="BP132" t="inlineStr">
        <is>
          <t>Liberia</t>
        </is>
      </c>
    </row>
    <row r="133">
      <c r="A133" t="inlineStr">
        <is>
          <t>Bassinets &amp; Cradles</t>
        </is>
      </c>
      <c r="BO133" t="inlineStr">
        <is>
          <t>Carbon monoxide</t>
        </is>
      </c>
      <c r="BP133" t="inlineStr">
        <is>
          <t>Libyan Arab Jamahiriya</t>
        </is>
      </c>
    </row>
    <row r="134">
      <c r="A134" t="inlineStr">
        <is>
          <t>Patio Heaters</t>
        </is>
      </c>
      <c r="BO134" t="inlineStr">
        <is>
          <t>Carbon tetrachloride</t>
        </is>
      </c>
      <c r="BP134" t="inlineStr">
        <is>
          <t>Liechtenstein</t>
        </is>
      </c>
    </row>
    <row r="135">
      <c r="A135" t="inlineStr">
        <is>
          <t xml:space="preserve"> Multi-Child Strollers</t>
        </is>
      </c>
      <c r="BO135" t="inlineStr">
        <is>
          <t>Carboplatin</t>
        </is>
      </c>
      <c r="BP135" t="inlineStr">
        <is>
          <t>Lithuania</t>
        </is>
      </c>
    </row>
    <row r="136">
      <c r="A136" t="inlineStr">
        <is>
          <t>Trellises</t>
        </is>
      </c>
      <c r="BO136" t="inlineStr">
        <is>
          <t>N-Carboxymethyl-N-nitrosourea</t>
        </is>
      </c>
      <c r="BP136" t="inlineStr">
        <is>
          <t>Luxembourg</t>
        </is>
      </c>
    </row>
    <row r="137">
      <c r="A137" t="inlineStr">
        <is>
          <t>Chairmats</t>
        </is>
      </c>
      <c r="BO137" t="inlineStr">
        <is>
          <t>Catechol</t>
        </is>
      </c>
      <c r="BP137" t="inlineStr">
        <is>
          <t>Macao</t>
        </is>
      </c>
    </row>
    <row r="138">
      <c r="A138" t="inlineStr">
        <is>
          <t>Dollhouses</t>
        </is>
      </c>
      <c r="BO138" t="inlineStr">
        <is>
          <t>Ceramic fibers (airborne particles of respirable size)</t>
        </is>
      </c>
      <c r="BP138" t="inlineStr">
        <is>
          <t>Macedonia, The Former Yugoslav Republic of</t>
        </is>
      </c>
    </row>
    <row r="139">
      <c r="A139" t="inlineStr">
        <is>
          <t>Mailroom Tables</t>
        </is>
      </c>
      <c r="BO139" t="inlineStr">
        <is>
          <t>Certain combined chemotherapy for lymphomas</t>
        </is>
      </c>
      <c r="BP139" t="inlineStr">
        <is>
          <t>Madagascar</t>
        </is>
      </c>
    </row>
    <row r="140">
      <c r="A140" t="inlineStr">
        <is>
          <t>Maps &amp; Atlases</t>
        </is>
      </c>
      <c r="BO140" t="inlineStr">
        <is>
          <t>Chenodiol</t>
        </is>
      </c>
      <c r="BP140" t="inlineStr">
        <is>
          <t>Malawi</t>
        </is>
      </c>
    </row>
    <row r="141">
      <c r="A141" t="inlineStr">
        <is>
          <t>Door Bells &amp; Chimes</t>
        </is>
      </c>
      <c r="BO141" t="inlineStr">
        <is>
          <t>Chloral</t>
        </is>
      </c>
      <c r="BP141" t="inlineStr">
        <is>
          <t>Malaysia</t>
        </is>
      </c>
    </row>
    <row r="142">
      <c r="A142" t="inlineStr">
        <is>
          <t>Coffee &amp; Cocktail Tables</t>
        </is>
      </c>
      <c r="BO142" t="inlineStr">
        <is>
          <t>Chloral hydrate</t>
        </is>
      </c>
      <c r="BP142" t="inlineStr">
        <is>
          <t>Maldives</t>
        </is>
      </c>
    </row>
    <row r="143">
      <c r="A143" t="inlineStr">
        <is>
          <t>End Tables</t>
        </is>
      </c>
      <c r="BO143" t="inlineStr">
        <is>
          <t>Chlorambucil</t>
        </is>
      </c>
      <c r="BP143" t="inlineStr">
        <is>
          <t>Mali</t>
        </is>
      </c>
    </row>
    <row r="144">
      <c r="A144" t="inlineStr">
        <is>
          <t>Sofa &amp; Console Tables</t>
        </is>
      </c>
      <c r="BO144" t="inlineStr">
        <is>
          <t>Chloramphenicol sodium succinate</t>
        </is>
      </c>
      <c r="BP144" t="inlineStr">
        <is>
          <t>Malta</t>
        </is>
      </c>
    </row>
    <row r="145">
      <c r="A145" t="inlineStr">
        <is>
          <t>Smoking Urns &amp; Ashtrays</t>
        </is>
      </c>
      <c r="BO145" t="inlineStr">
        <is>
          <t>Chlorcyclizine hydrochloride</t>
        </is>
      </c>
      <c r="BP145" t="inlineStr">
        <is>
          <t>Marshall Islands</t>
        </is>
      </c>
    </row>
    <row r="146">
      <c r="A146" t="inlineStr">
        <is>
          <t>Portable Fans</t>
        </is>
      </c>
      <c r="BO146" t="inlineStr">
        <is>
          <t>Chlordane</t>
        </is>
      </c>
      <c r="BP146" t="inlineStr">
        <is>
          <t>Martinique</t>
        </is>
      </c>
    </row>
    <row r="147">
      <c r="A147" t="inlineStr">
        <is>
          <t>Living Room Table Sets</t>
        </is>
      </c>
      <c r="BO147" t="inlineStr">
        <is>
          <t>Chlordecone (Kepone)</t>
        </is>
      </c>
      <c r="BP147" t="inlineStr">
        <is>
          <t>Mauritania</t>
        </is>
      </c>
    </row>
    <row r="148">
      <c r="A148" t="inlineStr">
        <is>
          <t>Trash Cans &amp; Recycling</t>
        </is>
      </c>
      <c r="BO148" t="inlineStr">
        <is>
          <t>Chlordiazepoxide</t>
        </is>
      </c>
      <c r="BP148" t="inlineStr">
        <is>
          <t>Mauritius</t>
        </is>
      </c>
    </row>
    <row r="149">
      <c r="A149" t="inlineStr">
        <is>
          <t>Jewelry Boxes</t>
        </is>
      </c>
      <c r="BO149" t="inlineStr">
        <is>
          <t>Chlordiazepoxide hydrochloride</t>
        </is>
      </c>
      <c r="BP149" t="inlineStr">
        <is>
          <t>Mayotte</t>
        </is>
      </c>
    </row>
    <row r="150">
      <c r="A150" t="inlineStr">
        <is>
          <t>Massage Chairs</t>
        </is>
      </c>
      <c r="BO150" t="inlineStr">
        <is>
          <t>Chlordimeform</t>
        </is>
      </c>
      <c r="BP150" t="inlineStr">
        <is>
          <t>Mexico</t>
        </is>
      </c>
    </row>
    <row r="151">
      <c r="A151" t="inlineStr">
        <is>
          <t>Wall Mounted Shelves</t>
        </is>
      </c>
      <c r="BO151" t="inlineStr">
        <is>
          <t>Chlorendic acid</t>
        </is>
      </c>
      <c r="BP151" t="inlineStr">
        <is>
          <t>Micronesia, Federated States of</t>
        </is>
      </c>
    </row>
    <row r="152">
      <c r="A152" t="inlineStr">
        <is>
          <t>Home Theater Seating</t>
        </is>
      </c>
      <c r="BO152" t="inlineStr">
        <is>
          <t>Chlorinated paraffins (Average chain length, C12;approximately 60 percent chlorine by weight)</t>
        </is>
      </c>
      <c r="BP152" t="inlineStr">
        <is>
          <t>Moldova, Republic of</t>
        </is>
      </c>
    </row>
    <row r="153">
      <c r="A153" t="inlineStr">
        <is>
          <t>Sheds</t>
        </is>
      </c>
      <c r="BO153" t="inlineStr">
        <is>
          <t>p-Chloroaniline</t>
        </is>
      </c>
      <c r="BP153" t="inlineStr">
        <is>
          <t>Monaco</t>
        </is>
      </c>
    </row>
    <row r="154">
      <c r="A154" t="inlineStr">
        <is>
          <t>Trash Can Accessories</t>
        </is>
      </c>
      <c r="BO154" t="inlineStr">
        <is>
          <t>p-Chloroaniline hydrochloride</t>
        </is>
      </c>
      <c r="BP154" t="inlineStr">
        <is>
          <t>Mongolia</t>
        </is>
      </c>
    </row>
    <row r="155">
      <c r="A155" t="inlineStr">
        <is>
          <t>Baby &amp; Kids Nap Mats and Playmats</t>
        </is>
      </c>
      <c r="BO155" t="inlineStr">
        <is>
          <t>Chloroethane (Ethyl chloride)</t>
        </is>
      </c>
      <c r="BP155" t="inlineStr">
        <is>
          <t>Montenegro</t>
        </is>
      </c>
    </row>
    <row r="156">
      <c r="A156" t="inlineStr">
        <is>
          <t>Ride-On Toys</t>
        </is>
      </c>
      <c r="BO156" t="inlineStr">
        <is>
          <t>1-(2-Chloroethyl)-3-cyclohexyl-1-nitrosourea (CCNU) (Lomustine)</t>
        </is>
      </c>
      <c r="BP156" t="inlineStr">
        <is>
          <t>Montserrat</t>
        </is>
      </c>
    </row>
    <row r="157">
      <c r="A157" t="inlineStr">
        <is>
          <t>Classroom Storage</t>
        </is>
      </c>
      <c r="BO157" t="inlineStr">
        <is>
          <t>1-(2-Chloroethyl)-3-(4-methylcyclohexyl)-1-nitrosourea (Methyl-CCNU)</t>
        </is>
      </c>
      <c r="BP157" t="inlineStr">
        <is>
          <t>Morocco</t>
        </is>
      </c>
    </row>
    <row r="158">
      <c r="A158" t="inlineStr">
        <is>
          <t>Canopies</t>
        </is>
      </c>
      <c r="BO158" t="inlineStr">
        <is>
          <t>Chloromethyl methyl ether (technical grade)</t>
        </is>
      </c>
      <c r="BP158" t="inlineStr">
        <is>
          <t>Mozambique</t>
        </is>
      </c>
    </row>
    <row r="159">
      <c r="A159" t="inlineStr">
        <is>
          <t>Kids Bookcases</t>
        </is>
      </c>
      <c r="BO159" t="inlineStr">
        <is>
          <t>3-Chloro-2-methylpropene</t>
        </is>
      </c>
      <c r="BP159" t="inlineStr">
        <is>
          <t>Myanmar</t>
        </is>
      </c>
    </row>
    <row r="160">
      <c r="A160" t="inlineStr">
        <is>
          <t>Laundry Accessories &amp; Storage</t>
        </is>
      </c>
      <c r="BO160" t="inlineStr">
        <is>
          <t>1-Chloro-4-nitrobenzene</t>
        </is>
      </c>
      <c r="BP160" t="inlineStr">
        <is>
          <t>Namibia</t>
        </is>
      </c>
    </row>
    <row r="161">
      <c r="A161" t="inlineStr">
        <is>
          <t>Vases, Urns, Jars, &amp; Bottles</t>
        </is>
      </c>
      <c r="BO161" t="inlineStr">
        <is>
          <t>4-Chloro-o-phenylenediamine</t>
        </is>
      </c>
      <c r="BP161" t="inlineStr">
        <is>
          <t>Nauru</t>
        </is>
      </c>
    </row>
    <row r="162">
      <c r="A162" t="inlineStr">
        <is>
          <t>Greenhouses</t>
        </is>
      </c>
      <c r="BO162" t="inlineStr">
        <is>
          <t>Chloroprene</t>
        </is>
      </c>
      <c r="BP162" t="inlineStr">
        <is>
          <t>Nepal</t>
        </is>
      </c>
    </row>
    <row r="163">
      <c r="A163" t="inlineStr">
        <is>
          <t>Greenhouse Accessories</t>
        </is>
      </c>
      <c r="BO163" t="inlineStr">
        <is>
          <t>Chlorothalonil</t>
        </is>
      </c>
      <c r="BP163" t="inlineStr">
        <is>
          <t>Netherlands</t>
        </is>
      </c>
    </row>
    <row r="164">
      <c r="A164" t="inlineStr">
        <is>
          <t>Shed Accessories</t>
        </is>
      </c>
      <c r="BO164" t="inlineStr">
        <is>
          <t>p-Chloro-o-toluidine</t>
        </is>
      </c>
      <c r="BP164" t="inlineStr">
        <is>
          <t>Netherlands Antilles</t>
        </is>
      </c>
    </row>
    <row r="165">
      <c r="A165" t="inlineStr">
        <is>
          <t>Activity Tables</t>
        </is>
      </c>
      <c r="BO165" t="inlineStr">
        <is>
          <t>p-Chloro-o-toluidine, strong acid salts of</t>
        </is>
      </c>
      <c r="BP165" t="inlineStr">
        <is>
          <t>New Caledonia</t>
        </is>
      </c>
    </row>
    <row r="166">
      <c r="A166" t="inlineStr">
        <is>
          <t>Soft Play</t>
        </is>
      </c>
      <c r="BO166" t="inlineStr">
        <is>
          <t>5-Chloro-o-toluidine and its strong acid salts</t>
        </is>
      </c>
      <c r="BP166" t="inlineStr">
        <is>
          <t>New Zealand</t>
        </is>
      </c>
    </row>
    <row r="167">
      <c r="A167" t="inlineStr">
        <is>
          <t>Mailboxes</t>
        </is>
      </c>
      <c r="BO167" t="inlineStr">
        <is>
          <t>Chlorotrianisene</t>
        </is>
      </c>
      <c r="BP167" t="inlineStr">
        <is>
          <t>Nicaragua</t>
        </is>
      </c>
    </row>
    <row r="168">
      <c r="A168" t="inlineStr">
        <is>
          <t>Mailbox Accessories</t>
        </is>
      </c>
      <c r="BO168" t="inlineStr">
        <is>
          <t>Chlorozotocin</t>
        </is>
      </c>
      <c r="BP168" t="inlineStr">
        <is>
          <t>Niger</t>
        </is>
      </c>
    </row>
    <row r="169">
      <c r="A169" t="inlineStr">
        <is>
          <t>Mailbox Posts &amp; Stands</t>
        </is>
      </c>
      <c r="BO169" t="inlineStr">
        <is>
          <t>Chlorpyrifos</t>
        </is>
      </c>
      <c r="BP169" t="inlineStr">
        <is>
          <t>Nigeria</t>
        </is>
      </c>
    </row>
    <row r="170">
      <c r="A170" t="inlineStr">
        <is>
          <t>Address Plaques &amp; Lettering</t>
        </is>
      </c>
      <c r="BO170" t="inlineStr">
        <is>
          <t>Chromium (hexavalent compounds)</t>
        </is>
      </c>
      <c r="BP170" t="inlineStr">
        <is>
          <t>Niue</t>
        </is>
      </c>
    </row>
    <row r="171">
      <c r="A171" t="inlineStr">
        <is>
          <t>Banner Stands and Booth Displays</t>
        </is>
      </c>
      <c r="BO171" t="inlineStr">
        <is>
          <t>Chrysene</t>
        </is>
      </c>
      <c r="BP171" t="inlineStr">
        <is>
          <t>Norfolk Island</t>
        </is>
      </c>
    </row>
    <row r="172">
      <c r="A172" t="inlineStr">
        <is>
          <t>Toilets</t>
        </is>
      </c>
      <c r="BO172" t="inlineStr">
        <is>
          <t>C.I. Acid Red 114</t>
        </is>
      </c>
      <c r="BP172" t="inlineStr">
        <is>
          <t>Northern Mariana Islands</t>
        </is>
      </c>
    </row>
    <row r="173">
      <c r="A173" t="inlineStr">
        <is>
          <t>Bathroom Sinks</t>
        </is>
      </c>
      <c r="BO173" t="inlineStr">
        <is>
          <t>C.I. Basic Red 9 monohydrochloride</t>
        </is>
      </c>
      <c r="BP173" t="inlineStr">
        <is>
          <t>Norway</t>
        </is>
      </c>
    </row>
    <row r="174">
      <c r="A174" t="inlineStr">
        <is>
          <t>Tubs And Whirlpools</t>
        </is>
      </c>
      <c r="BO174" t="inlineStr">
        <is>
          <t>C.I. Direct Blue 15</t>
        </is>
      </c>
      <c r="BP174" t="inlineStr">
        <is>
          <t>Oman</t>
        </is>
      </c>
    </row>
    <row r="175">
      <c r="A175" t="inlineStr">
        <is>
          <t>Cart Accessories &amp; Parts</t>
        </is>
      </c>
      <c r="BO175" t="inlineStr">
        <is>
          <t>C.I. Direct Blue 218</t>
        </is>
      </c>
      <c r="BP175" t="inlineStr">
        <is>
          <t>Pakistan</t>
        </is>
      </c>
    </row>
    <row r="176">
      <c r="A176" t="inlineStr">
        <is>
          <t>Baking Sheets</t>
        </is>
      </c>
      <c r="BO176" t="inlineStr">
        <is>
          <t>C.I. Disperse Yellow 3</t>
        </is>
      </c>
      <c r="BP176" t="inlineStr">
        <is>
          <t>Palau</t>
        </is>
      </c>
    </row>
    <row r="177">
      <c r="A177" t="inlineStr">
        <is>
          <t>Pie Pans</t>
        </is>
      </c>
      <c r="BO177" t="inlineStr">
        <is>
          <t>C.I. Solvent Yellow 14</t>
        </is>
      </c>
      <c r="BP177" t="inlineStr">
        <is>
          <t>Palestinian Territory, Occupied</t>
        </is>
      </c>
    </row>
    <row r="178">
      <c r="A178" t="inlineStr">
        <is>
          <t>Cake Pans</t>
        </is>
      </c>
      <c r="BO178" t="inlineStr">
        <is>
          <t>Ciclosporin (Cyclosporin A; Cyclosporine)</t>
        </is>
      </c>
      <c r="BP178" t="inlineStr">
        <is>
          <t>Panama</t>
        </is>
      </c>
    </row>
    <row r="179">
      <c r="A179" t="inlineStr">
        <is>
          <t>Fixture Parts And Components</t>
        </is>
      </c>
      <c r="BO179" t="inlineStr">
        <is>
          <t>Cidofovir</t>
        </is>
      </c>
      <c r="BP179" t="inlineStr">
        <is>
          <t>Papua New Guinea</t>
        </is>
      </c>
    </row>
    <row r="180">
      <c r="A180" t="inlineStr">
        <is>
          <t>Garden Statues</t>
        </is>
      </c>
      <c r="BO180" t="inlineStr">
        <is>
          <t>Cinnamyl anthranilate</t>
        </is>
      </c>
      <c r="BP180" t="inlineStr">
        <is>
          <t>Paraguay</t>
        </is>
      </c>
    </row>
    <row r="181">
      <c r="A181" t="inlineStr">
        <is>
          <t>Patio Furniture Replacement Slings</t>
        </is>
      </c>
      <c r="BO181" t="inlineStr">
        <is>
          <t>Cisplatin</t>
        </is>
      </c>
      <c r="BP181" t="inlineStr">
        <is>
          <t>Peru</t>
        </is>
      </c>
    </row>
    <row r="182">
      <c r="A182" t="inlineStr">
        <is>
          <t>Vehicle Ports</t>
        </is>
      </c>
      <c r="BO182" t="inlineStr">
        <is>
          <t>Citrus Red No. 2</t>
        </is>
      </c>
      <c r="BP182" t="inlineStr">
        <is>
          <t>Philippines</t>
        </is>
      </c>
    </row>
    <row r="183">
      <c r="A183" t="inlineStr">
        <is>
          <t>Drains</t>
        </is>
      </c>
      <c r="BO183" t="inlineStr">
        <is>
          <t>Cladribine</t>
        </is>
      </c>
      <c r="BP183" t="inlineStr">
        <is>
          <t>Pitcairn</t>
        </is>
      </c>
    </row>
    <row r="184">
      <c r="A184" t="inlineStr">
        <is>
          <t>Kitchen Sinks</t>
        </is>
      </c>
      <c r="BO184" t="inlineStr">
        <is>
          <t>Clarithromycin</t>
        </is>
      </c>
      <c r="BP184" t="inlineStr">
        <is>
          <t>Poland</t>
        </is>
      </c>
    </row>
    <row r="185">
      <c r="A185" t="inlineStr">
        <is>
          <t>Medicine Cabinets</t>
        </is>
      </c>
      <c r="BO185" t="inlineStr">
        <is>
          <t>Clobetasol propionate</t>
        </is>
      </c>
      <c r="BP185" t="inlineStr">
        <is>
          <t>Portugal</t>
        </is>
      </c>
    </row>
    <row r="186">
      <c r="A186" t="inlineStr">
        <is>
          <t>Valves</t>
        </is>
      </c>
      <c r="BO186" t="inlineStr">
        <is>
          <t>Clofibrate</t>
        </is>
      </c>
      <c r="BP186" t="inlineStr">
        <is>
          <t>Puerto Rico</t>
        </is>
      </c>
    </row>
    <row r="187">
      <c r="A187" t="inlineStr">
        <is>
          <t>Kitchen Sink Accessories</t>
        </is>
      </c>
      <c r="BO187" t="inlineStr">
        <is>
          <t>Clomiphene citrate</t>
        </is>
      </c>
      <c r="BP187" t="inlineStr">
        <is>
          <t>Qatar</t>
        </is>
      </c>
    </row>
    <row r="188">
      <c r="A188" t="inlineStr">
        <is>
          <t>Salt And Pepper Shakers / Grinders (Mills)</t>
        </is>
      </c>
      <c r="BO188" t="inlineStr">
        <is>
          <t>Clorazepate dipotassium</t>
        </is>
      </c>
      <c r="BP188" t="inlineStr">
        <is>
          <t>Reunion</t>
        </is>
      </c>
    </row>
    <row r="189">
      <c r="A189" t="inlineStr">
        <is>
          <t>Blinds and Shades</t>
        </is>
      </c>
      <c r="BO189" t="inlineStr">
        <is>
          <t>CMNP (pyrazachlor)</t>
        </is>
      </c>
      <c r="BP189" t="inlineStr">
        <is>
          <t>Romania</t>
        </is>
      </c>
    </row>
    <row r="190">
      <c r="A190" t="inlineStr">
        <is>
          <t>Picture Frames</t>
        </is>
      </c>
      <c r="BO190" t="inlineStr">
        <is>
          <t>Cobalt metal powder</t>
        </is>
      </c>
      <c r="BP190" t="inlineStr">
        <is>
          <t>Russian Federation</t>
        </is>
      </c>
    </row>
    <row r="191">
      <c r="A191" t="inlineStr">
        <is>
          <t>Safe Accessories</t>
        </is>
      </c>
      <c r="BO191" t="inlineStr">
        <is>
          <t>Cobalt [II] oxide</t>
        </is>
      </c>
      <c r="BP191" t="inlineStr">
        <is>
          <t>Rwanda</t>
        </is>
      </c>
    </row>
    <row r="192">
      <c r="A192" t="inlineStr">
        <is>
          <t>Kitchen Faucets</t>
        </is>
      </c>
      <c r="BO192" t="inlineStr">
        <is>
          <t>Cobalt sulfate</t>
        </is>
      </c>
      <c r="BP192" t="inlineStr">
        <is>
          <t>Saint Barthélemy</t>
        </is>
      </c>
    </row>
    <row r="193">
      <c r="A193" t="inlineStr">
        <is>
          <t>Bathroom Sink Faucets</t>
        </is>
      </c>
      <c r="BO193" t="inlineStr">
        <is>
          <t>Cobalt sulfate heptahydrate</t>
        </is>
      </c>
      <c r="BP193" t="inlineStr">
        <is>
          <t>Saint Helena</t>
        </is>
      </c>
    </row>
    <row r="194">
      <c r="A194" t="inlineStr">
        <is>
          <t>Range Hoods</t>
        </is>
      </c>
      <c r="BO194" t="inlineStr">
        <is>
          <t>Cocaine</t>
        </is>
      </c>
      <c r="BP194" t="inlineStr">
        <is>
          <t>Saint Kitts and Nevis</t>
        </is>
      </c>
    </row>
    <row r="195">
      <c r="A195" t="inlineStr">
        <is>
          <t>Science Tables</t>
        </is>
      </c>
      <c r="BO195" t="inlineStr">
        <is>
          <t>Coconut oil diethanolamine condensate (cocamide diethanolamine)</t>
        </is>
      </c>
      <c r="BP195" t="inlineStr">
        <is>
          <t>Saint Lucia</t>
        </is>
      </c>
    </row>
    <row r="196">
      <c r="A196" t="inlineStr">
        <is>
          <t>Cooking Utensils</t>
        </is>
      </c>
      <c r="BO196" t="inlineStr">
        <is>
          <t>Codeine phosphate</t>
        </is>
      </c>
      <c r="BP196" t="inlineStr">
        <is>
          <t>Saint Martin</t>
        </is>
      </c>
    </row>
    <row r="197">
      <c r="A197" t="inlineStr">
        <is>
          <t>Toilet Seats</t>
        </is>
      </c>
      <c r="BO197" t="inlineStr">
        <is>
          <t>Coke oven emissions</t>
        </is>
      </c>
      <c r="BP197" t="inlineStr">
        <is>
          <t>Saint Pierre and Miquelon</t>
        </is>
      </c>
    </row>
    <row r="198">
      <c r="A198" t="inlineStr">
        <is>
          <t>Birdhouses</t>
        </is>
      </c>
      <c r="BO198" t="inlineStr">
        <is>
          <t>Colchicine</t>
        </is>
      </c>
      <c r="BP198" t="inlineStr">
        <is>
          <t>Saint Vincent and the Grenadines</t>
        </is>
      </c>
    </row>
    <row r="199">
      <c r="A199" t="inlineStr">
        <is>
          <t>Coolers</t>
        </is>
      </c>
      <c r="BO199" t="inlineStr">
        <is>
          <t>Conjugated estrogens</t>
        </is>
      </c>
      <c r="BP199" t="inlineStr">
        <is>
          <t>Samoa</t>
        </is>
      </c>
    </row>
    <row r="200">
      <c r="A200" t="inlineStr">
        <is>
          <t>Play Kitchen Sets</t>
        </is>
      </c>
      <c r="BO200" t="inlineStr">
        <is>
          <t>Creosotes</t>
        </is>
      </c>
      <c r="BP200" t="inlineStr">
        <is>
          <t>San Marino</t>
        </is>
      </c>
    </row>
    <row r="201">
      <c r="A201" t="inlineStr">
        <is>
          <t>Cookware Sets</t>
        </is>
      </c>
      <c r="BO201" t="inlineStr">
        <is>
          <t>p-Cresidine</t>
        </is>
      </c>
      <c r="BP201" t="inlineStr">
        <is>
          <t>Sao Tome and Principe</t>
        </is>
      </c>
    </row>
    <row r="202">
      <c r="A202" t="inlineStr">
        <is>
          <t>Roasting Pans</t>
        </is>
      </c>
      <c r="BO202" t="inlineStr">
        <is>
          <t>Cumene</t>
        </is>
      </c>
      <c r="BP202" t="inlineStr">
        <is>
          <t>Saudi Arabia</t>
        </is>
      </c>
    </row>
    <row r="203">
      <c r="A203" t="inlineStr">
        <is>
          <t>Bed Frames</t>
        </is>
      </c>
      <c r="BO203" t="inlineStr">
        <is>
          <t>Cupferron</t>
        </is>
      </c>
      <c r="BP203" t="inlineStr">
        <is>
          <t>Senegal</t>
        </is>
      </c>
    </row>
    <row r="204">
      <c r="A204" t="inlineStr">
        <is>
          <t>Saucepans And Sauciers</t>
        </is>
      </c>
      <c r="BO204" t="inlineStr">
        <is>
          <t>Cyanazine</t>
        </is>
      </c>
      <c r="BP204" t="inlineStr">
        <is>
          <t>Serbia</t>
        </is>
      </c>
    </row>
    <row r="205">
      <c r="A205" t="inlineStr">
        <is>
          <t>Mobiles</t>
        </is>
      </c>
      <c r="BO205" t="inlineStr">
        <is>
          <t>Cycasin</t>
        </is>
      </c>
      <c r="BP205" t="inlineStr">
        <is>
          <t>Seychelles</t>
        </is>
      </c>
    </row>
    <row r="206">
      <c r="A206" t="inlineStr">
        <is>
          <t>Stock Pots, Soup Pots and Multi-Pots</t>
        </is>
      </c>
      <c r="BO206" t="inlineStr">
        <is>
          <t>Cycloate</t>
        </is>
      </c>
      <c r="BP206" t="inlineStr">
        <is>
          <t>Sierra Leone</t>
        </is>
      </c>
    </row>
    <row r="207">
      <c r="A207" t="inlineStr">
        <is>
          <t>Dutch Ovens &amp; Braisers</t>
        </is>
      </c>
      <c r="BO207" t="inlineStr">
        <is>
          <t>Cycloheximide</t>
        </is>
      </c>
      <c r="BP207" t="inlineStr">
        <is>
          <t>Singapore</t>
        </is>
      </c>
    </row>
    <row r="208">
      <c r="A208" t="inlineStr">
        <is>
          <t>Skillets &amp; Fry Pans</t>
        </is>
      </c>
      <c r="BO208" t="inlineStr">
        <is>
          <t>Cyclopenta[cd]pyrene</t>
        </is>
      </c>
      <c r="BP208" t="inlineStr">
        <is>
          <t>Slovakia</t>
        </is>
      </c>
    </row>
    <row r="209">
      <c r="A209" t="inlineStr">
        <is>
          <t>Fondue Sets</t>
        </is>
      </c>
      <c r="BO209" t="inlineStr">
        <is>
          <t>Cyclophosphamide (anhydrous)</t>
        </is>
      </c>
      <c r="BP209" t="inlineStr">
        <is>
          <t>Slovenia</t>
        </is>
      </c>
    </row>
    <row r="210">
      <c r="A210" t="inlineStr">
        <is>
          <t>Dinnerware Sets &amp; Place Settings</t>
        </is>
      </c>
      <c r="BO210" t="inlineStr">
        <is>
          <t>Cyclophosphamide (hydrated)</t>
        </is>
      </c>
      <c r="BP210" t="inlineStr">
        <is>
          <t>Solomon Islands</t>
        </is>
      </c>
    </row>
    <row r="211">
      <c r="A211" t="inlineStr">
        <is>
          <t>Waterbeds</t>
        </is>
      </c>
      <c r="BO211" t="inlineStr">
        <is>
          <t>Cyhexatin</t>
        </is>
      </c>
      <c r="BP211" t="inlineStr">
        <is>
          <t>Somalia</t>
        </is>
      </c>
    </row>
    <row r="212">
      <c r="A212" t="inlineStr">
        <is>
          <t>Waterbed Parts And Accessories</t>
        </is>
      </c>
      <c r="BO212" t="inlineStr">
        <is>
          <t>Cytarabine</t>
        </is>
      </c>
      <c r="BP212" t="inlineStr">
        <is>
          <t>South Africa</t>
        </is>
      </c>
    </row>
    <row r="213">
      <c r="A213" t="inlineStr">
        <is>
          <t>Slipcovers</t>
        </is>
      </c>
      <c r="BO213" t="inlineStr">
        <is>
          <t>Cytembena</t>
        </is>
      </c>
      <c r="BP213" t="inlineStr">
        <is>
          <t>South Georgia and the South Sandwich Islands</t>
        </is>
      </c>
    </row>
    <row r="214">
      <c r="A214" t="inlineStr">
        <is>
          <t>Under Cabinet Lighting</t>
        </is>
      </c>
      <c r="BO214" t="inlineStr">
        <is>
          <t>D&amp;C Orange No. 17</t>
        </is>
      </c>
      <c r="BP214" t="inlineStr">
        <is>
          <t>Spain</t>
        </is>
      </c>
    </row>
    <row r="215">
      <c r="A215" t="inlineStr">
        <is>
          <t>Bidet Faucets</t>
        </is>
      </c>
      <c r="BO215" t="inlineStr">
        <is>
          <t>D&amp;C Red No. 8</t>
        </is>
      </c>
      <c r="BP215" t="inlineStr">
        <is>
          <t>Sri Lanka</t>
        </is>
      </c>
    </row>
    <row r="216">
      <c r="A216" t="inlineStr">
        <is>
          <t>Recliners</t>
        </is>
      </c>
      <c r="BO216" t="inlineStr">
        <is>
          <t>D&amp;C Red No. 9</t>
        </is>
      </c>
      <c r="BP216" t="inlineStr">
        <is>
          <t>Sudan</t>
        </is>
      </c>
    </row>
    <row r="217">
      <c r="A217" t="inlineStr">
        <is>
          <t>Specialty Faucets</t>
        </is>
      </c>
      <c r="BO217" t="inlineStr">
        <is>
          <t>D&amp;C Red No. 19</t>
        </is>
      </c>
      <c r="BP217" t="inlineStr">
        <is>
          <t>Suriname</t>
        </is>
      </c>
    </row>
    <row r="218">
      <c r="A218" t="inlineStr">
        <is>
          <t>Urinals</t>
        </is>
      </c>
      <c r="BO218" t="inlineStr">
        <is>
          <t>Dacarbazine</t>
        </is>
      </c>
      <c r="BP218" t="inlineStr">
        <is>
          <t>Svalbard and Jan Mayen</t>
        </is>
      </c>
    </row>
    <row r="219">
      <c r="A219" t="inlineStr">
        <is>
          <t>Bidets</t>
        </is>
      </c>
      <c r="BO219" t="inlineStr">
        <is>
          <t>Daminozide</t>
        </is>
      </c>
      <c r="BP219" t="inlineStr">
        <is>
          <t>Swaziland</t>
        </is>
      </c>
    </row>
    <row r="220">
      <c r="A220" t="inlineStr">
        <is>
          <t>Blenders, Smoothie Makers &amp; Accessories</t>
        </is>
      </c>
      <c r="BO220" t="inlineStr">
        <is>
          <t>Danazol</t>
        </is>
      </c>
      <c r="BP220" t="inlineStr">
        <is>
          <t>Sweden</t>
        </is>
      </c>
    </row>
    <row r="221">
      <c r="A221" t="inlineStr">
        <is>
          <t>Mixers &amp; Mixer Accessories</t>
        </is>
      </c>
      <c r="BO221" t="inlineStr">
        <is>
          <t>Dantron (Chrysazin; 1,8-Dihydroxyanthraquinone)</t>
        </is>
      </c>
      <c r="BP221" t="inlineStr">
        <is>
          <t>Switzerland</t>
        </is>
      </c>
    </row>
    <row r="222">
      <c r="A222" t="inlineStr">
        <is>
          <t>Patio Umbrella Stands &amp; Bases</t>
        </is>
      </c>
      <c r="BO222" t="inlineStr">
        <is>
          <t>Daunomycin</t>
        </is>
      </c>
      <c r="BP222" t="inlineStr">
        <is>
          <t>Syrian Arab Republic</t>
        </is>
      </c>
    </row>
    <row r="223">
      <c r="A223" t="inlineStr">
        <is>
          <t>Food Processors</t>
        </is>
      </c>
      <c r="BO223" t="inlineStr">
        <is>
          <t xml:space="preserve">Daunorubicin hydrochloride </t>
        </is>
      </c>
      <c r="BP223" t="inlineStr">
        <is>
          <t>Taiwan</t>
        </is>
      </c>
    </row>
    <row r="224">
      <c r="A224" t="inlineStr">
        <is>
          <t>Ice Cream Makers &amp; Yogurt Makers</t>
        </is>
      </c>
      <c r="BO224" t="inlineStr">
        <is>
          <t>2,4-D butyric acid</t>
        </is>
      </c>
      <c r="BP224" t="inlineStr">
        <is>
          <t>Tajikistan</t>
        </is>
      </c>
    </row>
    <row r="225">
      <c r="A225" t="inlineStr">
        <is>
          <t>Slow Cookers</t>
        </is>
      </c>
      <c r="BO225" t="inlineStr">
        <is>
          <t>DDD (Dichlorodiphenyl-dichloroethane)</t>
        </is>
      </c>
      <c r="BP225" t="inlineStr">
        <is>
          <t>Tanzania, United Republic of</t>
        </is>
      </c>
    </row>
    <row r="226">
      <c r="A226" t="inlineStr">
        <is>
          <t>Food Dehydrators</t>
        </is>
      </c>
      <c r="BO226" t="inlineStr">
        <is>
          <t>DDE (Dichlorodiphenyl-dichloroethylene)</t>
        </is>
      </c>
      <c r="BP226" t="inlineStr">
        <is>
          <t>Thailand</t>
        </is>
      </c>
    </row>
    <row r="227">
      <c r="A227" t="inlineStr">
        <is>
          <t>Vacuum Food Sealers</t>
        </is>
      </c>
      <c r="BO227" t="inlineStr">
        <is>
          <t>DDT (Dichlorodiphenyl-trichloroethane)</t>
        </is>
      </c>
      <c r="BP227" t="inlineStr">
        <is>
          <t>Timor-Leste</t>
        </is>
      </c>
    </row>
    <row r="228">
      <c r="A228" t="inlineStr">
        <is>
          <t>Electric Grills &amp; Skillets</t>
        </is>
      </c>
      <c r="BO228" t="inlineStr">
        <is>
          <t>o,p'-DDT</t>
        </is>
      </c>
      <c r="BP228" t="inlineStr">
        <is>
          <t>Togo</t>
        </is>
      </c>
    </row>
    <row r="229">
      <c r="A229" t="inlineStr">
        <is>
          <t>Garbage Disposals</t>
        </is>
      </c>
      <c r="BO229" t="inlineStr">
        <is>
          <t>p,p'-DDT</t>
        </is>
      </c>
      <c r="BP229" t="inlineStr">
        <is>
          <t>Tokelau</t>
        </is>
      </c>
    </row>
    <row r="230">
      <c r="A230" t="inlineStr">
        <is>
          <t>Juicers</t>
        </is>
      </c>
      <c r="BO230" t="inlineStr">
        <is>
          <t>DDVP (Dichlorvos)</t>
        </is>
      </c>
      <c r="BP230" t="inlineStr">
        <is>
          <t>Tonga</t>
        </is>
      </c>
    </row>
    <row r="231">
      <c r="A231" t="inlineStr">
        <is>
          <t>Irons, Garment Steamers &amp; Hair Tools</t>
        </is>
      </c>
      <c r="BO231" t="inlineStr">
        <is>
          <t>Demeclocycline hydrochloride (internal use)</t>
        </is>
      </c>
      <c r="BP231" t="inlineStr">
        <is>
          <t>Trinidad and Tobago</t>
        </is>
      </c>
    </row>
    <row r="232">
      <c r="A232" t="inlineStr">
        <is>
          <t>Strainers, Colanders, &amp; Salad Spinners</t>
        </is>
      </c>
      <c r="BO232" t="inlineStr">
        <is>
          <t>Des-ethyl atrazine (DEA)</t>
        </is>
      </c>
      <c r="BP232" t="inlineStr">
        <is>
          <t>Tunisia</t>
        </is>
      </c>
    </row>
    <row r="233">
      <c r="A233" t="inlineStr">
        <is>
          <t>Pasta Makers &amp; Accessories</t>
        </is>
      </c>
      <c r="BO233" t="inlineStr">
        <is>
          <t>Des-isopropyl atrazine (DIA)</t>
        </is>
      </c>
      <c r="BP233" t="inlineStr">
        <is>
          <t>Turkey</t>
        </is>
      </c>
    </row>
    <row r="234">
      <c r="A234" t="inlineStr">
        <is>
          <t>Can Openers</t>
        </is>
      </c>
      <c r="BO234" t="inlineStr">
        <is>
          <t>N,N'-Diacetylbenzidine</t>
        </is>
      </c>
      <c r="BP234" t="inlineStr">
        <is>
          <t>Turkmenistan</t>
        </is>
      </c>
    </row>
    <row r="235">
      <c r="A235" t="inlineStr">
        <is>
          <t>Popcorn Machines / Nut Roasters</t>
        </is>
      </c>
      <c r="BO235" t="inlineStr">
        <is>
          <t>2,4-Diaminoanisole</t>
        </is>
      </c>
      <c r="BP235" t="inlineStr">
        <is>
          <t>Turks and Caicos Islands</t>
        </is>
      </c>
    </row>
    <row r="236">
      <c r="A236" t="inlineStr">
        <is>
          <t>Air Fryers</t>
        </is>
      </c>
      <c r="BO236" t="inlineStr">
        <is>
          <t>2,4-Diaminoanisole sulfate</t>
        </is>
      </c>
      <c r="BP236" t="inlineStr">
        <is>
          <t>Tuvalu</t>
        </is>
      </c>
    </row>
    <row r="237">
      <c r="A237" t="inlineStr">
        <is>
          <t>Timers</t>
        </is>
      </c>
      <c r="BO237" t="inlineStr">
        <is>
          <t>2,4-Diamino-6-chloro-s-triazine (DACT)</t>
        </is>
      </c>
      <c r="BP237" t="inlineStr">
        <is>
          <t>Uganda</t>
        </is>
      </c>
    </row>
    <row r="238">
      <c r="A238" t="inlineStr">
        <is>
          <t>Burners &amp; Hot Plates</t>
        </is>
      </c>
      <c r="BO238" t="inlineStr">
        <is>
          <t>4,4'-Diaminodiphenyl ether (4,4'-Oxydianiline)</t>
        </is>
      </c>
      <c r="BP238" t="inlineStr">
        <is>
          <t>Ukraine</t>
        </is>
      </c>
    </row>
    <row r="239">
      <c r="A239" t="inlineStr">
        <is>
          <t>Mops &amp; Mop Accessories</t>
        </is>
      </c>
      <c r="BO239" t="inlineStr">
        <is>
          <t>2,4-Diaminotoluene</t>
        </is>
      </c>
      <c r="BP239" t="inlineStr">
        <is>
          <t>United Arab Emirates</t>
        </is>
      </c>
    </row>
    <row r="240">
      <c r="A240" t="inlineStr">
        <is>
          <t>Hammock Stands and Accessories</t>
        </is>
      </c>
      <c r="BO240" t="inlineStr">
        <is>
          <t>Diazepam</t>
        </is>
      </c>
      <c r="BP240" t="inlineStr">
        <is>
          <t>United Kingdom</t>
        </is>
      </c>
    </row>
    <row r="241">
      <c r="A241" t="inlineStr">
        <is>
          <t>Waffle, Pizzelle &amp; Crepe Makers</t>
        </is>
      </c>
      <c r="BO241" t="inlineStr">
        <is>
          <t>Diazoaminobenzene</t>
        </is>
      </c>
      <c r="BP241" t="inlineStr">
        <is>
          <t>United States Minor Outlying Islands</t>
        </is>
      </c>
    </row>
    <row r="242">
      <c r="A242" t="inlineStr">
        <is>
          <t>Cradle &amp; Bassinet Bedding</t>
        </is>
      </c>
      <c r="BO242" t="inlineStr">
        <is>
          <t>Diazoxide</t>
        </is>
      </c>
      <c r="BP242" t="inlineStr">
        <is>
          <t>Uruguay</t>
        </is>
      </c>
    </row>
    <row r="243">
      <c r="A243" t="inlineStr">
        <is>
          <t>Toddler Bedding</t>
        </is>
      </c>
      <c r="BO243" t="inlineStr">
        <is>
          <t>Dibenz[a,h]acridine</t>
        </is>
      </c>
      <c r="BP243" t="inlineStr">
        <is>
          <t>Uzbekistan</t>
        </is>
      </c>
    </row>
    <row r="244">
      <c r="A244" t="inlineStr">
        <is>
          <t>Crib Bedding Sets</t>
        </is>
      </c>
      <c r="BO244" t="inlineStr">
        <is>
          <t>Dibenz[a,j]acridine</t>
        </is>
      </c>
      <c r="BP244" t="inlineStr">
        <is>
          <t>Vanuatu</t>
        </is>
      </c>
    </row>
    <row r="245">
      <c r="A245" t="inlineStr">
        <is>
          <t>Training Tables</t>
        </is>
      </c>
      <c r="BO245" t="inlineStr">
        <is>
          <t>Dibenzanthracenes</t>
        </is>
      </c>
      <c r="BP245" t="inlineStr">
        <is>
          <t>Venezuela</t>
        </is>
      </c>
    </row>
    <row r="246">
      <c r="A246" t="inlineStr">
        <is>
          <t>Game Chairs</t>
        </is>
      </c>
      <c r="BO246" t="inlineStr">
        <is>
          <t>Dibenz[a,c]anthracene</t>
        </is>
      </c>
      <c r="BP246" t="inlineStr">
        <is>
          <t>Vietnam</t>
        </is>
      </c>
    </row>
    <row r="247">
      <c r="A247" t="inlineStr">
        <is>
          <t>Vacuums &amp; Steamers</t>
        </is>
      </c>
      <c r="BO247" t="inlineStr">
        <is>
          <t>Dibenz[a,h]anthracene</t>
        </is>
      </c>
      <c r="BP247" t="inlineStr">
        <is>
          <t>Virgin Islands, British</t>
        </is>
      </c>
    </row>
    <row r="248">
      <c r="A248" t="inlineStr">
        <is>
          <t>Ergonomic Accessories</t>
        </is>
      </c>
      <c r="BO248" t="inlineStr">
        <is>
          <t>Dibenz[a,j]anthracene</t>
        </is>
      </c>
      <c r="BP248" t="inlineStr">
        <is>
          <t>Virgin Islands, U.S.</t>
        </is>
      </c>
    </row>
    <row r="249">
      <c r="A249" t="inlineStr">
        <is>
          <t>Crib Mattresses</t>
        </is>
      </c>
      <c r="BO249" t="inlineStr">
        <is>
          <t>7H-Dibenzo[c,g]carbazole</t>
        </is>
      </c>
      <c r="BP249" t="inlineStr">
        <is>
          <t>Wallis and Futuna</t>
        </is>
      </c>
    </row>
    <row r="250">
      <c r="A250" t="inlineStr">
        <is>
          <t>Drinking Fountains</t>
        </is>
      </c>
      <c r="BO250" t="inlineStr">
        <is>
          <t>Dibenzo[a,e]pyrene</t>
        </is>
      </c>
      <c r="BP250" t="inlineStr">
        <is>
          <t>Western Sahara</t>
        </is>
      </c>
    </row>
    <row r="251">
      <c r="A251" t="inlineStr">
        <is>
          <t>Utility Sinks</t>
        </is>
      </c>
      <c r="BO251" t="inlineStr">
        <is>
          <t>Dibenzo[a,h]pyrene</t>
        </is>
      </c>
      <c r="BP251" t="inlineStr">
        <is>
          <t>Yemen</t>
        </is>
      </c>
    </row>
    <row r="252">
      <c r="A252" t="inlineStr">
        <is>
          <t>Fountain Accessories</t>
        </is>
      </c>
      <c r="BO252" t="inlineStr">
        <is>
          <t>Dibenzo[a,i]pyrene</t>
        </is>
      </c>
      <c r="BP252" t="inlineStr">
        <is>
          <t>Zambia</t>
        </is>
      </c>
    </row>
    <row r="253">
      <c r="A253" t="inlineStr">
        <is>
          <t>Refrigerators</t>
        </is>
      </c>
      <c r="BO253" t="inlineStr">
        <is>
          <t>Dibenzo[a,l]pyrene</t>
        </is>
      </c>
      <c r="BP253" t="inlineStr">
        <is>
          <t>Zimbabwe</t>
        </is>
      </c>
    </row>
    <row r="254">
      <c r="A254" t="inlineStr">
        <is>
          <t>Swing Sets &amp; Playgrounds</t>
        </is>
      </c>
      <c r="BO254" t="inlineStr">
        <is>
          <t>Dibromoacetic acid</t>
        </is>
      </c>
      <c r="BP254" t="inlineStr">
        <is>
          <t>United States - APO/FPO/DPO</t>
        </is>
      </c>
    </row>
    <row r="255">
      <c r="A255" t="inlineStr">
        <is>
          <t>Swing Set Accessories</t>
        </is>
      </c>
      <c r="BO255" t="inlineStr">
        <is>
          <t>Dibromoacetonitrile</t>
        </is>
      </c>
    </row>
    <row r="256">
      <c r="A256" t="inlineStr">
        <is>
          <t>Toaster Ovens</t>
        </is>
      </c>
      <c r="BO256" t="inlineStr">
        <is>
          <t>2,3-Dibromo-1-propanol</t>
        </is>
      </c>
    </row>
    <row r="257">
      <c r="A257" t="inlineStr">
        <is>
          <t>Slides</t>
        </is>
      </c>
      <c r="BO257" t="inlineStr">
        <is>
          <t>Dichloroacetic acid</t>
        </is>
      </c>
    </row>
    <row r="258">
      <c r="A258" t="inlineStr">
        <is>
          <t>Coffee Makers</t>
        </is>
      </c>
      <c r="BO258" t="inlineStr">
        <is>
          <t>p-Dichlorobenzene</t>
        </is>
      </c>
    </row>
    <row r="259">
      <c r="A259" t="inlineStr">
        <is>
          <t>Indoor Gardening</t>
        </is>
      </c>
      <c r="BO259" t="inlineStr">
        <is>
          <t>3,3'-Dichlorobenzidine</t>
        </is>
      </c>
    </row>
    <row r="260">
      <c r="A260" t="inlineStr">
        <is>
          <t>Wine Refrigerators</t>
        </is>
      </c>
      <c r="BO260" t="inlineStr">
        <is>
          <t>3,3'-Dichlorobenzidine dihydrochloride</t>
        </is>
      </c>
    </row>
    <row r="261">
      <c r="A261" t="inlineStr">
        <is>
          <t>Microwaves</t>
        </is>
      </c>
      <c r="BO261" t="inlineStr">
        <is>
          <t>1,1-Dichloro-2,2-bis(p-chloropheny)ethylene (DDE)</t>
        </is>
      </c>
    </row>
    <row r="262">
      <c r="A262" t="inlineStr">
        <is>
          <t>Cabinet Organization</t>
        </is>
      </c>
      <c r="BO262" t="inlineStr">
        <is>
          <t>1,4-Dichloro-2-butene</t>
        </is>
      </c>
    </row>
    <row r="263">
      <c r="A263" t="inlineStr">
        <is>
          <t>Teeter-Totters &amp; Seesaws</t>
        </is>
      </c>
      <c r="BO263" t="inlineStr">
        <is>
          <t>3,3'-Dichloro-4,4'-diamino-diphenyl ether</t>
        </is>
      </c>
    </row>
    <row r="264">
      <c r="A264" t="inlineStr">
        <is>
          <t>Sandboxes &amp; Sand Toys</t>
        </is>
      </c>
      <c r="BO264" t="inlineStr">
        <is>
          <t>1,1-Dichloroethane</t>
        </is>
      </c>
    </row>
    <row r="265">
      <c r="A265" t="inlineStr">
        <is>
          <t>Commercial Playground Equipment</t>
        </is>
      </c>
      <c r="BO265" t="inlineStr">
        <is>
          <t>Dichloromethane (Methylene chloride)</t>
        </is>
      </c>
    </row>
    <row r="266">
      <c r="A266" t="inlineStr">
        <is>
          <t>Indoor Chaise Lounges</t>
        </is>
      </c>
      <c r="BO266" t="inlineStr">
        <is>
          <t>Dichlorophene</t>
        </is>
      </c>
    </row>
    <row r="267">
      <c r="A267" t="inlineStr">
        <is>
          <t>Espresso Machines</t>
        </is>
      </c>
      <c r="BO267" t="inlineStr">
        <is>
          <t>Dichlorphenamide</t>
        </is>
      </c>
    </row>
    <row r="268">
      <c r="A268" t="inlineStr">
        <is>
          <t>Dog Beds &amp; Mats</t>
        </is>
      </c>
      <c r="BO268" t="inlineStr">
        <is>
          <t>1,2-Dichloropropane</t>
        </is>
      </c>
    </row>
    <row r="269">
      <c r="A269" t="inlineStr">
        <is>
          <t>Open Stock Knives and Kitchen Scissors</t>
        </is>
      </c>
      <c r="BO269" t="inlineStr">
        <is>
          <t>1,3-Dichloro-2-propanol (1,3-DCP)</t>
        </is>
      </c>
    </row>
    <row r="270">
      <c r="A270" t="inlineStr">
        <is>
          <t>Flatware &amp; Silverware Single Pieces</t>
        </is>
      </c>
      <c r="BO270" t="inlineStr">
        <is>
          <t>1,3-Dichloropropene</t>
        </is>
      </c>
    </row>
    <row r="271">
      <c r="A271" t="inlineStr">
        <is>
          <t>Vehicle Covers</t>
        </is>
      </c>
      <c r="BO271" t="inlineStr">
        <is>
          <t>Dicumarol</t>
        </is>
      </c>
    </row>
    <row r="272">
      <c r="A272" t="inlineStr">
        <is>
          <t>Desk Parts</t>
        </is>
      </c>
      <c r="BO272" t="inlineStr">
        <is>
          <t>Dieldrin</t>
        </is>
      </c>
    </row>
    <row r="273">
      <c r="A273" t="inlineStr">
        <is>
          <t>Safety Gates</t>
        </is>
      </c>
      <c r="BO273" t="inlineStr">
        <is>
          <t>Diepoxybutane</t>
        </is>
      </c>
    </row>
    <row r="274">
      <c r="A274" t="inlineStr">
        <is>
          <t>Steam</t>
        </is>
      </c>
      <c r="BO274" t="inlineStr">
        <is>
          <t>Diesel engine exhaust</t>
        </is>
      </c>
    </row>
    <row r="275">
      <c r="A275" t="inlineStr">
        <is>
          <t>Chocolate And Beverage Fountains</t>
        </is>
      </c>
      <c r="BO275" t="inlineStr">
        <is>
          <t>Diethanolamine</t>
        </is>
      </c>
    </row>
    <row r="276">
      <c r="A276" t="inlineStr">
        <is>
          <t>Bread Machines</t>
        </is>
      </c>
      <c r="BO276" t="inlineStr">
        <is>
          <t>Di(2-ethylhexyl)phthalate (DEHP)</t>
        </is>
      </c>
    </row>
    <row r="277">
      <c r="A277" t="inlineStr">
        <is>
          <t>Coffee Grinders</t>
        </is>
      </c>
      <c r="BO277" t="inlineStr">
        <is>
          <t>1,2-Diethylhydrazine</t>
        </is>
      </c>
    </row>
    <row r="278">
      <c r="A278" t="inlineStr">
        <is>
          <t>Milk Frothers</t>
        </is>
      </c>
      <c r="BO278" t="inlineStr">
        <is>
          <t>Diethylstilbestrol (DES)</t>
        </is>
      </c>
    </row>
    <row r="279">
      <c r="A279" t="inlineStr">
        <is>
          <t>Coffee &amp; Espresso Accessories</t>
        </is>
      </c>
      <c r="BO279" t="inlineStr">
        <is>
          <t>Diethyl sulfate</t>
        </is>
      </c>
    </row>
    <row r="280">
      <c r="A280" t="inlineStr">
        <is>
          <t>Snow Cone Machines &amp; Ice Crushers</t>
        </is>
      </c>
      <c r="BO280" t="inlineStr">
        <is>
          <t>Diflunisal</t>
        </is>
      </c>
    </row>
    <row r="281">
      <c r="A281" t="inlineStr">
        <is>
          <t>Garage Floors</t>
        </is>
      </c>
      <c r="BO281" t="inlineStr">
        <is>
          <t>Diglycidyl resorcinol ether (DGRE)</t>
        </is>
      </c>
    </row>
    <row r="282">
      <c r="A282" t="inlineStr">
        <is>
          <t>Futons</t>
        </is>
      </c>
      <c r="BO282" t="inlineStr">
        <is>
          <t xml:space="preserve">Dihydroergotamine mesylate </t>
        </is>
      </c>
    </row>
    <row r="283">
      <c r="A283" t="inlineStr">
        <is>
          <t>Fire Pit &amp; Chiminea Accessories</t>
        </is>
      </c>
      <c r="BO283" t="inlineStr">
        <is>
          <t>Dihydrosafrole</t>
        </is>
      </c>
    </row>
    <row r="284">
      <c r="A284" t="inlineStr">
        <is>
          <t>Knife Sharpeners</t>
        </is>
      </c>
      <c r="BO284" t="inlineStr">
        <is>
          <t>Diisononyl phthalate (DINP)</t>
        </is>
      </c>
    </row>
    <row r="285">
      <c r="A285" t="inlineStr">
        <is>
          <t>Electric Knives</t>
        </is>
      </c>
      <c r="BO285" t="inlineStr">
        <is>
          <t>Diisopropyl sulfate</t>
        </is>
      </c>
    </row>
    <row r="286">
      <c r="A286" t="inlineStr">
        <is>
          <t>Water Coolers &amp; Dispensers</t>
        </is>
      </c>
      <c r="BO286" t="inlineStr">
        <is>
          <t>Diltiazem hydrochloride</t>
        </is>
      </c>
    </row>
    <row r="287">
      <c r="A287" t="inlineStr">
        <is>
          <t>Kegerators</t>
        </is>
      </c>
      <c r="BO287" t="inlineStr">
        <is>
          <t>3,3'-Dimethoxybenzidine (o-Dianisidine)</t>
        </is>
      </c>
    </row>
    <row r="288">
      <c r="A288" t="inlineStr">
        <is>
          <t>Lids &amp; Covers</t>
        </is>
      </c>
      <c r="BO288" t="inlineStr">
        <is>
          <t>3,3'-Dimethoxybenzidine dihydrochloride</t>
        </is>
      </c>
    </row>
    <row r="289">
      <c r="A289" t="inlineStr">
        <is>
          <t>Poachers</t>
        </is>
      </c>
      <c r="BO289" t="inlineStr">
        <is>
          <t>3,3'-Dimethoxybenzidine-based dyes metabolized to 3,3'-dimethoxybenzidine</t>
        </is>
      </c>
    </row>
    <row r="290">
      <c r="A290" t="inlineStr">
        <is>
          <t>Bar &amp; Wine Tools</t>
        </is>
      </c>
      <c r="BO290" t="inlineStr">
        <is>
          <t>N,N-Dimethylacetamide</t>
        </is>
      </c>
    </row>
    <row r="291">
      <c r="A291" t="inlineStr">
        <is>
          <t>Space Heaters</t>
        </is>
      </c>
      <c r="BO291" t="inlineStr">
        <is>
          <t>4-Dimethylaminoazobenzene</t>
        </is>
      </c>
    </row>
    <row r="292">
      <c r="A292" t="inlineStr">
        <is>
          <t>Christmas Trees</t>
        </is>
      </c>
      <c r="BO292" t="inlineStr">
        <is>
          <t>trans-2-[(Dimethylamino)methylimino]-5-[2-(5-nitro-2-furyl)vinyl]-1,3,4-oxadiazole</t>
        </is>
      </c>
    </row>
    <row r="293">
      <c r="A293" t="inlineStr">
        <is>
          <t>Ornaments &amp; Tree Décor</t>
        </is>
      </c>
      <c r="BO293" t="inlineStr">
        <is>
          <t>7,12-Dimethylbenz(a)anthracene</t>
        </is>
      </c>
    </row>
    <row r="294">
      <c r="A294" t="inlineStr">
        <is>
          <t>Outdoor Decorations</t>
        </is>
      </c>
      <c r="BO294" t="inlineStr">
        <is>
          <t>3,3'-Dimethylbenzidine (ortho-Tolidine)</t>
        </is>
      </c>
    </row>
    <row r="295">
      <c r="A295" t="inlineStr">
        <is>
          <t>Holiday Lighting</t>
        </is>
      </c>
      <c r="BO295" t="inlineStr">
        <is>
          <t>3,3'-Dimethylbenzidine-based dyes metabolized to 3,3'-dimethylbenzidine</t>
        </is>
      </c>
    </row>
    <row r="296">
      <c r="A296" t="inlineStr">
        <is>
          <t>Chafing Dishes &amp; Accessories</t>
        </is>
      </c>
      <c r="BO296" t="inlineStr">
        <is>
          <t>3,3'-Dimethylbenzidine dihydrochloride</t>
        </is>
      </c>
    </row>
    <row r="297">
      <c r="A297" t="inlineStr">
        <is>
          <t>Dog and Cat Bowls, Feeders &amp; Accessories</t>
        </is>
      </c>
      <c r="BO297" t="inlineStr">
        <is>
          <t>Dimethylcarbamoyl chloride</t>
        </is>
      </c>
    </row>
    <row r="298">
      <c r="A298" t="inlineStr">
        <is>
          <t>Crates and Carriers</t>
        </is>
      </c>
      <c r="BO298" t="inlineStr">
        <is>
          <t>N,N-Dimethylformamide</t>
        </is>
      </c>
    </row>
    <row r="299">
      <c r="A299" t="inlineStr">
        <is>
          <t>Smokers</t>
        </is>
      </c>
      <c r="BO299" t="inlineStr">
        <is>
          <t>1,1-Dimethylhydrazine (UDMH)</t>
        </is>
      </c>
    </row>
    <row r="300">
      <c r="A300" t="inlineStr">
        <is>
          <t>Christmas Tree Stands &amp; Accessories</t>
        </is>
      </c>
      <c r="BO300" t="inlineStr">
        <is>
          <t>1,2-Dimethylhydrazine</t>
        </is>
      </c>
    </row>
    <row r="301">
      <c r="A301" t="inlineStr">
        <is>
          <t>Garlands &amp; Swag</t>
        </is>
      </c>
      <c r="BO301" t="inlineStr">
        <is>
          <t>2,6-Dimethyl-N-nitrosomorpholine (DMNM)</t>
        </is>
      </c>
    </row>
    <row r="302">
      <c r="A302" t="inlineStr">
        <is>
          <t>Woks</t>
        </is>
      </c>
      <c r="BO302" t="inlineStr">
        <is>
          <t>Dimethyl sulfate</t>
        </is>
      </c>
    </row>
    <row r="303">
      <c r="A303" t="inlineStr">
        <is>
          <t>Ranges</t>
        </is>
      </c>
      <c r="BO303" t="inlineStr">
        <is>
          <t>N,N-Dimethyl-p-toluidine</t>
        </is>
      </c>
    </row>
    <row r="304">
      <c r="A304" t="inlineStr">
        <is>
          <t>Wall Ovens</t>
        </is>
      </c>
      <c r="BO304" t="inlineStr">
        <is>
          <t>Dimethylvinylchloride</t>
        </is>
      </c>
    </row>
    <row r="305">
      <c r="A305" t="inlineStr">
        <is>
          <t>Cooktops</t>
        </is>
      </c>
      <c r="BO305" t="inlineStr">
        <is>
          <t>Di-n-butyl phthalate (DBP)</t>
        </is>
      </c>
    </row>
    <row r="306">
      <c r="A306" t="inlineStr">
        <is>
          <t>Outdoor Sinks &amp; Bar Centers</t>
        </is>
      </c>
      <c r="BO306" t="inlineStr">
        <is>
          <t>3,7-Dinitrofluoranthene</t>
        </is>
      </c>
    </row>
    <row r="307">
      <c r="A307" t="inlineStr">
        <is>
          <t>Pool Tables</t>
        </is>
      </c>
      <c r="BO307" t="inlineStr">
        <is>
          <t>3,9-Dinitrofluoranthene</t>
        </is>
      </c>
    </row>
    <row r="308">
      <c r="A308" t="inlineStr">
        <is>
          <t>Space Heater Accessories</t>
        </is>
      </c>
      <c r="BO308" t="inlineStr">
        <is>
          <t>1,3-Dinitropyrene</t>
        </is>
      </c>
    </row>
    <row r="309">
      <c r="A309" t="inlineStr">
        <is>
          <t>Washing Machines</t>
        </is>
      </c>
      <c r="BO309" t="inlineStr">
        <is>
          <t>1,6-Dinitropyrene</t>
        </is>
      </c>
    </row>
    <row r="310">
      <c r="A310" t="inlineStr">
        <is>
          <t>Flatware &amp; Silverware Sets</t>
        </is>
      </c>
      <c r="BO310" t="inlineStr">
        <is>
          <t>1,8-Dinitropyrene</t>
        </is>
      </c>
    </row>
    <row r="311">
      <c r="A311" t="inlineStr">
        <is>
          <t>Trampolines</t>
        </is>
      </c>
      <c r="BO311" t="inlineStr">
        <is>
          <t>2,4-Dinitrotoluene</t>
        </is>
      </c>
    </row>
    <row r="312">
      <c r="A312" t="inlineStr">
        <is>
          <t>Trampoline Accessories &amp; Parts</t>
        </is>
      </c>
      <c r="BO312" t="inlineStr">
        <is>
          <t>2,6-Dinitrotoluene</t>
        </is>
      </c>
    </row>
    <row r="313">
      <c r="A313" t="inlineStr">
        <is>
          <t>Flatware &amp; Silverware Serving Pieces</t>
        </is>
      </c>
      <c r="BO313" t="inlineStr">
        <is>
          <t>Dinitrotoluene mixture, 2,4-/2,6-</t>
        </is>
      </c>
    </row>
    <row r="314">
      <c r="A314" t="inlineStr">
        <is>
          <t>Picnic Baskets &amp; Coolers</t>
        </is>
      </c>
      <c r="BO314" t="inlineStr">
        <is>
          <t>Dinocap</t>
        </is>
      </c>
    </row>
    <row r="315">
      <c r="A315" t="inlineStr">
        <is>
          <t>Poultry &amp; Meat Preparation Tools</t>
        </is>
      </c>
      <c r="BO315" t="inlineStr">
        <is>
          <t>Dinoseb</t>
        </is>
      </c>
    </row>
    <row r="316">
      <c r="A316" t="inlineStr">
        <is>
          <t>Slicers, Peelers And Graters</t>
        </is>
      </c>
      <c r="BO316" t="inlineStr">
        <is>
          <t>Di-n-propyl isocinchomeronate (MGK Repellent 326)</t>
        </is>
      </c>
    </row>
    <row r="317">
      <c r="A317" t="inlineStr">
        <is>
          <t>Coasters &amp; Trivets</t>
        </is>
      </c>
      <c r="BO317" t="inlineStr">
        <is>
          <t>1,4-Dioxane</t>
        </is>
      </c>
    </row>
    <row r="318">
      <c r="A318" t="inlineStr">
        <is>
          <t>Dartboards And Cabinets</t>
        </is>
      </c>
      <c r="BO318" t="inlineStr">
        <is>
          <t>Diphenylhydantoin (Phenytoin)</t>
        </is>
      </c>
    </row>
    <row r="319">
      <c r="A319" t="inlineStr">
        <is>
          <t>Dishwashers</t>
        </is>
      </c>
      <c r="BO319" t="inlineStr">
        <is>
          <t>Diphenylhydantoin (Phenytoin), sodium salt</t>
        </is>
      </c>
    </row>
    <row r="320">
      <c r="A320" t="inlineStr">
        <is>
          <t>Kitchen Gadgets</t>
        </is>
      </c>
      <c r="BO320" t="inlineStr">
        <is>
          <t>Direct Black 38 (technical grade)</t>
        </is>
      </c>
    </row>
    <row r="321">
      <c r="A321" t="inlineStr">
        <is>
          <t>Pet Strollers</t>
        </is>
      </c>
      <c r="BO321" t="inlineStr">
        <is>
          <t>Direct Blue 6 (technical grade)</t>
        </is>
      </c>
    </row>
    <row r="322">
      <c r="A322" t="inlineStr">
        <is>
          <t>Rolling Pins</t>
        </is>
      </c>
      <c r="BO322" t="inlineStr">
        <is>
          <t>Direct Brown 95 (technical grade)</t>
        </is>
      </c>
    </row>
    <row r="323">
      <c r="A323" t="inlineStr">
        <is>
          <t>Dog Houses</t>
        </is>
      </c>
      <c r="BO323" t="inlineStr">
        <is>
          <t>Disodium cyanodithioimidocarbonate</t>
        </is>
      </c>
    </row>
    <row r="324">
      <c r="A324" t="inlineStr">
        <is>
          <t>Coffee Servers, Airpots &amp; Carafes</t>
        </is>
      </c>
      <c r="BO324" t="inlineStr">
        <is>
          <t>Disperse Blue 1</t>
        </is>
      </c>
    </row>
    <row r="325">
      <c r="A325" t="inlineStr">
        <is>
          <t>Stovetop &amp; Electric Tea Kettles</t>
        </is>
      </c>
      <c r="BO325" t="inlineStr">
        <is>
          <t>Diuron</t>
        </is>
      </c>
    </row>
    <row r="326">
      <c r="A326" t="inlineStr">
        <is>
          <t>Kids Beds</t>
        </is>
      </c>
      <c r="BO326" t="inlineStr">
        <is>
          <t>Doxorubicin hydrochloride (Adriamycin)</t>
        </is>
      </c>
    </row>
    <row r="327">
      <c r="A327" t="inlineStr">
        <is>
          <t>Game Table Accessories</t>
        </is>
      </c>
      <c r="BO327" t="inlineStr">
        <is>
          <t>Doxycycline (internal use)</t>
        </is>
      </c>
    </row>
    <row r="328">
      <c r="A328" t="inlineStr">
        <is>
          <t>Table Tennis Tables</t>
        </is>
      </c>
      <c r="BO328" t="inlineStr">
        <is>
          <t>Doxycycline calcium (internal use)</t>
        </is>
      </c>
    </row>
    <row r="329">
      <c r="A329" t="inlineStr">
        <is>
          <t>Sports Fan Shop Products</t>
        </is>
      </c>
      <c r="BO329" t="inlineStr">
        <is>
          <t>Doxycycline hyclate (internal use)</t>
        </is>
      </c>
    </row>
    <row r="330">
      <c r="A330" t="inlineStr">
        <is>
          <t>Kids Wall Décor</t>
        </is>
      </c>
      <c r="BO330" t="inlineStr">
        <is>
          <t>Doxycycline monohydrate (internal use)</t>
        </is>
      </c>
    </row>
    <row r="331">
      <c r="A331" t="inlineStr">
        <is>
          <t>Hot / Cold Tea Accessories</t>
        </is>
      </c>
      <c r="BO331" t="inlineStr">
        <is>
          <t>Emissions from combustion of coal</t>
        </is>
      </c>
    </row>
    <row r="332">
      <c r="A332" t="inlineStr">
        <is>
          <t>Cat Condos &amp; Cat Trees</t>
        </is>
      </c>
      <c r="BO332" t="inlineStr">
        <is>
          <t>Emissions from high-temperature unrefined rapeseed oil</t>
        </is>
      </c>
    </row>
    <row r="333">
      <c r="A333" t="inlineStr">
        <is>
          <t>Cabinet and Drawer Pulls</t>
        </is>
      </c>
      <c r="BO333" t="inlineStr">
        <is>
          <t>Endrin</t>
        </is>
      </c>
    </row>
    <row r="334">
      <c r="A334" t="inlineStr">
        <is>
          <t>Dryers</t>
        </is>
      </c>
      <c r="BO334" t="inlineStr">
        <is>
          <t>Environmental tobacco smoke (ETS)</t>
        </is>
      </c>
    </row>
    <row r="335">
      <c r="A335" t="inlineStr">
        <is>
          <t>Lawn Games</t>
        </is>
      </c>
      <c r="BO335" t="inlineStr">
        <is>
          <t>Epichlorohydrin</t>
        </is>
      </c>
    </row>
    <row r="336">
      <c r="A336" t="inlineStr">
        <is>
          <t>Bird Cages</t>
        </is>
      </c>
      <c r="BO336" t="inlineStr">
        <is>
          <t>Epoxiconazole</t>
        </is>
      </c>
    </row>
    <row r="337">
      <c r="A337" t="inlineStr">
        <is>
          <t>Cat Litter Boxes &amp; Litter Box Enclosures</t>
        </is>
      </c>
      <c r="BO337" t="inlineStr">
        <is>
          <t>Ergotamine tartrate</t>
        </is>
      </c>
    </row>
    <row r="338">
      <c r="A338" t="inlineStr">
        <is>
          <t>Pet Ramps &amp; Stairs</t>
        </is>
      </c>
      <c r="BO338" t="inlineStr">
        <is>
          <t>Estradiol 17B</t>
        </is>
      </c>
    </row>
    <row r="339">
      <c r="A339" t="inlineStr">
        <is>
          <t>Freezers</t>
        </is>
      </c>
      <c r="BO339" t="inlineStr">
        <is>
          <t>Estragole</t>
        </is>
      </c>
    </row>
    <row r="340">
      <c r="A340" t="inlineStr">
        <is>
          <t>Decorative Objects</t>
        </is>
      </c>
      <c r="BO340" t="inlineStr">
        <is>
          <t>Estrogens, steroidal</t>
        </is>
      </c>
    </row>
    <row r="341">
      <c r="A341" t="inlineStr">
        <is>
          <t>Ice Makers</t>
        </is>
      </c>
      <c r="BO341" t="inlineStr">
        <is>
          <t>Estrogen-progestogen (combined) used as menopausal therapy</t>
        </is>
      </c>
    </row>
    <row r="342">
      <c r="A342" t="inlineStr">
        <is>
          <t>Stanchions</t>
        </is>
      </c>
      <c r="BO342" t="inlineStr">
        <is>
          <t>Estrone</t>
        </is>
      </c>
    </row>
    <row r="343">
      <c r="A343" t="inlineStr">
        <is>
          <t>Pizza Stones, Pans &amp; Peels</t>
        </is>
      </c>
      <c r="BO343" t="inlineStr">
        <is>
          <t>Estropipate</t>
        </is>
      </c>
    </row>
    <row r="344">
      <c r="A344" t="inlineStr">
        <is>
          <t>Bed Skirts</t>
        </is>
      </c>
      <c r="BO344" t="inlineStr">
        <is>
          <t>Ethanol in alcoholic beverages</t>
        </is>
      </c>
    </row>
    <row r="345">
      <c r="A345" t="inlineStr">
        <is>
          <t>Standard Bed Pillow</t>
        </is>
      </c>
      <c r="BO345" t="inlineStr">
        <is>
          <t>Ethinylestradiol</t>
        </is>
      </c>
    </row>
    <row r="346">
      <c r="A346" t="inlineStr">
        <is>
          <t>Bedding Sets</t>
        </is>
      </c>
      <c r="BO346" t="inlineStr">
        <is>
          <t>Ethionamide</t>
        </is>
      </c>
    </row>
    <row r="347">
      <c r="A347" t="inlineStr">
        <is>
          <t>Candles</t>
        </is>
      </c>
      <c r="BO347" t="inlineStr">
        <is>
          <t>Ethoprop</t>
        </is>
      </c>
    </row>
    <row r="348">
      <c r="A348" t="inlineStr">
        <is>
          <t>Boxes, Bins, Baskets, &amp; Buckets</t>
        </is>
      </c>
      <c r="BO348" t="inlineStr">
        <is>
          <t>Ethyl acrylate</t>
        </is>
      </c>
    </row>
    <row r="349">
      <c r="A349" t="inlineStr">
        <is>
          <t>Sheets &amp; Pillowcases</t>
        </is>
      </c>
      <c r="BO349" t="inlineStr">
        <is>
          <t>Ethyl alcohol in alcoholic beverages</t>
        </is>
      </c>
    </row>
    <row r="350">
      <c r="A350" t="inlineStr">
        <is>
          <t>Cake, Cookie, &amp; Pastry Decoration</t>
        </is>
      </c>
      <c r="BO350" t="inlineStr">
        <is>
          <t>Ethylbenzene</t>
        </is>
      </c>
    </row>
    <row r="351">
      <c r="A351" t="inlineStr">
        <is>
          <t>Bath Rugs &amp; Mats</t>
        </is>
      </c>
      <c r="BO351" t="inlineStr">
        <is>
          <t>Ethyl dipropylthiocarbamate</t>
        </is>
      </c>
    </row>
    <row r="352">
      <c r="A352" t="inlineStr">
        <is>
          <t>Accent Pillows</t>
        </is>
      </c>
      <c r="BO352" t="inlineStr">
        <is>
          <t>Ethyl-4,4'-dichlorobenzilate</t>
        </is>
      </c>
    </row>
    <row r="353">
      <c r="A353" t="inlineStr">
        <is>
          <t>Dining Linens</t>
        </is>
      </c>
      <c r="BO353" t="inlineStr">
        <is>
          <t>Ethylene dibromide</t>
        </is>
      </c>
    </row>
    <row r="354">
      <c r="A354" t="inlineStr">
        <is>
          <t>Wood Fireplaces</t>
        </is>
      </c>
      <c r="BO354" t="inlineStr">
        <is>
          <t>Ethylene dichloride (1,2-Dichloroethane)</t>
        </is>
      </c>
    </row>
    <row r="355">
      <c r="A355" t="inlineStr">
        <is>
          <t>Av Component Shelving</t>
        </is>
      </c>
      <c r="BO355" t="inlineStr">
        <is>
          <t>Ethylene glycol (ingested)</t>
        </is>
      </c>
    </row>
    <row r="356">
      <c r="A356" t="inlineStr">
        <is>
          <t>Globes</t>
        </is>
      </c>
      <c r="BO356" t="inlineStr">
        <is>
          <t>Ethylene glycol monoethyl ether</t>
        </is>
      </c>
    </row>
    <row r="357">
      <c r="A357" t="inlineStr">
        <is>
          <t>Glassware &amp; Barware</t>
        </is>
      </c>
      <c r="BO357" t="inlineStr">
        <is>
          <t>Ethylene glycol monoethyl ether acetate</t>
        </is>
      </c>
    </row>
    <row r="358">
      <c r="A358" t="inlineStr">
        <is>
          <t>Beverage Servers</t>
        </is>
      </c>
      <c r="BO358" t="inlineStr">
        <is>
          <t>Ethylene glycol monomethyl ether</t>
        </is>
      </c>
    </row>
    <row r="359">
      <c r="A359" t="inlineStr">
        <is>
          <t>Transformers</t>
        </is>
      </c>
      <c r="BO359" t="inlineStr">
        <is>
          <t>Ethylene glycol monomethyl ether acetate</t>
        </is>
      </c>
    </row>
    <row r="360">
      <c r="A360" t="inlineStr">
        <is>
          <t>Mixing Bowls</t>
        </is>
      </c>
      <c r="BO360" t="inlineStr">
        <is>
          <t>Ethyleneimine (Aziridine)</t>
        </is>
      </c>
    </row>
    <row r="361">
      <c r="A361" t="inlineStr">
        <is>
          <t>Kitchen Scales</t>
        </is>
      </c>
      <c r="BO361" t="inlineStr">
        <is>
          <t>Ethylene oxide</t>
        </is>
      </c>
    </row>
    <row r="362">
      <c r="A362" t="inlineStr">
        <is>
          <t>Measuring Cups, Spoons, Scoops &amp; Funnels</t>
        </is>
      </c>
      <c r="BO362" t="inlineStr">
        <is>
          <t>Ethylene thiourea</t>
        </is>
      </c>
    </row>
    <row r="363">
      <c r="A363" t="inlineStr">
        <is>
          <t>Magazine Racks</t>
        </is>
      </c>
      <c r="BO363" t="inlineStr">
        <is>
          <t>Ethyl methanesulfonate</t>
        </is>
      </c>
    </row>
    <row r="364">
      <c r="A364" t="inlineStr">
        <is>
          <t>Potholders</t>
        </is>
      </c>
      <c r="BO364" t="inlineStr">
        <is>
          <t>Etodolac</t>
        </is>
      </c>
    </row>
    <row r="365">
      <c r="A365" t="inlineStr">
        <is>
          <t>Kitchen Towels</t>
        </is>
      </c>
      <c r="BO365" t="inlineStr">
        <is>
          <t>Etoposide</t>
        </is>
      </c>
    </row>
    <row r="366">
      <c r="A366" t="inlineStr">
        <is>
          <t>Kitchen Aprons</t>
        </is>
      </c>
      <c r="BO366" t="inlineStr">
        <is>
          <t>Etoposide in combination with cisplatin and bleomycin</t>
        </is>
      </c>
    </row>
    <row r="367">
      <c r="A367" t="inlineStr">
        <is>
          <t>Decorative Plates &amp; Bowls</t>
        </is>
      </c>
      <c r="BO367" t="inlineStr">
        <is>
          <t>Etretinate</t>
        </is>
      </c>
    </row>
    <row r="368">
      <c r="A368" t="inlineStr">
        <is>
          <t>Food Thermometers</t>
        </is>
      </c>
      <c r="BO368" t="inlineStr">
        <is>
          <t>Fenoxaprop ethyl</t>
        </is>
      </c>
    </row>
    <row r="369">
      <c r="A369" t="inlineStr">
        <is>
          <t>Egg Tools</t>
        </is>
      </c>
      <c r="BO369" t="inlineStr">
        <is>
          <t>Fenoxycarb</t>
        </is>
      </c>
    </row>
    <row r="370">
      <c r="A370" t="inlineStr">
        <is>
          <t>Picture &amp; Memory Albums</t>
        </is>
      </c>
      <c r="BO370" t="inlineStr">
        <is>
          <t>Filgrastim</t>
        </is>
      </c>
    </row>
    <row r="371">
      <c r="A371" t="inlineStr">
        <is>
          <t>Food Storage &amp; Dispensers</t>
        </is>
      </c>
      <c r="BO371" t="inlineStr">
        <is>
          <t>Fluazifop butyl</t>
        </is>
      </c>
    </row>
    <row r="372">
      <c r="A372" t="inlineStr">
        <is>
          <t>Napkin Holders &amp; Paper Towel Holders</t>
        </is>
      </c>
      <c r="BO372" t="inlineStr">
        <is>
          <t>Flunisolide</t>
        </is>
      </c>
    </row>
    <row r="373">
      <c r="A373" t="inlineStr">
        <is>
          <t>Utensil Crocks, Caddies, Chests and Spoon Rests</t>
        </is>
      </c>
      <c r="BO373" t="inlineStr">
        <is>
          <t>Fluorouracil</t>
        </is>
      </c>
    </row>
    <row r="374">
      <c r="A374" t="inlineStr">
        <is>
          <t>Shuffleboards</t>
        </is>
      </c>
      <c r="BO374" t="inlineStr">
        <is>
          <t>Fluoxymesterone</t>
        </is>
      </c>
    </row>
    <row r="375">
      <c r="A375" t="inlineStr">
        <is>
          <t>Basketball Games</t>
        </is>
      </c>
      <c r="BO375" t="inlineStr">
        <is>
          <t>Flurazepam hydrochloride</t>
        </is>
      </c>
    </row>
    <row r="376">
      <c r="A376" t="inlineStr">
        <is>
          <t>Foosball Tables</t>
        </is>
      </c>
      <c r="BO376" t="inlineStr">
        <is>
          <t>Flurbiprofen</t>
        </is>
      </c>
    </row>
    <row r="377">
      <c r="A377" t="inlineStr">
        <is>
          <t>Hockey Tables</t>
        </is>
      </c>
      <c r="BO377" t="inlineStr">
        <is>
          <t>Flutamide</t>
        </is>
      </c>
    </row>
    <row r="378">
      <c r="A378" t="inlineStr">
        <is>
          <t>Multi Game Tables</t>
        </is>
      </c>
      <c r="BO378" t="inlineStr">
        <is>
          <t>Fluticasone propionate</t>
        </is>
      </c>
    </row>
    <row r="379">
      <c r="A379" t="inlineStr">
        <is>
          <t>Small Animal Cages And Habitats</t>
        </is>
      </c>
      <c r="BO379" t="inlineStr">
        <is>
          <t>Fluvalinate</t>
        </is>
      </c>
    </row>
    <row r="380">
      <c r="A380" t="inlineStr">
        <is>
          <t>Dog Car Accessories</t>
        </is>
      </c>
      <c r="BO380" t="inlineStr">
        <is>
          <t>Folpet</t>
        </is>
      </c>
    </row>
    <row r="381">
      <c r="A381" t="inlineStr">
        <is>
          <t>Wall Art</t>
        </is>
      </c>
      <c r="BO381" t="inlineStr">
        <is>
          <t>Formaldehyde (gas)</t>
        </is>
      </c>
    </row>
    <row r="382">
      <c r="A382" t="inlineStr">
        <is>
          <t>Mantels</t>
        </is>
      </c>
      <c r="BO382" t="inlineStr">
        <is>
          <t>2-(2-Formylhydrazino)-4-(5-nitro-2-furyl)thiazole</t>
        </is>
      </c>
    </row>
    <row r="383">
      <c r="A383" t="inlineStr">
        <is>
          <t>Bird Play Stand &amp; Playcenters</t>
        </is>
      </c>
      <c r="BO383" t="inlineStr">
        <is>
          <t>Fumonisin B1</t>
        </is>
      </c>
    </row>
    <row r="384">
      <c r="A384" t="inlineStr">
        <is>
          <t>Treadmills</t>
        </is>
      </c>
      <c r="BO384" t="inlineStr">
        <is>
          <t>Furan</t>
        </is>
      </c>
    </row>
    <row r="385">
      <c r="A385" t="inlineStr">
        <is>
          <t>Ellipticals</t>
        </is>
      </c>
      <c r="BO385" t="inlineStr">
        <is>
          <t>Furazolidone</t>
        </is>
      </c>
    </row>
    <row r="386">
      <c r="A386" t="inlineStr">
        <is>
          <t>Exercise Bikes</t>
        </is>
      </c>
      <c r="BO386" t="inlineStr">
        <is>
          <t>Furfuryl alcohol</t>
        </is>
      </c>
    </row>
    <row r="387">
      <c r="A387" t="inlineStr">
        <is>
          <t>Home Gyms</t>
        </is>
      </c>
      <c r="BO387" t="inlineStr">
        <is>
          <t>Furmecyclox</t>
        </is>
      </c>
    </row>
    <row r="388">
      <c r="A388" t="inlineStr">
        <is>
          <t>Pet Electric Fences/Containment</t>
        </is>
      </c>
      <c r="BO388" t="inlineStr">
        <is>
          <t>Fusarin C</t>
        </is>
      </c>
    </row>
    <row r="389">
      <c r="A389" t="inlineStr">
        <is>
          <t>Hardwood Flooring</t>
        </is>
      </c>
      <c r="BO389" t="inlineStr">
        <is>
          <t>Gallium arsenide</t>
        </is>
      </c>
    </row>
    <row r="390">
      <c r="A390" t="inlineStr">
        <is>
          <t>Laminate Flooring</t>
        </is>
      </c>
      <c r="BO390" t="inlineStr">
        <is>
          <t>Ganciclovir</t>
        </is>
      </c>
    </row>
    <row r="391">
      <c r="A391" t="inlineStr">
        <is>
          <t>Electronic Mounts</t>
        </is>
      </c>
      <c r="BO391" t="inlineStr">
        <is>
          <t>Ganciclovir sodium</t>
        </is>
      </c>
    </row>
    <row r="392">
      <c r="A392" t="inlineStr">
        <is>
          <t>Wall Clocks</t>
        </is>
      </c>
      <c r="BO392" t="inlineStr">
        <is>
          <t>Gasoline engine exhaust (condensates/extracts)</t>
        </is>
      </c>
    </row>
    <row r="393">
      <c r="A393" t="inlineStr">
        <is>
          <t>Flooring Trim</t>
        </is>
      </c>
      <c r="BO393" t="inlineStr">
        <is>
          <t>Gemfibrozil</t>
        </is>
      </c>
    </row>
    <row r="394">
      <c r="A394" t="inlineStr">
        <is>
          <t>Aquariums &amp; Bowls</t>
        </is>
      </c>
      <c r="BO394" t="inlineStr">
        <is>
          <t>Glass wool fibers (inhalable and biopersistent)</t>
        </is>
      </c>
    </row>
    <row r="395">
      <c r="A395" t="inlineStr">
        <is>
          <t>Sewing Machines &amp; Sergers</t>
        </is>
      </c>
      <c r="BO395" t="inlineStr">
        <is>
          <t>Glu-P-1 (2-Amino-6-methyldipyrido[1,2- a:3',2'-d]imidazole)</t>
        </is>
      </c>
    </row>
    <row r="396">
      <c r="A396" t="inlineStr">
        <is>
          <t>Camping Tents &amp; Shelters</t>
        </is>
      </c>
      <c r="BO396" t="inlineStr">
        <is>
          <t>Glu-P-2 (2-Aminodipyrido[1,2-a:3',2'-d]imidazole)</t>
        </is>
      </c>
    </row>
    <row r="397">
      <c r="A397" t="inlineStr">
        <is>
          <t>Arcade Games &amp; Slot Machine</t>
        </is>
      </c>
      <c r="BO397" t="inlineStr">
        <is>
          <t>Glycidaldehyde</t>
        </is>
      </c>
    </row>
    <row r="398">
      <c r="A398" t="inlineStr">
        <is>
          <t>Hot Tub Accessories</t>
        </is>
      </c>
      <c r="BO398" t="inlineStr">
        <is>
          <t>Glycidol</t>
        </is>
      </c>
    </row>
    <row r="399">
      <c r="A399" t="inlineStr">
        <is>
          <t>Bathroom Safety</t>
        </is>
      </c>
      <c r="BO399" t="inlineStr">
        <is>
          <t>Glyphosate</t>
        </is>
      </c>
    </row>
    <row r="400">
      <c r="A400" t="inlineStr">
        <is>
          <t>Crib Conversion Rails</t>
        </is>
      </c>
      <c r="BO400" t="inlineStr">
        <is>
          <t>Goldenseal root powder</t>
        </is>
      </c>
    </row>
    <row r="401">
      <c r="A401" t="inlineStr">
        <is>
          <t>Cat Litter Box Accessories</t>
        </is>
      </c>
      <c r="BO401" t="inlineStr">
        <is>
          <t>Goserelin acetate</t>
        </is>
      </c>
    </row>
    <row r="402">
      <c r="A402" t="inlineStr">
        <is>
          <t>Pet Crate &amp; Carrier Accessories</t>
        </is>
      </c>
      <c r="BO402" t="inlineStr">
        <is>
          <t>Griseofulvin</t>
        </is>
      </c>
    </row>
    <row r="403">
      <c r="A403" t="inlineStr">
        <is>
          <t>Blankets And Throws</t>
        </is>
      </c>
      <c r="BO403" t="inlineStr">
        <is>
          <t>Gyromitrin (Acetaldehyde methylformylhydrazone)</t>
        </is>
      </c>
    </row>
    <row r="404">
      <c r="A404" t="inlineStr">
        <is>
          <t>Duvet Fills and Inserts</t>
        </is>
      </c>
      <c r="BO404" t="inlineStr">
        <is>
          <t>Halazepam</t>
        </is>
      </c>
    </row>
    <row r="405">
      <c r="A405" t="inlineStr">
        <is>
          <t>Shower Curtains</t>
        </is>
      </c>
      <c r="BO405" t="inlineStr">
        <is>
          <t>Halobetasol propionate</t>
        </is>
      </c>
    </row>
    <row r="406">
      <c r="A406" t="inlineStr">
        <is>
          <t>Bath Towels</t>
        </is>
      </c>
      <c r="BO406" t="inlineStr">
        <is>
          <t>Haloperidol</t>
        </is>
      </c>
    </row>
    <row r="407">
      <c r="A407" t="inlineStr">
        <is>
          <t>Pet Gates</t>
        </is>
      </c>
      <c r="BO407" t="inlineStr">
        <is>
          <t>Halothane</t>
        </is>
      </c>
    </row>
    <row r="408">
      <c r="A408" t="inlineStr">
        <is>
          <t>Pet Doors</t>
        </is>
      </c>
      <c r="BO408" t="inlineStr">
        <is>
          <t>HC Blue 1</t>
        </is>
      </c>
    </row>
    <row r="409">
      <c r="A409" t="inlineStr">
        <is>
          <t>Cat Cages &amp; Playpens</t>
        </is>
      </c>
      <c r="BO409" t="inlineStr">
        <is>
          <t>Heptachlor</t>
        </is>
      </c>
    </row>
    <row r="410">
      <c r="A410" t="inlineStr">
        <is>
          <t>Pet Bed Accessories &amp; Covers</t>
        </is>
      </c>
      <c r="BO410" t="inlineStr">
        <is>
          <t>Heptachlor epoxide</t>
        </is>
      </c>
    </row>
    <row r="411">
      <c r="A411" t="inlineStr">
        <is>
          <t>Potting Benches &amp; Tables</t>
        </is>
      </c>
      <c r="BO411" t="inlineStr">
        <is>
          <t>Herbal remedies containing plant species of the genus Aristolochia</t>
        </is>
      </c>
    </row>
    <row r="412">
      <c r="A412" t="inlineStr">
        <is>
          <t>Hand Dryers</t>
        </is>
      </c>
      <c r="BO412" t="inlineStr">
        <is>
          <t>Hexachlorobenzene</t>
        </is>
      </c>
    </row>
    <row r="413">
      <c r="A413" t="inlineStr">
        <is>
          <t>Chair Accessories</t>
        </is>
      </c>
      <c r="BO413" t="inlineStr">
        <is>
          <t>Hexachlorobutadiene</t>
        </is>
      </c>
    </row>
    <row r="414">
      <c r="A414" t="inlineStr">
        <is>
          <t>Hooks</t>
        </is>
      </c>
      <c r="BO414" t="inlineStr">
        <is>
          <t>Hexachlorodibenzodioxin</t>
        </is>
      </c>
    </row>
    <row r="415">
      <c r="A415" t="inlineStr">
        <is>
          <t>Brooms and Sweepers</t>
        </is>
      </c>
      <c r="BO415" t="inlineStr">
        <is>
          <t>Hexachloroethane</t>
        </is>
      </c>
    </row>
    <row r="416">
      <c r="A416" t="inlineStr">
        <is>
          <t>Fire Extinguishers</t>
        </is>
      </c>
      <c r="BO416" t="inlineStr">
        <is>
          <t>2,4-Hexadienal (89% trans, trans isomer; 11% cis, trans isomer)</t>
        </is>
      </c>
    </row>
    <row r="417">
      <c r="A417" t="inlineStr">
        <is>
          <t>Key Organizers</t>
        </is>
      </c>
      <c r="BO417" t="inlineStr">
        <is>
          <t>Hexafluoroacetone</t>
        </is>
      </c>
    </row>
    <row r="418">
      <c r="A418" t="inlineStr">
        <is>
          <t>Scales</t>
        </is>
      </c>
      <c r="BO418" t="inlineStr">
        <is>
          <t>Hexamethylphosphoramide</t>
        </is>
      </c>
    </row>
    <row r="419">
      <c r="A419" t="inlineStr">
        <is>
          <t>Time Clocks &amp; Accessories</t>
        </is>
      </c>
      <c r="BO419" t="inlineStr">
        <is>
          <t>Histrelin acetate</t>
        </is>
      </c>
    </row>
    <row r="420">
      <c r="A420" t="inlineStr">
        <is>
          <t>Signs &amp; Sign Holders</t>
        </is>
      </c>
      <c r="BO420" t="inlineStr">
        <is>
          <t>Hydramethylnon</t>
        </is>
      </c>
    </row>
    <row r="421">
      <c r="A421" t="inlineStr">
        <is>
          <t>Disposable Party Supplies</t>
        </is>
      </c>
      <c r="BO421" t="inlineStr">
        <is>
          <t>Hydrazine</t>
        </is>
      </c>
    </row>
    <row r="422">
      <c r="A422" t="inlineStr">
        <is>
          <t>Art Room Supplies</t>
        </is>
      </c>
      <c r="BO422" t="inlineStr">
        <is>
          <t>Hydrazine sulfate</t>
        </is>
      </c>
    </row>
    <row r="423">
      <c r="A423" t="inlineStr">
        <is>
          <t>Hangers</t>
        </is>
      </c>
      <c r="BO423" t="inlineStr">
        <is>
          <t>Hydrazobenzene (1,2-Diphenylhydrazine)</t>
        </is>
      </c>
    </row>
    <row r="424">
      <c r="A424" t="inlineStr">
        <is>
          <t>Partition Desks &amp; Cubicles</t>
        </is>
      </c>
      <c r="BO424" t="inlineStr">
        <is>
          <t>1-Hydroxyanthraquinone</t>
        </is>
      </c>
    </row>
    <row r="425">
      <c r="A425" t="inlineStr">
        <is>
          <t>Partition &amp; Panel Hardware Accessories</t>
        </is>
      </c>
      <c r="BO425" t="inlineStr">
        <is>
          <t>Hydroxyurea</t>
        </is>
      </c>
    </row>
    <row r="426">
      <c r="A426" t="inlineStr">
        <is>
          <t>Trash Bags &amp; Liners</t>
        </is>
      </c>
      <c r="BO426" t="inlineStr">
        <is>
          <t>Idarubicin hydrochloride</t>
        </is>
      </c>
    </row>
    <row r="427">
      <c r="A427" t="inlineStr">
        <is>
          <t>Classroom Decorations</t>
        </is>
      </c>
      <c r="BO427" t="inlineStr">
        <is>
          <t>Ifosfamide</t>
        </is>
      </c>
    </row>
    <row r="428">
      <c r="A428" t="inlineStr">
        <is>
          <t>Smoke &amp; CO Detectors</t>
        </is>
      </c>
      <c r="BO428" t="inlineStr">
        <is>
          <t>Iodine-131</t>
        </is>
      </c>
    </row>
    <row r="429">
      <c r="A429" t="inlineStr">
        <is>
          <t>Vacuum Accessories</t>
        </is>
      </c>
      <c r="BO429" t="inlineStr">
        <is>
          <t>Imazalil</t>
        </is>
      </c>
    </row>
    <row r="430">
      <c r="A430" t="inlineStr">
        <is>
          <t>Eye Wash Stations</t>
        </is>
      </c>
      <c r="BO430" t="inlineStr">
        <is>
          <t>Indeno[1,2,3-cd]pyrene</t>
        </is>
      </c>
    </row>
    <row r="431">
      <c r="A431" t="inlineStr">
        <is>
          <t>Decorative Telephones</t>
        </is>
      </c>
      <c r="BO431" t="inlineStr">
        <is>
          <t>Indium phosphide</t>
        </is>
      </c>
    </row>
    <row r="432">
      <c r="A432" t="inlineStr">
        <is>
          <t>Cash Handling</t>
        </is>
      </c>
      <c r="BO432" t="inlineStr">
        <is>
          <t>IQ (2-Amino-3-methylimidazo[4,5-f] quinoline)</t>
        </is>
      </c>
    </row>
    <row r="433">
      <c r="A433" t="inlineStr">
        <is>
          <t>Restroom Dispensers</t>
        </is>
      </c>
      <c r="BO433" t="inlineStr">
        <is>
          <t>Iprodione</t>
        </is>
      </c>
    </row>
    <row r="434">
      <c r="A434" t="inlineStr">
        <is>
          <t>Drawer Organizers</t>
        </is>
      </c>
      <c r="BO434" t="inlineStr">
        <is>
          <t>Iron dextran complex</t>
        </is>
      </c>
    </row>
    <row r="435">
      <c r="A435" t="inlineStr">
        <is>
          <t>File Boxes</t>
        </is>
      </c>
      <c r="BO435" t="inlineStr">
        <is>
          <t>Isobutyl nitrite</t>
        </is>
      </c>
    </row>
    <row r="436">
      <c r="A436" t="inlineStr">
        <is>
          <t>Water Coolers/Ice Buckets</t>
        </is>
      </c>
      <c r="BO436" t="inlineStr">
        <is>
          <t>Isoprene</t>
        </is>
      </c>
    </row>
    <row r="437">
      <c r="A437" t="inlineStr">
        <is>
          <t>Table Accessories</t>
        </is>
      </c>
      <c r="BO437" t="inlineStr">
        <is>
          <t>Isopyrazam</t>
        </is>
      </c>
    </row>
    <row r="438">
      <c r="A438" t="inlineStr">
        <is>
          <t>Flooring Samples</t>
        </is>
      </c>
      <c r="BO438" t="inlineStr">
        <is>
          <t>Isotretinoin</t>
        </is>
      </c>
    </row>
    <row r="439">
      <c r="A439" t="inlineStr">
        <is>
          <t>Dog Agility Equipment</t>
        </is>
      </c>
      <c r="BO439" t="inlineStr">
        <is>
          <t>Isoxaflutole</t>
        </is>
      </c>
    </row>
    <row r="440">
      <c r="A440" t="inlineStr">
        <is>
          <t>Yoga &amp; Pilates</t>
        </is>
      </c>
      <c r="BO440" t="inlineStr">
        <is>
          <t>Kresoxim-methyl</t>
        </is>
      </c>
    </row>
    <row r="441">
      <c r="A441" t="inlineStr">
        <is>
          <t>Chicken Coops</t>
        </is>
      </c>
      <c r="BO441" t="inlineStr">
        <is>
          <t>Lactofen</t>
        </is>
      </c>
    </row>
    <row r="442">
      <c r="A442" t="inlineStr">
        <is>
          <t>Desktop Organizers &amp; Desk Pads</t>
        </is>
      </c>
      <c r="BO442" t="inlineStr">
        <is>
          <t>Lasiocarpine</t>
        </is>
      </c>
    </row>
    <row r="443">
      <c r="A443" t="inlineStr">
        <is>
          <t>Sports Display Cases</t>
        </is>
      </c>
      <c r="BO443" t="inlineStr">
        <is>
          <t>Lead</t>
        </is>
      </c>
    </row>
    <row r="444">
      <c r="A444" t="inlineStr">
        <is>
          <t>Floor &amp; Wall Tile</t>
        </is>
      </c>
      <c r="BO444" t="inlineStr">
        <is>
          <t>Lead and lead compounds</t>
        </is>
      </c>
    </row>
    <row r="445">
      <c r="A445" t="inlineStr">
        <is>
          <t>Ladders</t>
        </is>
      </c>
      <c r="BO445" t="inlineStr">
        <is>
          <t>Lead acetate</t>
        </is>
      </c>
    </row>
    <row r="446">
      <c r="A446" t="inlineStr">
        <is>
          <t>Tile Trims</t>
        </is>
      </c>
      <c r="BO446" t="inlineStr">
        <is>
          <t>Lead phosphate</t>
        </is>
      </c>
    </row>
    <row r="447">
      <c r="A447" t="inlineStr">
        <is>
          <t>Shelving Accessories</t>
        </is>
      </c>
      <c r="BO447" t="inlineStr">
        <is>
          <t>Lead subacetate</t>
        </is>
      </c>
    </row>
    <row r="448">
      <c r="A448" t="inlineStr">
        <is>
          <t>Vinyl Flooring</t>
        </is>
      </c>
      <c r="BO448" t="inlineStr">
        <is>
          <t>Leather dust</t>
        </is>
      </c>
    </row>
    <row r="449">
      <c r="A449" t="inlineStr">
        <is>
          <t>Furniture Parts</t>
        </is>
      </c>
      <c r="BO449" t="inlineStr">
        <is>
          <t>Leuprolide acetate</t>
        </is>
      </c>
    </row>
    <row r="450">
      <c r="A450" t="inlineStr">
        <is>
          <t>Wedding</t>
        </is>
      </c>
      <c r="BO450" t="inlineStr">
        <is>
          <t>Levodopa</t>
        </is>
      </c>
    </row>
    <row r="451">
      <c r="A451" t="inlineStr">
        <is>
          <t>Hampers &amp; Baskets</t>
        </is>
      </c>
      <c r="BO451" t="inlineStr">
        <is>
          <t>Lindane and other hexachlorocyclohexane isomers</t>
        </is>
      </c>
    </row>
    <row r="452">
      <c r="A452" t="inlineStr">
        <is>
          <t>Tailgating Wagons</t>
        </is>
      </c>
      <c r="BO452" t="inlineStr">
        <is>
          <t>Linuron</t>
        </is>
      </c>
    </row>
    <row r="453">
      <c r="A453" t="inlineStr">
        <is>
          <t>Birding Accessories</t>
        </is>
      </c>
      <c r="BO453" t="inlineStr">
        <is>
          <t>Lithium carbonate</t>
        </is>
      </c>
    </row>
    <row r="454">
      <c r="A454" t="inlineStr">
        <is>
          <t>Flags</t>
        </is>
      </c>
      <c r="BO454" t="inlineStr">
        <is>
          <t>Lithium citrate</t>
        </is>
      </c>
    </row>
    <row r="455">
      <c r="A455" t="inlineStr">
        <is>
          <t>Landscaping Screens &amp; Bridges</t>
        </is>
      </c>
      <c r="BO455" t="inlineStr">
        <is>
          <t>Lorazepam</t>
        </is>
      </c>
    </row>
    <row r="456">
      <c r="A456" t="inlineStr">
        <is>
          <t>Swimming Pools</t>
        </is>
      </c>
      <c r="BO456" t="inlineStr">
        <is>
          <t>Lovastatin</t>
        </is>
      </c>
    </row>
    <row r="457">
      <c r="A457" t="inlineStr">
        <is>
          <t>Hot Tubs</t>
        </is>
      </c>
      <c r="BO457" t="inlineStr">
        <is>
          <t>Lynestrenol</t>
        </is>
      </c>
    </row>
    <row r="458">
      <c r="A458" t="inlineStr">
        <is>
          <t>Garage Storage Cabinets</t>
        </is>
      </c>
      <c r="BO458" t="inlineStr">
        <is>
          <t>Malathion</t>
        </is>
      </c>
    </row>
    <row r="459">
      <c r="A459" t="inlineStr">
        <is>
          <t>Bike And Sport Racks</t>
        </is>
      </c>
      <c r="BO459" t="inlineStr">
        <is>
          <t>Malonaldehyde, sodium salt</t>
        </is>
      </c>
    </row>
    <row r="460">
      <c r="A460" t="inlineStr">
        <is>
          <t>Workbenches</t>
        </is>
      </c>
      <c r="BO460" t="inlineStr">
        <is>
          <t>Mancozeb</t>
        </is>
      </c>
    </row>
    <row r="461">
      <c r="A461" t="inlineStr">
        <is>
          <t>Hose Reels</t>
        </is>
      </c>
      <c r="BO461" t="inlineStr">
        <is>
          <t>Maneb</t>
        </is>
      </c>
    </row>
    <row r="462">
      <c r="A462" t="inlineStr">
        <is>
          <t>Garage Appliances</t>
        </is>
      </c>
      <c r="BO462" t="inlineStr">
        <is>
          <t>Marijuana smoke</t>
        </is>
      </c>
    </row>
    <row r="463">
      <c r="A463" t="inlineStr">
        <is>
          <t>Slatwall &amp; Pegboard Accessories</t>
        </is>
      </c>
      <c r="BO463" t="inlineStr">
        <is>
          <t>Me-A-alpha-C (2-Amino-3-methyl-9H-pyrido[2,3-b]indole)</t>
        </is>
      </c>
    </row>
    <row r="464">
      <c r="A464" t="inlineStr">
        <is>
          <t>Locks</t>
        </is>
      </c>
      <c r="BO464" t="inlineStr">
        <is>
          <t>Mebendazole</t>
        </is>
      </c>
    </row>
    <row r="465">
      <c r="A465" t="inlineStr">
        <is>
          <t>Compost</t>
        </is>
      </c>
      <c r="BO465" t="inlineStr">
        <is>
          <t>Medroxyprogesterone acetate</t>
        </is>
      </c>
    </row>
    <row r="466">
      <c r="A466" t="inlineStr">
        <is>
          <t>Fencing &amp; Edging</t>
        </is>
      </c>
      <c r="BO466" t="inlineStr">
        <is>
          <t>Megestrol acetate</t>
        </is>
      </c>
    </row>
    <row r="467">
      <c r="A467" t="inlineStr">
        <is>
          <t>Fabric</t>
        </is>
      </c>
      <c r="BO467" t="inlineStr">
        <is>
          <t>MeIQ (2-Amino-3,4-dimethylimidazo[4,5-f]quinoline)</t>
        </is>
      </c>
    </row>
    <row r="468">
      <c r="A468" t="inlineStr">
        <is>
          <t>Ramps</t>
        </is>
      </c>
      <c r="BO468" t="inlineStr">
        <is>
          <t>MeIQx (2-Amino-3,8-dimethylimidazo[4,5-f]quinoxaline)</t>
        </is>
      </c>
    </row>
    <row r="469">
      <c r="A469" t="inlineStr">
        <is>
          <t>Exercise Pens and Yard Kennels</t>
        </is>
      </c>
      <c r="BO469" t="inlineStr">
        <is>
          <t>Melphalan</t>
        </is>
      </c>
    </row>
    <row r="470">
      <c r="A470" t="inlineStr">
        <is>
          <t>Baby Blankets</t>
        </is>
      </c>
      <c r="BO470" t="inlineStr">
        <is>
          <t>Menotropins</t>
        </is>
      </c>
    </row>
    <row r="471">
      <c r="A471" t="inlineStr">
        <is>
          <t>Cat Beds</t>
        </is>
      </c>
      <c r="BO471" t="inlineStr">
        <is>
          <t>Mepanipyrim</t>
        </is>
      </c>
    </row>
    <row r="472">
      <c r="A472" t="inlineStr">
        <is>
          <t>Dog Blankets</t>
        </is>
      </c>
      <c r="BO472" t="inlineStr">
        <is>
          <t>Meprobamate</t>
        </is>
      </c>
    </row>
    <row r="473">
      <c r="A473" t="inlineStr">
        <is>
          <t>Pet Grooming Furniture</t>
        </is>
      </c>
      <c r="BO473" t="inlineStr">
        <is>
          <t>2-Mercaptobenzothiazole</t>
        </is>
      </c>
    </row>
    <row r="474">
      <c r="A474" t="inlineStr">
        <is>
          <t>Beer Pong</t>
        </is>
      </c>
      <c r="BO474" t="inlineStr">
        <is>
          <t>Mercaptopurine</t>
        </is>
      </c>
    </row>
    <row r="475">
      <c r="A475" t="inlineStr">
        <is>
          <t>Knife Sets</t>
        </is>
      </c>
      <c r="BO475" t="inlineStr">
        <is>
          <t>Mercury and mercury compounds</t>
        </is>
      </c>
    </row>
    <row r="476">
      <c r="A476" t="inlineStr">
        <is>
          <t>Dog House Accessories</t>
        </is>
      </c>
      <c r="BO476" t="inlineStr">
        <is>
          <t>Merphalan</t>
        </is>
      </c>
    </row>
    <row r="477">
      <c r="A477" t="inlineStr">
        <is>
          <t>Saunas</t>
        </is>
      </c>
      <c r="BO477" t="inlineStr">
        <is>
          <t>Mestranol</t>
        </is>
      </c>
    </row>
    <row r="478">
      <c r="A478" t="inlineStr">
        <is>
          <t>Water Heaters</t>
        </is>
      </c>
      <c r="BO478" t="inlineStr">
        <is>
          <t>Metam potassium</t>
        </is>
      </c>
    </row>
    <row r="479">
      <c r="A479" t="inlineStr">
        <is>
          <t>Dumbbells</t>
        </is>
      </c>
      <c r="BO479" t="inlineStr">
        <is>
          <t>Methacycline hydrochloride</t>
        </is>
      </c>
    </row>
    <row r="480">
      <c r="A480" t="inlineStr">
        <is>
          <t>Weight Benches</t>
        </is>
      </c>
      <c r="BO480" t="inlineStr">
        <is>
          <t>Metham sodium</t>
        </is>
      </c>
    </row>
    <row r="481">
      <c r="A481" t="inlineStr">
        <is>
          <t>Weight Plates</t>
        </is>
      </c>
      <c r="BO481" t="inlineStr">
        <is>
          <t>Methanol</t>
        </is>
      </c>
    </row>
    <row r="482">
      <c r="A482" t="inlineStr">
        <is>
          <t>Sauna Accessories</t>
        </is>
      </c>
      <c r="BO482" t="inlineStr">
        <is>
          <t>Methazole</t>
        </is>
      </c>
    </row>
    <row r="483">
      <c r="A483" t="inlineStr">
        <is>
          <t>Learning Resources</t>
        </is>
      </c>
      <c r="BO483" t="inlineStr">
        <is>
          <t>Methimazole</t>
        </is>
      </c>
    </row>
    <row r="484">
      <c r="A484" t="inlineStr">
        <is>
          <t>Carpet Tile</t>
        </is>
      </c>
      <c r="BO484" t="inlineStr">
        <is>
          <t>Methotrexate</t>
        </is>
      </c>
    </row>
    <row r="485">
      <c r="A485" t="inlineStr">
        <is>
          <t>Outdoor Deck Tiles</t>
        </is>
      </c>
      <c r="BO485" t="inlineStr">
        <is>
          <t>Methotrexate sodium</t>
        </is>
      </c>
    </row>
    <row r="486">
      <c r="A486" t="inlineStr">
        <is>
          <t>Water Filtration</t>
        </is>
      </c>
      <c r="BO486" t="inlineStr">
        <is>
          <t>5-Methoxypsoralen with ultraviolet A therapy</t>
        </is>
      </c>
    </row>
    <row r="487">
      <c r="A487" t="inlineStr">
        <is>
          <t>Sports Flags</t>
        </is>
      </c>
      <c r="BO487" t="inlineStr">
        <is>
          <t>8-Methoxypsoralen with ultraviolet A therapy</t>
        </is>
      </c>
    </row>
    <row r="488">
      <c r="A488" t="inlineStr">
        <is>
          <t>Fitness &amp; Recreational Flooring</t>
        </is>
      </c>
      <c r="BO488" t="inlineStr">
        <is>
          <t>2-Methylaziridine (Propyleneimine)</t>
        </is>
      </c>
    </row>
    <row r="489">
      <c r="A489" t="inlineStr">
        <is>
          <t>Bath Exhaust Fans</t>
        </is>
      </c>
      <c r="BO489" t="inlineStr">
        <is>
          <t>Methylazoxymethanol</t>
        </is>
      </c>
    </row>
    <row r="490">
      <c r="A490" t="inlineStr">
        <is>
          <t>Craft &amp; Sewing Tables</t>
        </is>
      </c>
      <c r="BO490" t="inlineStr">
        <is>
          <t>Methylazoxymethanol acetate</t>
        </is>
      </c>
    </row>
    <row r="491">
      <c r="A491" t="inlineStr">
        <is>
          <t>Bounce Houses &amp; Inflatable Slides</t>
        </is>
      </c>
      <c r="BO491" t="inlineStr">
        <is>
          <t>Methyl bromide, as a structural fumigant</t>
        </is>
      </c>
    </row>
    <row r="492">
      <c r="A492" t="inlineStr">
        <is>
          <t>Commercial Ceiling Lighting</t>
        </is>
      </c>
      <c r="BO492" t="inlineStr">
        <is>
          <t>Methyl carbamate</t>
        </is>
      </c>
    </row>
    <row r="493">
      <c r="A493" t="inlineStr">
        <is>
          <t>Commercial Wall Lighting</t>
        </is>
      </c>
      <c r="BO493" t="inlineStr">
        <is>
          <t>Methyl chloride</t>
        </is>
      </c>
    </row>
    <row r="494">
      <c r="A494" t="inlineStr">
        <is>
          <t>Commercial Outdoor Lighting</t>
        </is>
      </c>
      <c r="BO494" t="inlineStr">
        <is>
          <t>3-Methylcholanthrene</t>
        </is>
      </c>
    </row>
    <row r="495">
      <c r="A495" t="inlineStr">
        <is>
          <t>Commercial Exit And Emergency Lights</t>
        </is>
      </c>
      <c r="BO495" t="inlineStr">
        <is>
          <t>5-Methylchrysene</t>
        </is>
      </c>
    </row>
    <row r="496">
      <c r="A496" t="inlineStr">
        <is>
          <t>Commercial Accent Lighting</t>
        </is>
      </c>
      <c r="BO496" t="inlineStr">
        <is>
          <t>4,4'-Methylene bis(2-chloroaniline)</t>
        </is>
      </c>
    </row>
    <row r="497">
      <c r="A497" t="inlineStr">
        <is>
          <t>Playhouses &amp; Play Tents</t>
        </is>
      </c>
      <c r="BO497" t="inlineStr">
        <is>
          <t>4,4'-Methylene bis(N,N-dimethyl)benzenamine</t>
        </is>
      </c>
    </row>
    <row r="498">
      <c r="A498" t="inlineStr">
        <is>
          <t>Bleachers</t>
        </is>
      </c>
      <c r="BO498" t="inlineStr">
        <is>
          <t>4,4'-Methylene bis(2-methylaniline)</t>
        </is>
      </c>
    </row>
    <row r="499">
      <c r="A499" t="inlineStr">
        <is>
          <t>Chicken Coop Accessories</t>
        </is>
      </c>
      <c r="BO499" t="inlineStr">
        <is>
          <t>4,4'-Methylenedianiline</t>
        </is>
      </c>
    </row>
    <row r="500">
      <c r="A500" t="inlineStr">
        <is>
          <t>Reptile/Snake Terrariums and Habitats</t>
        </is>
      </c>
      <c r="BO500" t="inlineStr">
        <is>
          <t>4,4'-Methylenedianiline dihydrochloride</t>
        </is>
      </c>
    </row>
    <row r="501">
      <c r="A501" t="inlineStr">
        <is>
          <t>Faux Florals</t>
        </is>
      </c>
      <c r="BO501" t="inlineStr">
        <is>
          <t>Methyleugenol</t>
        </is>
      </c>
    </row>
    <row r="502">
      <c r="A502" t="inlineStr">
        <is>
          <t>Faux Plants and Trees</t>
        </is>
      </c>
      <c r="BO502" t="inlineStr">
        <is>
          <t>Methylhydrazine and its salts</t>
        </is>
      </c>
    </row>
    <row r="503">
      <c r="A503" t="inlineStr">
        <is>
          <t>Switches, Dimmers &amp; Outlets</t>
        </is>
      </c>
      <c r="BO503" t="inlineStr">
        <is>
          <t>2-Methylimidazole</t>
        </is>
      </c>
    </row>
    <row r="504">
      <c r="A504" t="inlineStr">
        <is>
          <t>Covers &amp; Carry Bags</t>
        </is>
      </c>
      <c r="BO504" t="inlineStr">
        <is>
          <t>4-Methylimidazole</t>
        </is>
      </c>
    </row>
    <row r="505">
      <c r="A505" t="inlineStr">
        <is>
          <t>Grilling Tools &amp; Accessories</t>
        </is>
      </c>
      <c r="BO505" t="inlineStr">
        <is>
          <t>Methyl iodide</t>
        </is>
      </c>
    </row>
    <row r="506">
      <c r="A506" t="inlineStr">
        <is>
          <t>Grill Parts</t>
        </is>
      </c>
      <c r="BO506" t="inlineStr">
        <is>
          <t>Methyl isobutyl ketone</t>
        </is>
      </c>
    </row>
    <row r="507">
      <c r="A507" t="inlineStr">
        <is>
          <t>Grilling &amp; Heating Fuels</t>
        </is>
      </c>
      <c r="BO507" t="inlineStr">
        <is>
          <t>Methyl isobutyl ketone (MIBK)</t>
        </is>
      </c>
    </row>
    <row r="508">
      <c r="A508" t="inlineStr">
        <is>
          <t>Deck Boxes</t>
        </is>
      </c>
      <c r="BO508" t="inlineStr">
        <is>
          <t>Methyl isocyanate (MIC)</t>
        </is>
      </c>
    </row>
    <row r="509">
      <c r="A509" t="inlineStr">
        <is>
          <t>Wall Stickers</t>
        </is>
      </c>
      <c r="BO509" t="inlineStr">
        <is>
          <t>Methyl mercury</t>
        </is>
      </c>
    </row>
    <row r="510">
      <c r="A510" t="inlineStr">
        <is>
          <t>Ironing Boards, Covers &amp; Pads</t>
        </is>
      </c>
      <c r="BO510" t="inlineStr">
        <is>
          <t>Methylmercury compounds</t>
        </is>
      </c>
    </row>
    <row r="511">
      <c r="A511" t="inlineStr">
        <is>
          <t>Drying Racks</t>
        </is>
      </c>
      <c r="BO511" t="inlineStr">
        <is>
          <t>Methyl methanesulfonate</t>
        </is>
      </c>
    </row>
    <row r="512">
      <c r="A512" t="inlineStr">
        <is>
          <t>Shoe Storage</t>
        </is>
      </c>
      <c r="BO512" t="inlineStr">
        <is>
          <t>Methyl-n-butyl ketone</t>
        </is>
      </c>
    </row>
    <row r="513">
      <c r="A513" t="inlineStr">
        <is>
          <t>Bathroom Storage</t>
        </is>
      </c>
      <c r="BO513" t="inlineStr">
        <is>
          <t>2-Methyl-1-nitroanthraquinone (of uncertain purity)</t>
        </is>
      </c>
    </row>
    <row r="514">
      <c r="A514" t="inlineStr">
        <is>
          <t>Climbing Toys &amp; Slides</t>
        </is>
      </c>
      <c r="BO514" t="inlineStr">
        <is>
          <t>N-Methyl-N'-nitro-N-nitrosoguanidine</t>
        </is>
      </c>
    </row>
    <row r="515">
      <c r="A515" t="inlineStr">
        <is>
          <t>Cruets &amp; Condiment Bottles</t>
        </is>
      </c>
      <c r="BO515" t="inlineStr">
        <is>
          <t>N-Methylolacrylamide</t>
        </is>
      </c>
    </row>
    <row r="516">
      <c r="A516" t="inlineStr">
        <is>
          <t>Changing Table Pads &amp; Covers</t>
        </is>
      </c>
      <c r="BO516" t="inlineStr">
        <is>
          <t>N-Methylpyrrolidone</t>
        </is>
      </c>
    </row>
    <row r="517">
      <c r="A517" t="inlineStr">
        <is>
          <t>Bedding Accessories</t>
        </is>
      </c>
      <c r="BO517" t="inlineStr">
        <is>
          <t>α-Methyl styrene (alpha-Methylstyrene)</t>
        </is>
      </c>
    </row>
    <row r="518">
      <c r="A518" t="inlineStr">
        <is>
          <t>Table Top Games &amp; Accessories</t>
        </is>
      </c>
      <c r="BO518" t="inlineStr">
        <is>
          <t>Methyltestosterone</t>
        </is>
      </c>
    </row>
    <row r="519">
      <c r="A519" t="inlineStr">
        <is>
          <t>Towel Warmers</t>
        </is>
      </c>
      <c r="BO519" t="inlineStr">
        <is>
          <t>Methylthiouracil</t>
        </is>
      </c>
    </row>
    <row r="520">
      <c r="A520" t="inlineStr">
        <is>
          <t>Rug Samples</t>
        </is>
      </c>
      <c r="BO520" t="inlineStr">
        <is>
          <t>Metiram</t>
        </is>
      </c>
    </row>
    <row r="521">
      <c r="A521" t="inlineStr">
        <is>
          <t>Home Brewing</t>
        </is>
      </c>
      <c r="BO521" t="inlineStr">
        <is>
          <t>Metronidazole</t>
        </is>
      </c>
    </row>
    <row r="522">
      <c r="A522" t="inlineStr">
        <is>
          <t>Pavers &amp; Cobblestones</t>
        </is>
      </c>
      <c r="BO522" t="inlineStr">
        <is>
          <t>Michler's ketone</t>
        </is>
      </c>
    </row>
    <row r="523">
      <c r="A523" t="inlineStr">
        <is>
          <t>Body Weight Scales</t>
        </is>
      </c>
      <c r="BO523" t="inlineStr">
        <is>
          <t>Midazolam hydrochloride</t>
        </is>
      </c>
    </row>
    <row r="524">
      <c r="A524" t="inlineStr">
        <is>
          <t>Compact &amp; Mini Fridges</t>
        </is>
      </c>
      <c r="BO524" t="inlineStr">
        <is>
          <t>Minocycline hydrochloride (internal use)</t>
        </is>
      </c>
    </row>
    <row r="525">
      <c r="A525" t="inlineStr">
        <is>
          <t>Large Appliance Accessories</t>
        </is>
      </c>
      <c r="BO525" t="inlineStr">
        <is>
          <t>Mirex</t>
        </is>
      </c>
    </row>
    <row r="526">
      <c r="A526" t="inlineStr">
        <is>
          <t>Christmas Stockings &amp; Holders</t>
        </is>
      </c>
      <c r="BO526" t="inlineStr">
        <is>
          <t>Misoprostol</t>
        </is>
      </c>
    </row>
    <row r="527">
      <c r="A527" t="inlineStr">
        <is>
          <t>Accent Tiles</t>
        </is>
      </c>
      <c r="BO527" t="inlineStr">
        <is>
          <t>Mitomycin C</t>
        </is>
      </c>
    </row>
    <row r="528">
      <c r="A528" t="inlineStr">
        <is>
          <t>Enclosures</t>
        </is>
      </c>
      <c r="BO528" t="inlineStr">
        <is>
          <t>Mitoxantrone hydrochloride</t>
        </is>
      </c>
    </row>
    <row r="529">
      <c r="A529" t="inlineStr">
        <is>
          <t>Tool Holders</t>
        </is>
      </c>
      <c r="BO529" t="inlineStr">
        <is>
          <t>Molinate</t>
        </is>
      </c>
    </row>
    <row r="530">
      <c r="A530" t="inlineStr">
        <is>
          <t>Vanity Tops</t>
        </is>
      </c>
      <c r="BO530" t="inlineStr">
        <is>
          <t>MON 4660 (dichloroacetyl-1-oxa-4-azaspiro(4,5)-decane</t>
        </is>
      </c>
    </row>
    <row r="531">
      <c r="A531" t="inlineStr">
        <is>
          <t>Vanity Bases</t>
        </is>
      </c>
      <c r="BO531" t="inlineStr">
        <is>
          <t>MON 13900 (furilazole)</t>
        </is>
      </c>
    </row>
    <row r="532">
      <c r="A532" t="inlineStr">
        <is>
          <t>Chandeliers</t>
        </is>
      </c>
      <c r="BO532" t="inlineStr">
        <is>
          <t>3-Monochloropropane-1,2-diol (3-MCPD)</t>
        </is>
      </c>
    </row>
    <row r="533">
      <c r="A533" t="inlineStr">
        <is>
          <t>Flush Mount Lighting</t>
        </is>
      </c>
      <c r="BO533" t="inlineStr">
        <is>
          <t>Monocrotaline</t>
        </is>
      </c>
    </row>
    <row r="534">
      <c r="A534" t="inlineStr">
        <is>
          <t>Pendant Lights</t>
        </is>
      </c>
      <c r="BO534" t="inlineStr">
        <is>
          <t>MOPP (vincristine-prednisone-nitrogen mustard-procarbazine mixture)</t>
        </is>
      </c>
    </row>
    <row r="535">
      <c r="A535" t="inlineStr">
        <is>
          <t>Wayfair Gift Certificates &amp; Donations</t>
        </is>
      </c>
      <c r="BO535" t="inlineStr">
        <is>
          <t>5-(Morpholinomethyl)-3-[(5-nitrofurfuryl-idene)-amino]-2-oxazolidinone</t>
        </is>
      </c>
    </row>
    <row r="536">
      <c r="A536" t="inlineStr">
        <is>
          <t>Outdoor Hanging Lights</t>
        </is>
      </c>
      <c r="BO536" t="inlineStr">
        <is>
          <t>Mustard Gas</t>
        </is>
      </c>
    </row>
    <row r="537">
      <c r="A537" t="inlineStr">
        <is>
          <t>Landscape Lighting</t>
        </is>
      </c>
      <c r="BO537" t="inlineStr">
        <is>
          <t>MX (3-chloro-4-dichloromethyl-5-hydroxy-2(5H)-furanone)</t>
        </is>
      </c>
    </row>
    <row r="538">
      <c r="A538" t="inlineStr">
        <is>
          <t>Post Lanterns</t>
        </is>
      </c>
      <c r="BO538" t="inlineStr">
        <is>
          <t>Myclobutanil</t>
        </is>
      </c>
    </row>
    <row r="539">
      <c r="A539" t="inlineStr">
        <is>
          <t>Outdoor Wall Lights</t>
        </is>
      </c>
      <c r="BO539" t="inlineStr">
        <is>
          <t>beta-Myrcene</t>
        </is>
      </c>
    </row>
    <row r="540">
      <c r="A540" t="inlineStr">
        <is>
          <t>Luggage Racks</t>
        </is>
      </c>
      <c r="BO540" t="inlineStr">
        <is>
          <t>Nabam</t>
        </is>
      </c>
    </row>
    <row r="541">
      <c r="A541" t="inlineStr">
        <is>
          <t>Vanity Lighting</t>
        </is>
      </c>
      <c r="BO541" t="inlineStr">
        <is>
          <t>Nafarelin acetate</t>
        </is>
      </c>
    </row>
    <row r="542">
      <c r="A542" t="inlineStr">
        <is>
          <t>Wall Sconces</t>
        </is>
      </c>
      <c r="BO542" t="inlineStr">
        <is>
          <t>Nafenopin</t>
        </is>
      </c>
    </row>
    <row r="543">
      <c r="A543" t="inlineStr">
        <is>
          <t>Kids Bedroom Sets</t>
        </is>
      </c>
      <c r="BO543" t="inlineStr">
        <is>
          <t>Nalidixic acid</t>
        </is>
      </c>
    </row>
    <row r="544">
      <c r="A544" t="inlineStr">
        <is>
          <t>Kids Headboards</t>
        </is>
      </c>
      <c r="BO544" t="inlineStr">
        <is>
          <t>Naphthalene</t>
        </is>
      </c>
    </row>
    <row r="545">
      <c r="A545" t="inlineStr">
        <is>
          <t>Tub Faucets</t>
        </is>
      </c>
      <c r="BO545" t="inlineStr">
        <is>
          <t>1-Naphthylamine</t>
        </is>
      </c>
    </row>
    <row r="546">
      <c r="A546" t="inlineStr">
        <is>
          <t>Shower Faucets &amp; Systems</t>
        </is>
      </c>
      <c r="BO546" t="inlineStr">
        <is>
          <t>2-Naphthylamine</t>
        </is>
      </c>
    </row>
    <row r="547">
      <c r="A547" t="inlineStr">
        <is>
          <t>Candle Holders</t>
        </is>
      </c>
      <c r="BO547" t="inlineStr">
        <is>
          <t>Neomycin sulfate (internal use)</t>
        </is>
      </c>
    </row>
    <row r="548">
      <c r="A548" t="inlineStr">
        <is>
          <t>Shower &amp; Tub Doors</t>
        </is>
      </c>
      <c r="BO548" t="inlineStr">
        <is>
          <t>Netilmicin sulfate</t>
        </is>
      </c>
    </row>
    <row r="549">
      <c r="A549" t="inlineStr">
        <is>
          <t>Shower and Bathtub Enclosures</t>
        </is>
      </c>
      <c r="BO549" t="inlineStr">
        <is>
          <t>Nickel (Metallic)</t>
        </is>
      </c>
    </row>
    <row r="550">
      <c r="A550" t="inlineStr">
        <is>
          <t>Kids Dressers &amp; Chests</t>
        </is>
      </c>
      <c r="BO550" t="inlineStr">
        <is>
          <t>Nickel acetate</t>
        </is>
      </c>
    </row>
    <row r="551">
      <c r="A551" t="inlineStr">
        <is>
          <t>Kids Nightstands</t>
        </is>
      </c>
      <c r="BO551" t="inlineStr">
        <is>
          <t>Nickel carbonate</t>
        </is>
      </c>
    </row>
    <row r="552">
      <c r="A552" t="inlineStr">
        <is>
          <t>Kids Armoires</t>
        </is>
      </c>
      <c r="BO552" t="inlineStr">
        <is>
          <t>Nickel carbonyl</t>
        </is>
      </c>
    </row>
    <row r="553">
      <c r="A553" t="inlineStr">
        <is>
          <t>Flagpoles and Accessories</t>
        </is>
      </c>
      <c r="BO553" t="inlineStr">
        <is>
          <t>Nickel compounds</t>
        </is>
      </c>
    </row>
    <row r="554">
      <c r="A554" t="inlineStr">
        <is>
          <t>Towel Bars, Racks, and Stands</t>
        </is>
      </c>
      <c r="BO554" t="inlineStr">
        <is>
          <t>Nickelocene</t>
        </is>
      </c>
    </row>
    <row r="555">
      <c r="A555" t="inlineStr">
        <is>
          <t>Toilet Paper Holders</t>
        </is>
      </c>
      <c r="BO555" t="inlineStr">
        <is>
          <t>Nickel oxide</t>
        </is>
      </c>
    </row>
    <row r="556">
      <c r="A556" t="inlineStr">
        <is>
          <t>Patio Dining Chairs</t>
        </is>
      </c>
      <c r="BO556" t="inlineStr">
        <is>
          <t>Nickel refinery dust from the pyrometallurgical process</t>
        </is>
      </c>
    </row>
    <row r="557">
      <c r="A557" t="inlineStr">
        <is>
          <t>Wallpaper</t>
        </is>
      </c>
      <c r="BO557" t="inlineStr">
        <is>
          <t>Nickel subsulfide</t>
        </is>
      </c>
    </row>
    <row r="558">
      <c r="A558" t="inlineStr">
        <is>
          <t>Patio Bar Stools</t>
        </is>
      </c>
      <c r="BO558" t="inlineStr">
        <is>
          <t>Nicotine</t>
        </is>
      </c>
    </row>
    <row r="559">
      <c r="A559" t="inlineStr">
        <is>
          <t>Kids Desks</t>
        </is>
      </c>
      <c r="BO559" t="inlineStr">
        <is>
          <t>Nifedipine</t>
        </is>
      </c>
    </row>
    <row r="560">
      <c r="A560" t="inlineStr">
        <is>
          <t>Patio Benches</t>
        </is>
      </c>
      <c r="BO560" t="inlineStr">
        <is>
          <t>Nimodipine</t>
        </is>
      </c>
    </row>
    <row r="561">
      <c r="A561" t="inlineStr">
        <is>
          <t>Kids Vanities</t>
        </is>
      </c>
      <c r="BO561" t="inlineStr">
        <is>
          <t>Niridazole</t>
        </is>
      </c>
    </row>
    <row r="562">
      <c r="A562" t="inlineStr">
        <is>
          <t>Gas Grills</t>
        </is>
      </c>
      <c r="BO562" t="inlineStr">
        <is>
          <t>Nitrapyrin</t>
        </is>
      </c>
    </row>
    <row r="563">
      <c r="A563" t="inlineStr">
        <is>
          <t>Outdoor Cookers</t>
        </is>
      </c>
      <c r="BO563" t="inlineStr">
        <is>
          <t>Nitrilotriacetic acid</t>
        </is>
      </c>
    </row>
    <row r="564">
      <c r="A564" t="inlineStr">
        <is>
          <t>Electric Grills</t>
        </is>
      </c>
      <c r="BO564" t="inlineStr">
        <is>
          <t>Nitrilotriacetic acid, trisodium salt monohydrate</t>
        </is>
      </c>
    </row>
    <row r="565">
      <c r="A565" t="inlineStr">
        <is>
          <t>Saute Pans</t>
        </is>
      </c>
      <c r="BO565" t="inlineStr">
        <is>
          <t>5-Nitroacenaphthene</t>
        </is>
      </c>
    </row>
    <row r="566">
      <c r="A566" t="inlineStr">
        <is>
          <t>Grill Pans &amp; Griddles</t>
        </is>
      </c>
      <c r="BO566" t="inlineStr">
        <is>
          <t>o-Nitroanisole</t>
        </is>
      </c>
    </row>
    <row r="567">
      <c r="A567" t="inlineStr">
        <is>
          <t>Pot Inserts &amp; Steamer Baskets</t>
        </is>
      </c>
      <c r="BO567" t="inlineStr">
        <is>
          <t>Nitrobenzene</t>
        </is>
      </c>
    </row>
    <row r="568">
      <c r="A568" t="inlineStr">
        <is>
          <t>Shower Bases</t>
        </is>
      </c>
      <c r="BO568" t="inlineStr">
        <is>
          <t>4-Nitrobiphenyl</t>
        </is>
      </c>
    </row>
    <row r="569">
      <c r="A569" t="inlineStr">
        <is>
          <t>Ceiling Fan Light Kits</t>
        </is>
      </c>
      <c r="BO569" t="inlineStr">
        <is>
          <t>6-Nitrochrysene</t>
        </is>
      </c>
    </row>
    <row r="570">
      <c r="A570" t="inlineStr">
        <is>
          <t>Outdoor Lanterns &amp; Lamps</t>
        </is>
      </c>
      <c r="BO570" t="inlineStr">
        <is>
          <t>Nitrofen (technical grade)</t>
        </is>
      </c>
    </row>
    <row r="571">
      <c r="A571" t="inlineStr">
        <is>
          <t>Camping Cots</t>
        </is>
      </c>
      <c r="BO571" t="inlineStr">
        <is>
          <t>2-Nitrofluorene</t>
        </is>
      </c>
    </row>
    <row r="572">
      <c r="A572" t="inlineStr">
        <is>
          <t>Air Conditioners</t>
        </is>
      </c>
      <c r="BO572" t="inlineStr">
        <is>
          <t>Nitrofurazone</t>
        </is>
      </c>
    </row>
    <row r="573">
      <c r="A573" t="inlineStr">
        <is>
          <t>Wine Bottle Carriers</t>
        </is>
      </c>
      <c r="BO573" t="inlineStr">
        <is>
          <t>1-[(5-Nitrofurfurylidene)-amino]-2-imidazolidinone</t>
        </is>
      </c>
    </row>
    <row r="574">
      <c r="A574" t="inlineStr">
        <is>
          <t>Floor Lamps</t>
        </is>
      </c>
      <c r="BO574" t="inlineStr">
        <is>
          <t>N-[4-(5-Nitro-2-furyl)-2-thiazolyl]acetamide</t>
        </is>
      </c>
    </row>
    <row r="575">
      <c r="A575" t="inlineStr">
        <is>
          <t>Outdoor Showers</t>
        </is>
      </c>
      <c r="BO575" t="inlineStr">
        <is>
          <t>Nitrogen mustard (Mechlorethamine)</t>
        </is>
      </c>
    </row>
    <row r="576">
      <c r="A576" t="inlineStr">
        <is>
          <t>Curtains &amp; Drapes</t>
        </is>
      </c>
      <c r="BO576" t="inlineStr">
        <is>
          <t>Nitrogen mustard hydrochloride (Mechlorethamine hydrochloride)</t>
        </is>
      </c>
    </row>
    <row r="577">
      <c r="A577" t="inlineStr">
        <is>
          <t>Valances &amp; Kitchen Curtains</t>
        </is>
      </c>
      <c r="BO577" t="inlineStr">
        <is>
          <t>Nitrogen mustard N-oxide</t>
        </is>
      </c>
    </row>
    <row r="578">
      <c r="A578" t="inlineStr">
        <is>
          <t>Curtain Hardware &amp; Accessories</t>
        </is>
      </c>
      <c r="BO578" t="inlineStr">
        <is>
          <t>Nitrogen mustard N-oxide hydrochloride</t>
        </is>
      </c>
    </row>
    <row r="579">
      <c r="A579" t="inlineStr">
        <is>
          <t>Stained Glass Panels</t>
        </is>
      </c>
      <c r="BO579" t="inlineStr">
        <is>
          <t>Nitromethane</t>
        </is>
      </c>
    </row>
    <row r="580">
      <c r="A580" t="inlineStr">
        <is>
          <t>Slatwalls &amp; Pegboards</t>
        </is>
      </c>
      <c r="BO580" t="inlineStr">
        <is>
          <t>2-Nitropropane</t>
        </is>
      </c>
    </row>
    <row r="581">
      <c r="A581" t="inlineStr">
        <is>
          <t>Cotton Candy Makers &amp; Accessories</t>
        </is>
      </c>
      <c r="BO581" t="inlineStr">
        <is>
          <t>1-Nitropyrene</t>
        </is>
      </c>
    </row>
    <row r="582">
      <c r="A582" t="inlineStr">
        <is>
          <t>Holiday Decor Storage</t>
        </is>
      </c>
      <c r="BO582" t="inlineStr">
        <is>
          <t>4-Nitropyrene</t>
        </is>
      </c>
    </row>
    <row r="583">
      <c r="A583" t="inlineStr">
        <is>
          <t>Closet Systems</t>
        </is>
      </c>
      <c r="BO583" t="inlineStr">
        <is>
          <t>N-Nitrosodi-n-butylamine</t>
        </is>
      </c>
    </row>
    <row r="584">
      <c r="A584" t="inlineStr">
        <is>
          <t>Spice Jars &amp; Racks</t>
        </is>
      </c>
      <c r="BO584" t="inlineStr">
        <is>
          <t>N-Nitrosodiethanolamine</t>
        </is>
      </c>
    </row>
    <row r="585">
      <c r="A585" t="inlineStr">
        <is>
          <t>Serving Bowls</t>
        </is>
      </c>
      <c r="BO585" t="inlineStr">
        <is>
          <t>N-Nitrosodiethylamine</t>
        </is>
      </c>
    </row>
    <row r="586">
      <c r="A586" t="inlineStr">
        <is>
          <t>Serving Dishes &amp; Platters</t>
        </is>
      </c>
      <c r="BO586" t="inlineStr">
        <is>
          <t>N-Nitrosodimethylamine</t>
        </is>
      </c>
    </row>
    <row r="587">
      <c r="A587" t="inlineStr">
        <is>
          <t>Specialty Serving</t>
        </is>
      </c>
      <c r="BO587" t="inlineStr">
        <is>
          <t>p-Nitrosodiphenylamine</t>
        </is>
      </c>
    </row>
    <row r="588">
      <c r="A588" t="inlineStr">
        <is>
          <t>Creamers &amp; Sugar Bowls</t>
        </is>
      </c>
      <c r="BO588" t="inlineStr">
        <is>
          <t>N-Nitrosodiphenylamine</t>
        </is>
      </c>
    </row>
    <row r="589">
      <c r="A589" t="inlineStr">
        <is>
          <t>Changing Stations</t>
        </is>
      </c>
      <c r="BO589" t="inlineStr">
        <is>
          <t>N-Nitrosodi-n-propylamine</t>
        </is>
      </c>
    </row>
    <row r="590">
      <c r="A590" t="inlineStr">
        <is>
          <t>Scents &amp; Diffusers</t>
        </is>
      </c>
      <c r="BO590" t="inlineStr">
        <is>
          <t>N-Nitroso-N-ethylurea</t>
        </is>
      </c>
    </row>
    <row r="591">
      <c r="A591" t="inlineStr">
        <is>
          <t>Mugs &amp; Teacups</t>
        </is>
      </c>
      <c r="BO591" t="inlineStr">
        <is>
          <t>3-(N-Nitrosomethylamino) propionitrile</t>
        </is>
      </c>
    </row>
    <row r="592">
      <c r="A592" t="inlineStr">
        <is>
          <t>Holiday Accents &amp; Decor</t>
        </is>
      </c>
      <c r="BO592" t="inlineStr">
        <is>
          <t>4-(N-Nitrosomethylamino)-1-(3-pyridyl)1-butanone</t>
        </is>
      </c>
    </row>
    <row r="593">
      <c r="A593" t="inlineStr">
        <is>
          <t>Decorative Trays</t>
        </is>
      </c>
      <c r="BO593" t="inlineStr">
        <is>
          <t>N-Nitrosomethyl-n-butylamine</t>
        </is>
      </c>
    </row>
    <row r="594">
      <c r="A594" t="inlineStr">
        <is>
          <t>Judaica</t>
        </is>
      </c>
      <c r="BO594" t="inlineStr">
        <is>
          <t>N-Nitrosomethyl-n-decylamine</t>
        </is>
      </c>
    </row>
    <row r="595">
      <c r="A595" t="inlineStr">
        <is>
          <t>Dinnerware Storage</t>
        </is>
      </c>
      <c r="BO595" t="inlineStr">
        <is>
          <t>N-Nitrosomethyl-n-dodecylamine</t>
        </is>
      </c>
    </row>
    <row r="596">
      <c r="A596" t="inlineStr">
        <is>
          <t>Pantry Cabinets</t>
        </is>
      </c>
      <c r="BO596" t="inlineStr">
        <is>
          <t>N-Nitrosomethylethylamine</t>
        </is>
      </c>
    </row>
    <row r="597">
      <c r="A597" t="inlineStr">
        <is>
          <t>Bathroom Hardware Sets</t>
        </is>
      </c>
      <c r="BO597" t="inlineStr">
        <is>
          <t>N-Nitrosomethyl-n-heptylamine</t>
        </is>
      </c>
    </row>
    <row r="598">
      <c r="A598" t="inlineStr">
        <is>
          <t>Soda Makers</t>
        </is>
      </c>
      <c r="BO598" t="inlineStr">
        <is>
          <t>N-Nitrosomethyl-n-hexylamine</t>
        </is>
      </c>
    </row>
    <row r="599">
      <c r="A599" t="inlineStr">
        <is>
          <t>Weight Bar</t>
        </is>
      </c>
      <c r="BO599" t="inlineStr">
        <is>
          <t>N-Nitrosomethyl-n-nonylamine</t>
        </is>
      </c>
    </row>
    <row r="600">
      <c r="A600" t="inlineStr">
        <is>
          <t>Bulletin Boards, Whiteboards, Chalkboards</t>
        </is>
      </c>
      <c r="BO600" t="inlineStr">
        <is>
          <t>N-Nitrosomethyl-n-octylamine</t>
        </is>
      </c>
    </row>
    <row r="601">
      <c r="A601" t="inlineStr">
        <is>
          <t>Makeup Vanities</t>
        </is>
      </c>
      <c r="BO601" t="inlineStr">
        <is>
          <t>N-Nitrosomethyl-n-pentylamine</t>
        </is>
      </c>
    </row>
    <row r="602">
      <c r="A602" t="inlineStr">
        <is>
          <t>Stock &amp; Ready-to-Assemble Kitchen Cabinets</t>
        </is>
      </c>
      <c r="BO602" t="inlineStr">
        <is>
          <t>N-Nitrosomethyl-n-propylamine</t>
        </is>
      </c>
    </row>
    <row r="603">
      <c r="A603" t="inlineStr">
        <is>
          <t>Bar Carts</t>
        </is>
      </c>
      <c r="BO603" t="inlineStr">
        <is>
          <t>N-Nitrosomethyl-n-tetradecylamine</t>
        </is>
      </c>
    </row>
    <row r="604">
      <c r="A604" t="inlineStr">
        <is>
          <t>Restroom Partitions</t>
        </is>
      </c>
      <c r="BO604" t="inlineStr">
        <is>
          <t>N-Nitrosomethyl-n-undecylamine</t>
        </is>
      </c>
    </row>
    <row r="605">
      <c r="A605" t="inlineStr">
        <is>
          <t>Dining Bowls</t>
        </is>
      </c>
      <c r="BO605" t="inlineStr">
        <is>
          <t>N-Nitroso-N-methylurea</t>
        </is>
      </c>
    </row>
    <row r="606">
      <c r="A606" t="inlineStr">
        <is>
          <t>Plates &amp; Saucers</t>
        </is>
      </c>
      <c r="BO606" t="inlineStr">
        <is>
          <t>N-Nitroso-N-methylurethane</t>
        </is>
      </c>
    </row>
    <row r="607">
      <c r="A607" t="inlineStr">
        <is>
          <t>Flushometer Valves</t>
        </is>
      </c>
      <c r="BO607" t="inlineStr">
        <is>
          <t>N-Nitrosomethylvinylamine</t>
        </is>
      </c>
    </row>
    <row r="608">
      <c r="A608" t="inlineStr">
        <is>
          <t>Institutional Furniture Parts &amp; Accessories</t>
        </is>
      </c>
      <c r="BO608" t="inlineStr">
        <is>
          <t>N-Nitrosomorpholine</t>
        </is>
      </c>
    </row>
    <row r="609">
      <c r="A609" t="inlineStr">
        <is>
          <t>Mattresses</t>
        </is>
      </c>
      <c r="BO609" t="inlineStr">
        <is>
          <t>N-Nitrosonornicotine</t>
        </is>
      </c>
    </row>
    <row r="610">
      <c r="A610" t="inlineStr">
        <is>
          <t>Mattress Foundations</t>
        </is>
      </c>
      <c r="BO610" t="inlineStr">
        <is>
          <t>N-Nitrosopiperidine</t>
        </is>
      </c>
    </row>
    <row r="611">
      <c r="A611" t="inlineStr">
        <is>
          <t>Shutters</t>
        </is>
      </c>
      <c r="BO611" t="inlineStr">
        <is>
          <t>N-Nitrosopyrrolidine</t>
        </is>
      </c>
    </row>
    <row r="612">
      <c r="A612" t="inlineStr">
        <is>
          <t>Table Lamps</t>
        </is>
      </c>
      <c r="BO612" t="inlineStr">
        <is>
          <t>N-Nitrososarcosine</t>
        </is>
      </c>
    </row>
    <row r="613">
      <c r="A613" t="inlineStr">
        <is>
          <t>Decorative Torches</t>
        </is>
      </c>
      <c r="BO613" t="inlineStr">
        <is>
          <t>o-Nitrotoluene</t>
        </is>
      </c>
    </row>
    <row r="614">
      <c r="A614" t="inlineStr">
        <is>
          <t>Dwell Studio</t>
        </is>
      </c>
      <c r="BO614" t="inlineStr">
        <is>
          <t>Nitrous oxide</t>
        </is>
      </c>
    </row>
    <row r="615">
      <c r="A615" t="inlineStr">
        <is>
          <t>Mattress Covers and Protectors</t>
        </is>
      </c>
      <c r="BO615" t="inlineStr">
        <is>
          <t>Norethisterone (Norethindrone)</t>
        </is>
      </c>
    </row>
    <row r="616">
      <c r="A616" t="inlineStr">
        <is>
          <t>Trunks</t>
        </is>
      </c>
      <c r="BO616" t="inlineStr">
        <is>
          <t>Norethisterone acetate (Norethindrone acetate)</t>
        </is>
      </c>
    </row>
    <row r="617">
      <c r="A617" t="inlineStr">
        <is>
          <t>Picture Lights</t>
        </is>
      </c>
      <c r="BO617" t="inlineStr">
        <is>
          <t>Norethisterone (Norethindrone)/Ethinyl estradiol</t>
        </is>
      </c>
    </row>
    <row r="618">
      <c r="A618" t="inlineStr">
        <is>
          <t>Stair Accessories</t>
        </is>
      </c>
      <c r="BO618" t="inlineStr">
        <is>
          <t>Norethynodrel</t>
        </is>
      </c>
    </row>
    <row r="619">
      <c r="A619" t="inlineStr">
        <is>
          <t>Interior Doors</t>
        </is>
      </c>
      <c r="BO619" t="inlineStr">
        <is>
          <t>Norgestrel</t>
        </is>
      </c>
    </row>
    <row r="620">
      <c r="A620" t="inlineStr">
        <is>
          <t>Toilet Seat Decals</t>
        </is>
      </c>
      <c r="BO620" t="inlineStr">
        <is>
          <t>Ochratoxin A</t>
        </is>
      </c>
    </row>
    <row r="621">
      <c r="A621" t="inlineStr">
        <is>
          <t>Molding &amp; Millwork</t>
        </is>
      </c>
      <c r="BO621" t="inlineStr">
        <is>
          <t>Oil Orange SS</t>
        </is>
      </c>
    </row>
    <row r="622">
      <c r="A622" t="inlineStr">
        <is>
          <t>Door Hardware Accessories</t>
        </is>
      </c>
      <c r="BO622" t="inlineStr">
        <is>
          <t>Oral contraceptives, combined</t>
        </is>
      </c>
    </row>
    <row r="623">
      <c r="A623" t="inlineStr">
        <is>
          <t>Outdoor Pizza Ovens</t>
        </is>
      </c>
      <c r="BO623" t="inlineStr">
        <is>
          <t>Oral contraceptives, sequential</t>
        </is>
      </c>
    </row>
    <row r="624">
      <c r="A624" t="inlineStr">
        <is>
          <t>Shower &amp; Tub Accessories</t>
        </is>
      </c>
      <c r="BO624" t="inlineStr">
        <is>
          <t>Oryzalin</t>
        </is>
      </c>
    </row>
    <row r="625">
      <c r="A625" t="inlineStr">
        <is>
          <t>Toilet Brushes &amp; Plungers</t>
        </is>
      </c>
      <c r="BO625" t="inlineStr">
        <is>
          <t>Oxadiazon</t>
        </is>
      </c>
    </row>
    <row r="626">
      <c r="A626" t="inlineStr">
        <is>
          <t>Grab Bars</t>
        </is>
      </c>
      <c r="BO626" t="inlineStr">
        <is>
          <t>Oxazepam</t>
        </is>
      </c>
    </row>
    <row r="627">
      <c r="A627" t="inlineStr">
        <is>
          <t>Commercial Floor Care</t>
        </is>
      </c>
      <c r="BO627" t="inlineStr">
        <is>
          <t>Oxymetholone</t>
        </is>
      </c>
    </row>
    <row r="628">
      <c r="A628" t="inlineStr">
        <is>
          <t>Water Filter Pitchers</t>
        </is>
      </c>
      <c r="BO628" t="inlineStr">
        <is>
          <t>Oxytetracycline (internal use)</t>
        </is>
      </c>
    </row>
    <row r="629">
      <c r="A629" t="inlineStr">
        <is>
          <t>Bookends</t>
        </is>
      </c>
      <c r="BO629" t="inlineStr">
        <is>
          <t>Oxytetracycline hydrochloride (internal use)</t>
        </is>
      </c>
    </row>
    <row r="630">
      <c r="A630" t="inlineStr">
        <is>
          <t>Lawn and Beach Chairs</t>
        </is>
      </c>
      <c r="BO630" t="inlineStr">
        <is>
          <t>Oxythioquinox (Chinomethionat)</t>
        </is>
      </c>
    </row>
    <row r="631">
      <c r="A631" t="inlineStr">
        <is>
          <t>Adirondack Chairs</t>
        </is>
      </c>
      <c r="BO631" t="inlineStr">
        <is>
          <t>Paclitaxel</t>
        </is>
      </c>
    </row>
    <row r="632">
      <c r="A632" t="inlineStr">
        <is>
          <t>Patio Rockers &amp; Gliders</t>
        </is>
      </c>
      <c r="BO632" t="inlineStr">
        <is>
          <t>Palygorskite fibers (&gt; 5mm in length)</t>
        </is>
      </c>
    </row>
    <row r="633">
      <c r="A633" t="inlineStr">
        <is>
          <t>Patio Lounge Chairs</t>
        </is>
      </c>
      <c r="BO633" t="inlineStr">
        <is>
          <t>Panfuran S</t>
        </is>
      </c>
    </row>
    <row r="634">
      <c r="A634" t="inlineStr">
        <is>
          <t>Tapestries and Wall Hangings</t>
        </is>
      </c>
      <c r="BO634" t="inlineStr">
        <is>
          <t>Paramethadione</t>
        </is>
      </c>
    </row>
    <row r="635">
      <c r="A635" t="inlineStr">
        <is>
          <t>Wall Décor</t>
        </is>
      </c>
      <c r="BO635" t="inlineStr">
        <is>
          <t>Parathion</t>
        </is>
      </c>
    </row>
    <row r="636">
      <c r="A636" t="inlineStr">
        <is>
          <t>Life Size Cutouts</t>
        </is>
      </c>
      <c r="BO636" t="inlineStr">
        <is>
          <t>Penicillamine</t>
        </is>
      </c>
    </row>
    <row r="637">
      <c r="A637" t="inlineStr">
        <is>
          <t>Ice Buckets, Beverage Tubs &amp; Chillers</t>
        </is>
      </c>
      <c r="BO637" t="inlineStr">
        <is>
          <t>pentabromodiphenyl ether mixture [DE-71 (technical grade)]</t>
        </is>
      </c>
    </row>
    <row r="638">
      <c r="A638" t="inlineStr">
        <is>
          <t>Memo Boards</t>
        </is>
      </c>
      <c r="BO638" t="inlineStr">
        <is>
          <t>Pentachlorophenol</t>
        </is>
      </c>
    </row>
    <row r="639">
      <c r="A639" t="inlineStr">
        <is>
          <t>Cupolas &amp; Weathervanes</t>
        </is>
      </c>
      <c r="BO639" t="inlineStr">
        <is>
          <t>Pentachlorophenol and by-products of its synthesis (complex mixture)</t>
        </is>
      </c>
    </row>
    <row r="640">
      <c r="A640" t="inlineStr">
        <is>
          <t>Weather Instruments</t>
        </is>
      </c>
      <c r="BO640" t="inlineStr">
        <is>
          <t>Pentobarbital sodium</t>
        </is>
      </c>
    </row>
    <row r="641">
      <c r="A641" t="inlineStr">
        <is>
          <t>Floor Installation Accessories</t>
        </is>
      </c>
      <c r="BO641" t="inlineStr">
        <is>
          <t>Pentosan polysulfate sodium</t>
        </is>
      </c>
    </row>
    <row r="642">
      <c r="A642" t="inlineStr">
        <is>
          <t>Floor Underlayments</t>
        </is>
      </c>
      <c r="BO642" t="inlineStr">
        <is>
          <t>Pentostatin</t>
        </is>
      </c>
    </row>
    <row r="643">
      <c r="A643" t="inlineStr">
        <is>
          <t>Floor Vent Covers</t>
        </is>
      </c>
      <c r="BO643" t="inlineStr">
        <is>
          <t>Perfluorooctane sulfonate (PFOS)</t>
        </is>
      </c>
    </row>
    <row r="644">
      <c r="A644" t="inlineStr">
        <is>
          <t>Wallpaper Sample</t>
        </is>
      </c>
      <c r="BO644" t="inlineStr">
        <is>
          <t>Perfluorooctanoic acid (PFOA)</t>
        </is>
      </c>
    </row>
    <row r="645">
      <c r="A645" t="inlineStr">
        <is>
          <t>Awnings</t>
        </is>
      </c>
      <c r="BO645" t="inlineStr">
        <is>
          <t>Pertuzumab</t>
        </is>
      </c>
    </row>
    <row r="646">
      <c r="A646" t="inlineStr">
        <is>
          <t>Shade Sails</t>
        </is>
      </c>
      <c r="BO646" t="inlineStr">
        <is>
          <t>Phenacemide</t>
        </is>
      </c>
    </row>
    <row r="647">
      <c r="A647" t="inlineStr">
        <is>
          <t>Gazebos</t>
        </is>
      </c>
      <c r="BO647" t="inlineStr">
        <is>
          <t>Phenacetin</t>
        </is>
      </c>
    </row>
    <row r="648">
      <c r="A648" t="inlineStr">
        <is>
          <t>Pergolas</t>
        </is>
      </c>
      <c r="BO648" t="inlineStr">
        <is>
          <t>Phenazopyridine</t>
        </is>
      </c>
    </row>
    <row r="649">
      <c r="A649" t="inlineStr">
        <is>
          <t>Beekeeping Supplies</t>
        </is>
      </c>
      <c r="BO649" t="inlineStr">
        <is>
          <t>Phenazopyridine hydrochloride</t>
        </is>
      </c>
    </row>
    <row r="650">
      <c r="A650" t="inlineStr">
        <is>
          <t>Baking Dishes</t>
        </is>
      </c>
      <c r="BO650" t="inlineStr">
        <is>
          <t>Phenesterin</t>
        </is>
      </c>
    </row>
    <row r="651">
      <c r="A651" t="inlineStr">
        <is>
          <t>Muffin &amp; Cupcake Pans</t>
        </is>
      </c>
      <c r="BO651" t="inlineStr">
        <is>
          <t>Phenobarbital</t>
        </is>
      </c>
    </row>
    <row r="652">
      <c r="A652" t="inlineStr">
        <is>
          <t>Bread &amp; Loaf Pans</t>
        </is>
      </c>
      <c r="BO652" t="inlineStr">
        <is>
          <t>Phenolphthalein</t>
        </is>
      </c>
    </row>
    <row r="653">
      <c r="A653" t="inlineStr">
        <is>
          <t>Bakeware Sets</t>
        </is>
      </c>
      <c r="BO653" t="inlineStr">
        <is>
          <t>Phenoxybenzamine</t>
        </is>
      </c>
    </row>
    <row r="654">
      <c r="A654" t="inlineStr">
        <is>
          <t>Napkin Rings, Place Card Holders &amp; Food Markers</t>
        </is>
      </c>
      <c r="BO654" t="inlineStr">
        <is>
          <t>Phenoxybenzamine hydrochloride</t>
        </is>
      </c>
    </row>
    <row r="655">
      <c r="A655" t="inlineStr">
        <is>
          <t>Entry Sets</t>
        </is>
      </c>
      <c r="BO655" t="inlineStr">
        <is>
          <t>Phenprocoumon</t>
        </is>
      </c>
    </row>
    <row r="656">
      <c r="A656" t="inlineStr">
        <is>
          <t>Door Levers</t>
        </is>
      </c>
      <c r="BO656" t="inlineStr">
        <is>
          <t>o-Phenylenediamine and its salts</t>
        </is>
      </c>
    </row>
    <row r="657">
      <c r="A657" t="inlineStr">
        <is>
          <t>Door Knobs</t>
        </is>
      </c>
      <c r="BO657" t="inlineStr">
        <is>
          <t>Phenylhydrazine and its salts</t>
        </is>
      </c>
    </row>
    <row r="658">
      <c r="A658" t="inlineStr">
        <is>
          <t>Deadbolts</t>
        </is>
      </c>
      <c r="BO658" t="inlineStr">
        <is>
          <t>o-Phenylphenate, sodium</t>
        </is>
      </c>
    </row>
    <row r="659">
      <c r="A659" t="inlineStr">
        <is>
          <t>Door Stops</t>
        </is>
      </c>
      <c r="BO659" t="inlineStr">
        <is>
          <t>o-Phenylphenol</t>
        </is>
      </c>
    </row>
    <row r="660">
      <c r="A660" t="inlineStr">
        <is>
          <t>Door Hinges</t>
        </is>
      </c>
      <c r="BO660" t="inlineStr">
        <is>
          <t>Phenylphosphine</t>
        </is>
      </c>
    </row>
    <row r="661">
      <c r="A661" t="inlineStr">
        <is>
          <t>Canisters &amp; Jars</t>
        </is>
      </c>
      <c r="BO661" t="inlineStr">
        <is>
          <t>PhiP(2-Amino-1-methyl-6-phenylimidazol[4,5-b]pyridine)</t>
        </is>
      </c>
    </row>
    <row r="662">
      <c r="A662" t="inlineStr">
        <is>
          <t>Cabinet Hinges</t>
        </is>
      </c>
      <c r="BO662" t="inlineStr">
        <is>
          <t>Pimozide</t>
        </is>
      </c>
    </row>
    <row r="663">
      <c r="A663" t="inlineStr">
        <is>
          <t>Cabinet and Drawer Backplates</t>
        </is>
      </c>
      <c r="BO663" t="inlineStr">
        <is>
          <t>Pioglitazone</t>
        </is>
      </c>
    </row>
    <row r="664">
      <c r="A664" t="inlineStr">
        <is>
          <t>Cabinet and Drawer Knobs</t>
        </is>
      </c>
      <c r="BO664" t="inlineStr">
        <is>
          <t>Pipobroman</t>
        </is>
      </c>
    </row>
    <row r="665">
      <c r="A665" t="inlineStr">
        <is>
          <t>Drawer Slides</t>
        </is>
      </c>
      <c r="BO665" t="inlineStr">
        <is>
          <t>Pirimicarb</t>
        </is>
      </c>
    </row>
    <row r="666">
      <c r="A666" t="inlineStr">
        <is>
          <t>Waiting Room &amp; Reception Chairs</t>
        </is>
      </c>
      <c r="BO666" t="inlineStr">
        <is>
          <t>Plicamycin</t>
        </is>
      </c>
    </row>
    <row r="667">
      <c r="A667" t="inlineStr">
        <is>
          <t>Reception Sofas</t>
        </is>
      </c>
      <c r="BO667" t="inlineStr">
        <is>
          <t>Polybrominated biphenyls</t>
        </is>
      </c>
    </row>
    <row r="668">
      <c r="A668" t="inlineStr">
        <is>
          <t>Reception Benches</t>
        </is>
      </c>
      <c r="BO668" t="inlineStr">
        <is>
          <t>Polychlorinated biphenyls</t>
        </is>
      </c>
    </row>
    <row r="669">
      <c r="A669" t="inlineStr">
        <is>
          <t>Reception Desks</t>
        </is>
      </c>
      <c r="BO669" t="inlineStr">
        <is>
          <t>Polychlorinated biphenyls (containing 60 or more percent chlorine by molecular weight)</t>
        </is>
      </c>
    </row>
    <row r="670">
      <c r="A670" t="inlineStr">
        <is>
          <t>Ceiling Tiles</t>
        </is>
      </c>
      <c r="BO670" t="inlineStr">
        <is>
          <t>Polychlorinated dibenzo-p-dioxins</t>
        </is>
      </c>
    </row>
    <row r="671">
      <c r="A671" t="inlineStr">
        <is>
          <t>Multichannel-Only (MCO) Fulfillment</t>
        </is>
      </c>
      <c r="BO671" t="inlineStr">
        <is>
          <t>Polychlorinated dibenzofurans</t>
        </is>
      </c>
    </row>
    <row r="672">
      <c r="A672" t="inlineStr">
        <is>
          <t>Poker &amp; Card Tables</t>
        </is>
      </c>
      <c r="BO672" t="inlineStr">
        <is>
          <t>Polygeenan</t>
        </is>
      </c>
    </row>
    <row r="673">
      <c r="A673" t="inlineStr">
        <is>
          <t>Futon Frames</t>
        </is>
      </c>
      <c r="BO673" t="inlineStr">
        <is>
          <t>Ponceau MX</t>
        </is>
      </c>
    </row>
    <row r="674">
      <c r="A674" t="inlineStr">
        <is>
          <t>Shade Accessories</t>
        </is>
      </c>
      <c r="BO674" t="inlineStr">
        <is>
          <t>Ponceau 3R</t>
        </is>
      </c>
    </row>
    <row r="675">
      <c r="A675" t="inlineStr">
        <is>
          <t>Cabinet and Drawer Accessories</t>
        </is>
      </c>
      <c r="BO675" t="inlineStr">
        <is>
          <t>Potassium bromate</t>
        </is>
      </c>
    </row>
    <row r="676">
      <c r="A676" t="inlineStr">
        <is>
          <t>Rain Barrels</t>
        </is>
      </c>
      <c r="BO676" t="inlineStr">
        <is>
          <t>Potassium dimethyldithiocarbamate</t>
        </is>
      </c>
    </row>
    <row r="677">
      <c r="A677" t="inlineStr">
        <is>
          <t>Food Service Racks &amp; Shelving</t>
        </is>
      </c>
      <c r="BO677" t="inlineStr">
        <is>
          <t>Pravastatin sodium</t>
        </is>
      </c>
    </row>
    <row r="678">
      <c r="A678" t="inlineStr">
        <is>
          <t>Shower Panels</t>
        </is>
      </c>
      <c r="BO678" t="inlineStr">
        <is>
          <t>Prednisolone sodium phosphate</t>
        </is>
      </c>
    </row>
    <row r="679">
      <c r="A679" t="inlineStr">
        <is>
          <t>Shower Heads</t>
        </is>
      </c>
      <c r="BO679" t="inlineStr">
        <is>
          <t>Primidone</t>
        </is>
      </c>
    </row>
    <row r="680">
      <c r="A680" t="inlineStr">
        <is>
          <t>Arbors</t>
        </is>
      </c>
      <c r="BO680" t="inlineStr">
        <is>
          <t>Procarbazine</t>
        </is>
      </c>
    </row>
    <row r="681">
      <c r="A681" t="inlineStr">
        <is>
          <t>Teapots &amp; Teapot Sets</t>
        </is>
      </c>
      <c r="BO681" t="inlineStr">
        <is>
          <t>Procarbazine hydrochloride</t>
        </is>
      </c>
    </row>
    <row r="682">
      <c r="A682" t="inlineStr">
        <is>
          <t>Wreaths</t>
        </is>
      </c>
      <c r="BO682" t="inlineStr">
        <is>
          <t>Procymidone</t>
        </is>
      </c>
    </row>
    <row r="683">
      <c r="A683" t="inlineStr">
        <is>
          <t>Radiators</t>
        </is>
      </c>
      <c r="BO683" t="inlineStr">
        <is>
          <t>Progesterone</t>
        </is>
      </c>
    </row>
    <row r="684">
      <c r="A684" t="inlineStr">
        <is>
          <t>Hospitality - Booths</t>
        </is>
      </c>
      <c r="BO684" t="inlineStr">
        <is>
          <t>Pronamide</t>
        </is>
      </c>
    </row>
    <row r="685">
      <c r="A685" t="inlineStr">
        <is>
          <t>Decorative Media Players</t>
        </is>
      </c>
      <c r="BO685" t="inlineStr">
        <is>
          <t>Propachlor</t>
        </is>
      </c>
    </row>
    <row r="686">
      <c r="A686" t="inlineStr">
        <is>
          <t>Exterior Doors</t>
        </is>
      </c>
      <c r="BO686" t="inlineStr">
        <is>
          <t>1,3-Propane sultone</t>
        </is>
      </c>
    </row>
    <row r="687">
      <c r="A687" t="inlineStr">
        <is>
          <t>Large Appliance Warranties</t>
        </is>
      </c>
      <c r="BO687" t="inlineStr">
        <is>
          <t>Propargite</t>
        </is>
      </c>
    </row>
    <row r="688">
      <c r="A688" t="inlineStr">
        <is>
          <t>Washer and Dryer Sets</t>
        </is>
      </c>
      <c r="BO688" t="inlineStr">
        <is>
          <t>Propazine</t>
        </is>
      </c>
    </row>
    <row r="689">
      <c r="A689" t="inlineStr">
        <is>
          <t>Towel Rings</t>
        </is>
      </c>
      <c r="BO689" t="inlineStr">
        <is>
          <t>beta-Propiolactone</t>
        </is>
      </c>
    </row>
    <row r="690">
      <c r="A690" t="inlineStr">
        <is>
          <t>Towel &amp; Robe Hooks</t>
        </is>
      </c>
      <c r="BO690" t="inlineStr">
        <is>
          <t>Propoxur</t>
        </is>
      </c>
    </row>
    <row r="691">
      <c r="A691" t="inlineStr">
        <is>
          <t>Dorm Room Furniture</t>
        </is>
      </c>
      <c r="BO691" t="inlineStr">
        <is>
          <t>Propylene glycol mono-t-butyl ether</t>
        </is>
      </c>
    </row>
    <row r="692">
      <c r="A692" t="inlineStr">
        <is>
          <t>Uniters Rugs</t>
        </is>
      </c>
      <c r="BO692" t="inlineStr">
        <is>
          <t>Propylene oxide</t>
        </is>
      </c>
    </row>
    <row r="693">
      <c r="A693" t="inlineStr">
        <is>
          <t>Small Appliance Warranties</t>
        </is>
      </c>
      <c r="BO693" t="inlineStr">
        <is>
          <t>Propylthiouracil</t>
        </is>
      </c>
    </row>
    <row r="694">
      <c r="A694" t="inlineStr">
        <is>
          <t>String Lights</t>
        </is>
      </c>
      <c r="BO694" t="inlineStr">
        <is>
          <t>Pulegone</t>
        </is>
      </c>
    </row>
    <row r="695">
      <c r="A695" t="inlineStr">
        <is>
          <t>Air Purifiers</t>
        </is>
      </c>
      <c r="BO695" t="inlineStr">
        <is>
          <t>Pymetrozine</t>
        </is>
      </c>
    </row>
    <row r="696">
      <c r="A696" t="inlineStr">
        <is>
          <t>Humidifiers</t>
        </is>
      </c>
      <c r="BO696" t="inlineStr">
        <is>
          <t>Pyridine</t>
        </is>
      </c>
    </row>
    <row r="697">
      <c r="A697" t="inlineStr">
        <is>
          <t>Air Treatment Accessories</t>
        </is>
      </c>
      <c r="BO697" t="inlineStr">
        <is>
          <t>Pyrimethamine</t>
        </is>
      </c>
    </row>
    <row r="698">
      <c r="A698" t="inlineStr">
        <is>
          <t>Dehumidifiers</t>
        </is>
      </c>
      <c r="BO698" t="inlineStr">
        <is>
          <t>Quazepam</t>
        </is>
      </c>
    </row>
    <row r="699">
      <c r="A699" t="inlineStr">
        <is>
          <t>Log Storage</t>
        </is>
      </c>
      <c r="BO699" t="inlineStr">
        <is>
          <t>Quinoline and its strong acid salts</t>
        </is>
      </c>
    </row>
    <row r="700">
      <c r="A700" t="inlineStr">
        <is>
          <t>Crib Sheets</t>
        </is>
      </c>
      <c r="BO700" t="inlineStr">
        <is>
          <t>Radionuclides</t>
        </is>
      </c>
    </row>
    <row r="701">
      <c r="A701" t="inlineStr">
        <is>
          <t>Crib Bedding Accessories</t>
        </is>
      </c>
      <c r="BO701" t="inlineStr">
        <is>
          <t>Reserpine</t>
        </is>
      </c>
    </row>
    <row r="702">
      <c r="A702" t="inlineStr">
        <is>
          <t>Product Credit</t>
        </is>
      </c>
      <c r="BO702" t="inlineStr">
        <is>
          <t>Residual (heavy) fuel oils</t>
        </is>
      </c>
    </row>
    <row r="703">
      <c r="A703" t="inlineStr">
        <is>
          <t>Tabletop Fireplaces</t>
        </is>
      </c>
      <c r="BO703" t="inlineStr">
        <is>
          <t>Resmethrin</t>
        </is>
      </c>
    </row>
    <row r="704">
      <c r="A704" t="inlineStr">
        <is>
          <t>Peel and Stick Backsplash Tile</t>
        </is>
      </c>
      <c r="BO704" t="inlineStr">
        <is>
          <t>Retinol/retinyl esters, when in daily dosages in excess of 10,000 IU, or 3,000 retinol equivalents.</t>
        </is>
      </c>
    </row>
    <row r="705">
      <c r="A705" t="inlineStr">
        <is>
          <t>Kids Step Stools</t>
        </is>
      </c>
      <c r="BO705" t="inlineStr">
        <is>
          <t>Ribavirin</t>
        </is>
      </c>
    </row>
    <row r="706">
      <c r="A706" t="inlineStr">
        <is>
          <t>Shower Curtain Rods</t>
        </is>
      </c>
      <c r="BO706" t="inlineStr">
        <is>
          <t>Riddelliine</t>
        </is>
      </c>
    </row>
    <row r="707">
      <c r="A707" t="inlineStr">
        <is>
          <t>Wall Paneling</t>
        </is>
      </c>
      <c r="BO707" t="inlineStr">
        <is>
          <t>Rifampin</t>
        </is>
      </c>
    </row>
    <row r="708">
      <c r="A708" t="inlineStr">
        <is>
          <t>House Letters &amp; Numbers</t>
        </is>
      </c>
      <c r="BO708" t="inlineStr">
        <is>
          <t>Safrole</t>
        </is>
      </c>
    </row>
    <row r="709">
      <c r="A709" t="inlineStr">
        <is>
          <t>Lighting Warranties</t>
        </is>
      </c>
      <c r="BO709" t="inlineStr">
        <is>
          <t>Salted fish, Chinese-style</t>
        </is>
      </c>
    </row>
    <row r="710">
      <c r="A710" t="inlineStr">
        <is>
          <t>Handy</t>
        </is>
      </c>
      <c r="BO710" t="inlineStr">
        <is>
          <t>Secobarbital sodium</t>
        </is>
      </c>
    </row>
    <row r="711">
      <c r="A711" t="inlineStr">
        <is>
          <t>Soft Seating</t>
        </is>
      </c>
      <c r="BO711" t="inlineStr">
        <is>
          <t>Sedaxane</t>
        </is>
      </c>
    </row>
    <row r="712">
      <c r="A712" t="inlineStr">
        <is>
          <t>Uniters Renovation - Plumbing</t>
        </is>
      </c>
      <c r="BO712" t="inlineStr">
        <is>
          <t>Selenium sulfide</t>
        </is>
      </c>
    </row>
    <row r="713">
      <c r="A713" t="inlineStr">
        <is>
          <t>Planter Accessories</t>
        </is>
      </c>
      <c r="BO713" t="inlineStr">
        <is>
          <t>Sermorelin acetate</t>
        </is>
      </c>
    </row>
    <row r="714">
      <c r="A714" t="inlineStr">
        <is>
          <t>Charcoal Grills</t>
        </is>
      </c>
      <c r="BO714" t="inlineStr">
        <is>
          <t>Shale-oils</t>
        </is>
      </c>
    </row>
    <row r="715">
      <c r="A715" t="inlineStr">
        <is>
          <t>Track Lighting Kits</t>
        </is>
      </c>
      <c r="BO715" t="inlineStr">
        <is>
          <t>Silica, crystalline (airborne particles of respirable size)</t>
        </is>
      </c>
    </row>
    <row r="716">
      <c r="A716" t="inlineStr">
        <is>
          <t>Recessed Lighting Kits</t>
        </is>
      </c>
      <c r="BO716" t="inlineStr">
        <is>
          <t>Simazine</t>
        </is>
      </c>
    </row>
    <row r="717">
      <c r="A717" t="inlineStr">
        <is>
          <t>Track Lighting Heads &amp; Pendants</t>
        </is>
      </c>
      <c r="BO717" t="inlineStr">
        <is>
          <t>Sodium dimethyldithiocarbamate</t>
        </is>
      </c>
    </row>
    <row r="718">
      <c r="A718" t="inlineStr">
        <is>
          <t>Track Lighting Tracks, Rails &amp; Connectors</t>
        </is>
      </c>
      <c r="BO718" t="inlineStr">
        <is>
          <t>Soots, tars, and mineral oils (untreated and mildly treated oils and used engine oils)</t>
        </is>
      </c>
    </row>
    <row r="719">
      <c r="A719" t="inlineStr">
        <is>
          <t>Recessed Lighting Trims</t>
        </is>
      </c>
      <c r="BO719" t="inlineStr">
        <is>
          <t>Spirodiclofen</t>
        </is>
      </c>
    </row>
    <row r="720">
      <c r="A720" t="inlineStr">
        <is>
          <t>Wall Organizers, Wall Baskets, and Key Organizers</t>
        </is>
      </c>
      <c r="BO720" t="inlineStr">
        <is>
          <t>Spironolactone</t>
        </is>
      </c>
    </row>
    <row r="721">
      <c r="A721" t="inlineStr">
        <is>
          <t>Coffee Pods &amp; K-Cups</t>
        </is>
      </c>
      <c r="BO721" t="inlineStr">
        <is>
          <t>Stanozolol</t>
        </is>
      </c>
    </row>
    <row r="722">
      <c r="A722" t="inlineStr">
        <is>
          <t>Curtains, Drapes, &amp; Valences Samples</t>
        </is>
      </c>
      <c r="BO722" t="inlineStr">
        <is>
          <t>Sterigmatocystin</t>
        </is>
      </c>
    </row>
    <row r="723">
      <c r="A723" t="inlineStr">
        <is>
          <t>Large Appliances Fulfillment Services</t>
        </is>
      </c>
      <c r="BO723" t="inlineStr">
        <is>
          <t>Streptomycin sulfate</t>
        </is>
      </c>
    </row>
    <row r="724">
      <c r="A724" t="inlineStr">
        <is>
          <t>Outdoor Structures &amp; Spa Warranties</t>
        </is>
      </c>
      <c r="BO724" t="inlineStr">
        <is>
          <t>Streptozocin (streptozotocin)</t>
        </is>
      </c>
    </row>
    <row r="725">
      <c r="A725" t="inlineStr">
        <is>
          <t>Portable Washers &amp; Dryers</t>
        </is>
      </c>
      <c r="BO725" t="inlineStr">
        <is>
          <t>Streptozotocin (streptozocin)</t>
        </is>
      </c>
    </row>
    <row r="726">
      <c r="A726" t="inlineStr">
        <is>
          <t>Adjustable Beds</t>
        </is>
      </c>
      <c r="BO726" t="inlineStr">
        <is>
          <t>Strong inorganic acid mists containing sulfuric acid</t>
        </is>
      </c>
    </row>
    <row r="727">
      <c r="A727" t="inlineStr">
        <is>
          <t>Closet Organizer Accessories</t>
        </is>
      </c>
      <c r="BO727" t="inlineStr">
        <is>
          <t>Styrene</t>
        </is>
      </c>
    </row>
    <row r="728">
      <c r="A728" t="inlineStr">
        <is>
          <t>Shower Benches</t>
        </is>
      </c>
      <c r="BO728" t="inlineStr">
        <is>
          <t>Styrene oxide</t>
        </is>
      </c>
    </row>
    <row r="729">
      <c r="A729" t="inlineStr">
        <is>
          <t>Placemats, Chargers, &amp; Napkins</t>
        </is>
      </c>
      <c r="BO729" t="inlineStr">
        <is>
          <t>Sulfallate</t>
        </is>
      </c>
    </row>
    <row r="730">
      <c r="A730" t="inlineStr">
        <is>
          <t>Clothing &amp; Garment Racks</t>
        </is>
      </c>
      <c r="BO730" t="inlineStr">
        <is>
          <t>Sulfasalazine (Salicylazosulfapyridine)</t>
        </is>
      </c>
    </row>
    <row r="731">
      <c r="A731" t="inlineStr">
        <is>
          <t>Nursery Furniture Sets</t>
        </is>
      </c>
      <c r="BO731" t="inlineStr">
        <is>
          <t>Sulfur dioxidee</t>
        </is>
      </c>
    </row>
    <row r="732">
      <c r="A732" t="inlineStr">
        <is>
          <t>Wood Pellet Grills</t>
        </is>
      </c>
      <c r="BO732" t="inlineStr">
        <is>
          <t>Sulindac</t>
        </is>
      </c>
    </row>
    <row r="733">
      <c r="A733" t="inlineStr">
        <is>
          <t>Wayfair Registry</t>
        </is>
      </c>
      <c r="BO733" t="inlineStr">
        <is>
          <t>Talc containing asbestiform fibers</t>
        </is>
      </c>
    </row>
    <row r="734">
      <c r="A734" t="inlineStr">
        <is>
          <t>Beauty Organizers</t>
        </is>
      </c>
      <c r="BO734" t="inlineStr">
        <is>
          <t>Tamoxifen and its salts</t>
        </is>
      </c>
    </row>
    <row r="735">
      <c r="A735" t="inlineStr">
        <is>
          <t>Security Lighting</t>
        </is>
      </c>
      <c r="BO735" t="inlineStr">
        <is>
          <t>Tamoxifen citrate</t>
        </is>
      </c>
    </row>
    <row r="736">
      <c r="A736" t="inlineStr">
        <is>
          <t>Fireplace Screens &amp; Doors</t>
        </is>
      </c>
      <c r="BO736" t="inlineStr">
        <is>
          <t>Temazepam</t>
        </is>
      </c>
    </row>
    <row r="737">
      <c r="A737" t="inlineStr">
        <is>
          <t>Garden Accents</t>
        </is>
      </c>
      <c r="BO737" t="inlineStr">
        <is>
          <t>Teniposide</t>
        </is>
      </c>
    </row>
    <row r="738">
      <c r="A738" t="inlineStr">
        <is>
          <t>Evaporative Coolers</t>
        </is>
      </c>
      <c r="BO738" t="inlineStr">
        <is>
          <t>Terbacil</t>
        </is>
      </c>
    </row>
    <row r="739">
      <c r="A739" t="inlineStr">
        <is>
          <t>Bathrobes</t>
        </is>
      </c>
      <c r="BO739" t="inlineStr">
        <is>
          <t>Teriparatide</t>
        </is>
      </c>
    </row>
    <row r="740">
      <c r="A740" t="inlineStr">
        <is>
          <t>Outdoor Wall Decor</t>
        </is>
      </c>
      <c r="BO740" t="inlineStr">
        <is>
          <t>Terrazole</t>
        </is>
      </c>
    </row>
    <row r="741">
      <c r="A741" t="inlineStr">
        <is>
          <t>Doormats</t>
        </is>
      </c>
      <c r="BO741" t="inlineStr">
        <is>
          <t>Testosterone and its esters</t>
        </is>
      </c>
    </row>
    <row r="742">
      <c r="A742" t="inlineStr">
        <is>
          <t>Kitchen Mats</t>
        </is>
      </c>
      <c r="BO742" t="inlineStr">
        <is>
          <t>Testosterone cypionate</t>
        </is>
      </c>
    </row>
    <row r="743">
      <c r="A743" t="inlineStr">
        <is>
          <t>Decorative Boxes</t>
        </is>
      </c>
      <c r="BO743" t="inlineStr">
        <is>
          <t>Testosterone enanthate</t>
        </is>
      </c>
    </row>
    <row r="744">
      <c r="A744" t="inlineStr">
        <is>
          <t>Microfridge Combo Units</t>
        </is>
      </c>
      <c r="BO744" t="inlineStr">
        <is>
          <t>Tetrabromobisphenol A</t>
        </is>
      </c>
    </row>
    <row r="745">
      <c r="A745" t="inlineStr">
        <is>
          <t>Gas Fireplaces</t>
        </is>
      </c>
      <c r="BO745" t="inlineStr">
        <is>
          <t>3,3',4,4'-Tetrachloroazobenzene</t>
        </is>
      </c>
    </row>
    <row r="746">
      <c r="A746" t="inlineStr">
        <is>
          <t>Barn Door Hardware</t>
        </is>
      </c>
      <c r="BO746" t="inlineStr">
        <is>
          <t>2,3,7,8-Tetrachlorodibenzo-p-dioxin (TCDD)</t>
        </is>
      </c>
    </row>
    <row r="747">
      <c r="A747" t="inlineStr">
        <is>
          <t>Fabric Samples</t>
        </is>
      </c>
      <c r="BO747" t="inlineStr">
        <is>
          <t>1,1,1,2-Tetrachloroethane</t>
        </is>
      </c>
    </row>
    <row r="748">
      <c r="A748" t="inlineStr">
        <is>
          <t>Glass Sample</t>
        </is>
      </c>
      <c r="BO748" t="inlineStr">
        <is>
          <t>1,1,2,2-Tetrachloroethane</t>
        </is>
      </c>
    </row>
    <row r="749">
      <c r="A749" t="inlineStr">
        <is>
          <t>Metal Sample</t>
        </is>
      </c>
      <c r="BO749" t="inlineStr">
        <is>
          <t>Tetrachloroethylene (Perchloroethylene)</t>
        </is>
      </c>
    </row>
    <row r="750">
      <c r="A750" t="inlineStr">
        <is>
          <t>Plastic Sample</t>
        </is>
      </c>
      <c r="BO750" t="inlineStr">
        <is>
          <t>p-a,a,a-Tetrachlorotoluene</t>
        </is>
      </c>
    </row>
    <row r="751">
      <c r="A751" t="inlineStr">
        <is>
          <t>Ceramic/Stone Sample</t>
        </is>
      </c>
      <c r="BO751" t="inlineStr">
        <is>
          <t>Tetrachlorvinphos</t>
        </is>
      </c>
    </row>
    <row r="752">
      <c r="A752" t="inlineStr">
        <is>
          <t>Wicker/Rattan Sample</t>
        </is>
      </c>
      <c r="BO752" t="inlineStr">
        <is>
          <t>Tetracycline (internal use)</t>
        </is>
      </c>
    </row>
    <row r="753">
      <c r="A753" t="inlineStr">
        <is>
          <t>Textile Sample</t>
        </is>
      </c>
      <c r="BO753" t="inlineStr">
        <is>
          <t>Tetracyclines (internal use)</t>
        </is>
      </c>
    </row>
    <row r="754">
      <c r="A754" t="inlineStr">
        <is>
          <t>Thermostats</t>
        </is>
      </c>
      <c r="BO754" t="inlineStr">
        <is>
          <t>Tetracycline hydrochloride (internal use)</t>
        </is>
      </c>
    </row>
    <row r="755">
      <c r="A755" t="inlineStr">
        <is>
          <t>Restaurant Table Bases</t>
        </is>
      </c>
      <c r="BO755" t="inlineStr">
        <is>
          <t>Tetrafluoroethylene</t>
        </is>
      </c>
    </row>
    <row r="756">
      <c r="A756" t="inlineStr">
        <is>
          <t>Restaurant Tables</t>
        </is>
      </c>
      <c r="BO756" t="inlineStr">
        <is>
          <t>Tetranitromethane</t>
        </is>
      </c>
    </row>
    <row r="757">
      <c r="A757" t="inlineStr">
        <is>
          <t>Outdoor Flush Mounts</t>
        </is>
      </c>
      <c r="BO757" t="inlineStr">
        <is>
          <t>Thalidomide</t>
        </is>
      </c>
    </row>
    <row r="758">
      <c r="A758" t="inlineStr">
        <is>
          <t>Novelty Lighting</t>
        </is>
      </c>
      <c r="BO758" t="inlineStr">
        <is>
          <t>Thioacetamide</t>
        </is>
      </c>
    </row>
    <row r="759">
      <c r="A759" t="inlineStr">
        <is>
          <t>Kitchen Appliance Packages</t>
        </is>
      </c>
      <c r="BO759" t="inlineStr">
        <is>
          <t>4,4'-Thiodianiline</t>
        </is>
      </c>
    </row>
    <row r="760">
      <c r="A760" t="inlineStr">
        <is>
          <t>Commercial Cooking Equipment</t>
        </is>
      </c>
      <c r="BO760" t="inlineStr">
        <is>
          <t>Thiodicarb</t>
        </is>
      </c>
    </row>
    <row r="761">
      <c r="A761" t="inlineStr">
        <is>
          <t>Commercial Work Tables</t>
        </is>
      </c>
      <c r="BO761" t="inlineStr">
        <is>
          <t>Thioguanine</t>
        </is>
      </c>
    </row>
    <row r="762">
      <c r="A762" t="inlineStr">
        <is>
          <t>Countertop Ovens &amp; Cookers</t>
        </is>
      </c>
      <c r="BO762" t="inlineStr">
        <is>
          <t>Thiouracil</t>
        </is>
      </c>
    </row>
    <row r="763">
      <c r="A763" t="inlineStr">
        <is>
          <t>Commercial Ovens &amp; Ranges</t>
        </is>
      </c>
      <c r="BO763" t="inlineStr">
        <is>
          <t>Thiourea</t>
        </is>
      </c>
    </row>
    <row r="764">
      <c r="A764" t="inlineStr">
        <is>
          <t>Commercial Refrigerators &amp; Freezers</t>
        </is>
      </c>
      <c r="BO764" t="inlineStr">
        <is>
          <t>Thorium dioxide</t>
        </is>
      </c>
    </row>
    <row r="765">
      <c r="A765" t="inlineStr">
        <is>
          <t>Knife Storage</t>
        </is>
      </c>
      <c r="BO765" t="inlineStr">
        <is>
          <t>Titanium dioxide (airborne, unbound particles of respirable size)</t>
        </is>
      </c>
    </row>
    <row r="766">
      <c r="A766" t="inlineStr">
        <is>
          <t>Buffet Accessories</t>
        </is>
      </c>
      <c r="BO766" t="inlineStr">
        <is>
          <t>Tobacco, oral use of smokeless products</t>
        </is>
      </c>
    </row>
    <row r="767">
      <c r="A767" t="inlineStr">
        <is>
          <t>Smart &amp; Electronic Door Locks</t>
        </is>
      </c>
      <c r="BO767" t="inlineStr">
        <is>
          <t>Tobacco smoke</t>
        </is>
      </c>
    </row>
    <row r="768">
      <c r="A768" t="inlineStr">
        <is>
          <t>Privacy Booths</t>
        </is>
      </c>
      <c r="BO768" t="inlineStr">
        <is>
          <t>Tobacco smoke (primary)</t>
        </is>
      </c>
    </row>
    <row r="769">
      <c r="A769" t="inlineStr">
        <is>
          <t>Interactive Tables</t>
        </is>
      </c>
      <c r="BO769" t="inlineStr">
        <is>
          <t>Tobramycin sulfate</t>
        </is>
      </c>
    </row>
    <row r="770">
      <c r="A770" t="inlineStr">
        <is>
          <t>Ceiling Fan Parts and Accessories</t>
        </is>
      </c>
      <c r="BO770" t="inlineStr">
        <is>
          <t>Toluene</t>
        </is>
      </c>
    </row>
    <row r="771">
      <c r="A771" t="inlineStr">
        <is>
          <t>Bar Equipment &amp; Accessories</t>
        </is>
      </c>
      <c r="BO771" t="inlineStr">
        <is>
          <t>Toluene diisocyanate</t>
        </is>
      </c>
    </row>
    <row r="772">
      <c r="A772" t="inlineStr">
        <is>
          <t>Footboards</t>
        </is>
      </c>
      <c r="BO772" t="inlineStr">
        <is>
          <t>o-Toluidine</t>
        </is>
      </c>
    </row>
    <row r="773">
      <c r="A773" t="inlineStr">
        <is>
          <t>Outdoor Kitchens</t>
        </is>
      </c>
      <c r="BO773" t="inlineStr">
        <is>
          <t>o-Toluidine hydrochloride</t>
        </is>
      </c>
    </row>
    <row r="774">
      <c r="A774" t="inlineStr">
        <is>
          <t>Teen Beds</t>
        </is>
      </c>
      <c r="BO774" t="inlineStr">
        <is>
          <t>Topiramate</t>
        </is>
      </c>
    </row>
    <row r="775">
      <c r="A775" t="inlineStr">
        <is>
          <t>Teen Bookcases</t>
        </is>
      </c>
      <c r="BO775" t="inlineStr">
        <is>
          <t>Toxaphene (Polychlorinated camphenes)</t>
        </is>
      </c>
    </row>
    <row r="776">
      <c r="A776" t="inlineStr">
        <is>
          <t>Teens Headboards</t>
        </is>
      </c>
      <c r="BO776" t="inlineStr">
        <is>
          <t>Toxins derived from Fusarium moniliforme (Fusarium verticillioides)</t>
        </is>
      </c>
    </row>
    <row r="777">
      <c r="A777" t="inlineStr">
        <is>
          <t>Teen Nightstands</t>
        </is>
      </c>
      <c r="BO777" t="inlineStr">
        <is>
          <t>Treosulfan</t>
        </is>
      </c>
    </row>
    <row r="778">
      <c r="A778" t="inlineStr">
        <is>
          <t>Teen Dressers</t>
        </is>
      </c>
      <c r="BO778" t="inlineStr">
        <is>
          <t>Triadimefon</t>
        </is>
      </c>
    </row>
    <row r="779">
      <c r="A779" t="inlineStr">
        <is>
          <t>Square Trade - Plumbing Core</t>
        </is>
      </c>
      <c r="BO779" t="inlineStr">
        <is>
          <t>Triamterene</t>
        </is>
      </c>
    </row>
    <row r="780">
      <c r="A780" t="inlineStr">
        <is>
          <t>Square Trade - Plumbing Vanities</t>
        </is>
      </c>
      <c r="BO780" t="inlineStr">
        <is>
          <t>Triazolam</t>
        </is>
      </c>
    </row>
    <row r="781">
      <c r="A781" t="inlineStr">
        <is>
          <t>Changing Table Toppers</t>
        </is>
      </c>
      <c r="BO781" t="inlineStr">
        <is>
          <t>S,S,S-Tributyl phosphorotrithioate (Tribufos, DEF)</t>
        </is>
      </c>
    </row>
    <row r="782">
      <c r="A782" t="inlineStr">
        <is>
          <t>Square Trade - Upholstery Niche</t>
        </is>
      </c>
      <c r="BO782" t="inlineStr">
        <is>
          <t>Tributyltin methacrylate</t>
        </is>
      </c>
    </row>
    <row r="783">
      <c r="A783" t="inlineStr">
        <is>
          <t>Teacher Desks</t>
        </is>
      </c>
      <c r="BO783" t="inlineStr">
        <is>
          <t>Trichlormethine (Trimustine hydrochloride)</t>
        </is>
      </c>
    </row>
    <row r="784">
      <c r="A784" t="inlineStr">
        <is>
          <t>Study Carrels</t>
        </is>
      </c>
      <c r="BO784" t="inlineStr">
        <is>
          <t>Trichloroacetic acid</t>
        </is>
      </c>
    </row>
    <row r="785">
      <c r="A785" t="inlineStr">
        <is>
          <t>Toasters</t>
        </is>
      </c>
      <c r="BO785" t="inlineStr">
        <is>
          <t>Trichloroethylene</t>
        </is>
      </c>
    </row>
    <row r="786">
      <c r="A786" t="inlineStr">
        <is>
          <t>Wall Plates</t>
        </is>
      </c>
      <c r="BO786" t="inlineStr">
        <is>
          <t>2,4,6-Trichlorophenol</t>
        </is>
      </c>
    </row>
    <row r="787">
      <c r="A787" t="inlineStr">
        <is>
          <t>Square Trade - Kitchen and Dining</t>
        </is>
      </c>
      <c r="BO787" t="inlineStr">
        <is>
          <t>1,2,3-Trichloropropane</t>
        </is>
      </c>
    </row>
    <row r="788">
      <c r="A788" t="inlineStr">
        <is>
          <t>Square Trade - Upholstery</t>
        </is>
      </c>
      <c r="BO788" t="inlineStr">
        <is>
          <t>Trientine hydrochloride</t>
        </is>
      </c>
    </row>
    <row r="789">
      <c r="A789" t="inlineStr">
        <is>
          <t>Square Trade Rugs</t>
        </is>
      </c>
      <c r="BO789" t="inlineStr">
        <is>
          <t>Triforine</t>
        </is>
      </c>
    </row>
    <row r="790">
      <c r="A790" t="inlineStr">
        <is>
          <t>Square Trade - Youth</t>
        </is>
      </c>
      <c r="BO790" t="inlineStr">
        <is>
          <t>Trilostane</t>
        </is>
      </c>
    </row>
    <row r="791">
      <c r="A791" t="inlineStr">
        <is>
          <t>Square Trade - Office</t>
        </is>
      </c>
      <c r="BO791" t="inlineStr">
        <is>
          <t>Trimethadione</t>
        </is>
      </c>
    </row>
    <row r="792">
      <c r="A792" t="inlineStr">
        <is>
          <t>Guest Room Sets</t>
        </is>
      </c>
      <c r="BO792" t="inlineStr">
        <is>
          <t>2,4,5-Trimethylaniline and its strong acid salts</t>
        </is>
      </c>
    </row>
    <row r="793">
      <c r="A793" t="inlineStr">
        <is>
          <t>Square Trade - Utility Bedding</t>
        </is>
      </c>
      <c r="BO793" t="inlineStr">
        <is>
          <t>Trimethyl phosphate</t>
        </is>
      </c>
    </row>
    <row r="794">
      <c r="A794" t="inlineStr">
        <is>
          <t>Square Trade - Mattresses</t>
        </is>
      </c>
      <c r="BO794" t="inlineStr">
        <is>
          <t>Trimetrexate glucuronate</t>
        </is>
      </c>
    </row>
    <row r="795">
      <c r="A795" t="inlineStr">
        <is>
          <t>Underfloor Heating</t>
        </is>
      </c>
      <c r="BO795" t="inlineStr">
        <is>
          <t>2,4,6-Trinitrotoluene (TNT)</t>
        </is>
      </c>
    </row>
    <row r="796">
      <c r="A796" t="inlineStr">
        <is>
          <t>Can Openers, Food Scales &amp; Packaging Appliances</t>
        </is>
      </c>
      <c r="BO796" t="inlineStr">
        <is>
          <t>Triphenyltin hydroxide</t>
        </is>
      </c>
    </row>
    <row r="797">
      <c r="A797" t="inlineStr">
        <is>
          <t>Specialized Food Preparation</t>
        </is>
      </c>
      <c r="BO797" t="inlineStr">
        <is>
          <t>Tris(1-aziridinyl)phosphine sulfide (Thiotepa)</t>
        </is>
      </c>
    </row>
    <row r="798">
      <c r="A798" t="inlineStr">
        <is>
          <t>Design Services</t>
        </is>
      </c>
      <c r="BO798" t="inlineStr">
        <is>
          <t>Tris(2-chloroethyl) phosphate</t>
        </is>
      </c>
    </row>
    <row r="799">
      <c r="A799" t="inlineStr">
        <is>
          <t>Rice Cookers and Food Steamers</t>
        </is>
      </c>
      <c r="BO799" t="inlineStr">
        <is>
          <t>Tris(2,3-dibromopropyl)phosphate</t>
        </is>
      </c>
    </row>
    <row r="800">
      <c r="A800" t="inlineStr">
        <is>
          <t>Water Bottles, Travel Mugs &amp; Tumblers</t>
        </is>
      </c>
      <c r="BO800" t="inlineStr">
        <is>
          <t>Tris(1,3-dichloro-2-propyl) phosphate (TDCPP)</t>
        </is>
      </c>
    </row>
    <row r="801">
      <c r="A801" t="inlineStr">
        <is>
          <t>Wood Samples</t>
        </is>
      </c>
      <c r="BO801" t="inlineStr">
        <is>
          <t>Trp-P-1 (Tryptophan-P-1)</t>
        </is>
      </c>
    </row>
    <row r="802">
      <c r="A802" t="inlineStr">
        <is>
          <t>Kitchen Sink Storage</t>
        </is>
      </c>
      <c r="BO802" t="inlineStr">
        <is>
          <t>Trp-P-2 (Tryptophan-P-2)</t>
        </is>
      </c>
    </row>
    <row r="803">
      <c r="A803" t="inlineStr">
        <is>
          <t>Bed Accessories</t>
        </is>
      </c>
      <c r="BO803" t="inlineStr">
        <is>
          <t>Trypan blue (commercial grade)</t>
        </is>
      </c>
    </row>
    <row r="804">
      <c r="A804" t="inlineStr">
        <is>
          <t>Square Trade - Nursery</t>
        </is>
      </c>
      <c r="BO804" t="inlineStr">
        <is>
          <t>Unleaded gasoline (wholly vaporized)</t>
        </is>
      </c>
    </row>
    <row r="805">
      <c r="A805" t="inlineStr">
        <is>
          <t>Square Trade - Hardware</t>
        </is>
      </c>
      <c r="BO805" t="inlineStr">
        <is>
          <t>Uracil mustard</t>
        </is>
      </c>
    </row>
    <row r="806">
      <c r="A806" t="inlineStr">
        <is>
          <t>Stationery &amp; Coffee Table Books</t>
        </is>
      </c>
      <c r="BO806" t="inlineStr">
        <is>
          <t>Urethane (Ethyl carbamate)</t>
        </is>
      </c>
    </row>
    <row r="807">
      <c r="A807" t="inlineStr">
        <is>
          <t>Teen Bedding</t>
        </is>
      </c>
      <c r="BO807" t="inlineStr">
        <is>
          <t>Urofollitropin</t>
        </is>
      </c>
    </row>
    <row r="808">
      <c r="A808" t="inlineStr">
        <is>
          <t>Beverage Refrigerators &amp; Coolers</t>
        </is>
      </c>
      <c r="BO808" t="inlineStr">
        <is>
          <t>Valproate (Valproic acid)</t>
        </is>
      </c>
    </row>
    <row r="809">
      <c r="A809" t="inlineStr">
        <is>
          <t>Reception Sets</t>
        </is>
      </c>
      <c r="BO809" t="inlineStr">
        <is>
          <t>Vanadium pentoxide (orthorhombic crystalline form)</t>
        </is>
      </c>
    </row>
    <row r="810">
      <c r="A810" t="inlineStr">
        <is>
          <t>Commercial Plumbing Parts &amp; Accessories</t>
        </is>
      </c>
      <c r="BO810" t="inlineStr">
        <is>
          <t>Vinblastine sulfate</t>
        </is>
      </c>
    </row>
    <row r="811">
      <c r="A811" t="inlineStr">
        <is>
          <t>Christmas Tree Skirts &amp; Collars</t>
        </is>
      </c>
      <c r="BO811" t="inlineStr">
        <is>
          <t>Vinclozolin</t>
        </is>
      </c>
    </row>
    <row r="812">
      <c r="A812" t="inlineStr">
        <is>
          <t>Teen Desks</t>
        </is>
      </c>
      <c r="BO812" t="inlineStr">
        <is>
          <t>Vincristine sulfate</t>
        </is>
      </c>
    </row>
    <row r="813">
      <c r="A813" t="inlineStr">
        <is>
          <t>Deep Fryers</t>
        </is>
      </c>
      <c r="BO813" t="inlineStr">
        <is>
          <t>Vinyl bromide</t>
        </is>
      </c>
    </row>
    <row r="814">
      <c r="A814" t="inlineStr">
        <is>
          <t>Square Trade Fireplaces &amp; Grills</t>
        </is>
      </c>
      <c r="BO814" t="inlineStr">
        <is>
          <t>Vinyl chloride</t>
        </is>
      </c>
    </row>
    <row r="815">
      <c r="A815" t="inlineStr">
        <is>
          <t>Square Trade Storage &amp; Organization</t>
        </is>
      </c>
      <c r="BO815" t="inlineStr">
        <is>
          <t>4-Vinylcyclohexene</t>
        </is>
      </c>
    </row>
    <row r="816">
      <c r="A816" t="inlineStr">
        <is>
          <t>Playground Flooring</t>
        </is>
      </c>
      <c r="BO816" t="inlineStr">
        <is>
          <t>4-Vinyl-1-cyclohexene diepoxide (Vinyl cyclohexenedioxide)</t>
        </is>
      </c>
    </row>
    <row r="817">
      <c r="A817" t="inlineStr">
        <is>
          <t>Shower Curtain Hooks and Accessories</t>
        </is>
      </c>
      <c r="BO817" t="inlineStr">
        <is>
          <t>Vinyl fluoride</t>
        </is>
      </c>
    </row>
    <row r="818">
      <c r="A818" t="inlineStr">
        <is>
          <t>Gift Cards for Physical Store</t>
        </is>
      </c>
      <c r="BO818" t="inlineStr">
        <is>
          <t>Vinylidene chloride (1,1-Dichloroethylene)</t>
        </is>
      </c>
    </row>
    <row r="819">
      <c r="A819" t="inlineStr">
        <is>
          <t>Teen Desk Chairs</t>
        </is>
      </c>
      <c r="BO819" t="inlineStr">
        <is>
          <t>Vinyl trichloride (1,1,2-Trichloroethane)</t>
        </is>
      </c>
    </row>
    <row r="820">
      <c r="A820" t="inlineStr">
        <is>
          <t>Kids Cots</t>
        </is>
      </c>
      <c r="BO820" t="inlineStr">
        <is>
          <t>Warfarin</t>
        </is>
      </c>
    </row>
    <row r="821">
      <c r="A821" t="inlineStr">
        <is>
          <t>True Components</t>
        </is>
      </c>
      <c r="BO821" t="inlineStr">
        <is>
          <t>Wood dust</t>
        </is>
      </c>
    </row>
    <row r="822">
      <c r="A822" t="inlineStr">
        <is>
          <t>Pet Food Storage Containers &amp; Treat Jars</t>
        </is>
      </c>
      <c r="BO822" t="inlineStr">
        <is>
          <t>2,6-Xylidine (2,6-Dimethylaniline)</t>
        </is>
      </c>
    </row>
    <row r="823">
      <c r="A823" t="inlineStr">
        <is>
          <t>Restaurant Table Tops</t>
        </is>
      </c>
      <c r="BO823" t="inlineStr">
        <is>
          <t>Zalcitabine</t>
        </is>
      </c>
    </row>
    <row r="824">
      <c r="A824" t="inlineStr">
        <is>
          <t>One-of-a-Kind Rugs</t>
        </is>
      </c>
      <c r="BO824" t="inlineStr">
        <is>
          <t>Zidovudine (AZT)</t>
        </is>
      </c>
    </row>
    <row r="825">
      <c r="A825" t="inlineStr">
        <is>
          <t>Reading Benches &amp; Chairs</t>
        </is>
      </c>
      <c r="BO825" t="inlineStr">
        <is>
          <t>Zileuton</t>
        </is>
      </c>
    </row>
    <row r="826">
      <c r="A826" t="inlineStr">
        <is>
          <t>Tree &amp; Novelty Garlands</t>
        </is>
      </c>
      <c r="BO826" t="inlineStr">
        <is>
          <t>2-Bromopropane (2-BP)</t>
        </is>
      </c>
    </row>
    <row r="827">
      <c r="A827" t="inlineStr">
        <is>
          <t>Protection Plans</t>
        </is>
      </c>
      <c r="BO827" t="inlineStr">
        <is>
          <t>2-Chloropropionic acid</t>
        </is>
      </c>
    </row>
    <row r="828">
      <c r="A828" t="inlineStr">
        <is>
          <t>Laundry Accessories</t>
        </is>
      </c>
      <c r="BO828" t="inlineStr">
        <is>
          <t>Di-n-hexyl phthalate (DnHP)</t>
        </is>
      </c>
    </row>
    <row r="829">
      <c r="A829" t="inlineStr">
        <is>
          <t>Shower Walls</t>
        </is>
      </c>
      <c r="BO829" t="inlineStr">
        <is>
          <t>m-Dinitrobenzene</t>
        </is>
      </c>
    </row>
    <row r="830">
      <c r="A830" t="inlineStr">
        <is>
          <t>Fencing Accessories</t>
        </is>
      </c>
      <c r="BO830" t="inlineStr">
        <is>
          <t>o-Dinitrobenzene</t>
        </is>
      </c>
    </row>
    <row r="831">
      <c r="A831" t="inlineStr">
        <is>
          <t>Teen Lounge Furniture</t>
        </is>
      </c>
      <c r="BO831" t="inlineStr">
        <is>
          <t>p-Dinitrobenzene</t>
        </is>
      </c>
    </row>
    <row r="832">
      <c r="A832" t="inlineStr">
        <is>
          <t>Teen Accent Pillows</t>
        </is>
      </c>
      <c r="BO832" t="inlineStr">
        <is>
          <t>Dinitrotoluene (technical grade)</t>
        </is>
      </c>
    </row>
    <row r="833">
      <c r="A833" t="inlineStr">
        <is>
          <t>Teen Wall Art</t>
        </is>
      </c>
      <c r="BO833" t="inlineStr">
        <is>
          <t>n-Hexane</t>
        </is>
      </c>
    </row>
    <row r="834">
      <c r="A834" t="inlineStr">
        <is>
          <t>Commercial Food Storage &amp; Accessories</t>
        </is>
      </c>
      <c r="BO834" t="inlineStr">
        <is>
          <t>2,5-Hexanedione</t>
        </is>
      </c>
    </row>
    <row r="835">
      <c r="A835" t="inlineStr">
        <is>
          <t>Teen Wall Décor</t>
        </is>
      </c>
      <c r="BO835" t="inlineStr">
        <is>
          <t>Hydrogen cyanide (HCN) and cyanide salts (CN salts)</t>
        </is>
      </c>
    </row>
    <row r="836">
      <c r="A836" t="inlineStr">
        <is>
          <t>Teen Tapestries and Wall Hangings</t>
        </is>
      </c>
      <c r="BO836" t="inlineStr">
        <is>
          <t>Levonorgestrel implants</t>
        </is>
      </c>
    </row>
    <row r="837">
      <c r="A837" t="inlineStr">
        <is>
          <t>Teen Novelty Lighting</t>
        </is>
      </c>
      <c r="BO837" t="inlineStr">
        <is>
          <t>Nitrofurantoin</t>
        </is>
      </c>
    </row>
    <row r="838">
      <c r="A838" t="inlineStr">
        <is>
          <t>Live Plants and Trees</t>
        </is>
      </c>
      <c r="BO838" t="inlineStr">
        <is>
          <t>Oxydemeton methyl</t>
        </is>
      </c>
    </row>
    <row r="839">
      <c r="A839" t="inlineStr">
        <is>
          <t>Turf Flooring</t>
        </is>
      </c>
      <c r="BO839" t="inlineStr">
        <is>
          <t>Quizalofop-ethyl</t>
        </is>
      </c>
    </row>
    <row r="840">
      <c r="A840" t="inlineStr">
        <is>
          <t>Semi-Custom &amp; Custom Kitchen Cabinets</t>
        </is>
      </c>
      <c r="BO840" t="inlineStr">
        <is>
          <t>Sodium fluoroacetate</t>
        </is>
      </c>
    </row>
    <row r="841">
      <c r="A841" t="inlineStr">
        <is>
          <t>Outdoor Privacy Screens and Partitions</t>
        </is>
      </c>
      <c r="BO841" t="inlineStr">
        <is>
          <t>Thiophanate methyl</t>
        </is>
      </c>
    </row>
    <row r="842">
      <c r="A842" t="inlineStr">
        <is>
          <t>Admins Can Sell (ACS) - Sales and Service (S&amp;S)</t>
        </is>
      </c>
      <c r="BO842" t="inlineStr">
        <is>
          <t>Vinyl cyclohexene dioxide (4-Vinyl-1-cyclohexene diepoxide)</t>
        </is>
      </c>
    </row>
    <row r="843">
      <c r="A843" t="inlineStr">
        <is>
          <t>Swimming Pool Accessories</t>
        </is>
      </c>
      <c r="BO843" t="inlineStr">
        <is>
          <t>Chloroform</t>
        </is>
      </c>
    </row>
    <row r="844">
      <c r="A844" t="inlineStr">
        <is>
          <t>Baby &amp; Kids Rugs</t>
        </is>
      </c>
      <c r="BO844" t="inlineStr">
        <is>
          <t>1,2-Dibromo-3-chloropropane (DBCP)</t>
        </is>
      </c>
    </row>
    <row r="845">
      <c r="A845" t="inlineStr">
        <is>
          <t>Kids Bedding Sets</t>
        </is>
      </c>
      <c r="BO845" t="inlineStr">
        <is>
          <t>Diclofop-methyl</t>
        </is>
      </c>
    </row>
    <row r="846">
      <c r="A846" t="inlineStr">
        <is>
          <t>Cabinet Samples</t>
        </is>
      </c>
      <c r="BO846" t="inlineStr">
        <is>
          <t>Phenyl glycidyl ether</t>
        </is>
      </c>
    </row>
    <row r="847">
      <c r="A847" t="inlineStr">
        <is>
          <t>Design Project Class</t>
        </is>
      </c>
      <c r="BO847" t="inlineStr">
        <is>
          <t>Di-isodecyl phthalate (DIDP)</t>
        </is>
      </c>
    </row>
    <row r="848">
      <c r="A848" t="inlineStr">
        <is>
          <t>Media &amp; Character Shop</t>
        </is>
      </c>
      <c r="BO848" t="inlineStr">
        <is>
          <t>Erionite</t>
        </is>
      </c>
    </row>
    <row r="849">
      <c r="A849" t="inlineStr">
        <is>
          <t>Door Lining &amp; Frames</t>
        </is>
      </c>
      <c r="BO849" t="inlineStr">
        <is>
          <t>Iprovalicarb</t>
        </is>
      </c>
    </row>
    <row r="850">
      <c r="A850" t="inlineStr">
        <is>
          <t>Cold Plunges</t>
        </is>
      </c>
      <c r="BO850" t="inlineStr">
        <is>
          <t>Nickel hydroxide</t>
        </is>
      </c>
    </row>
    <row r="851">
      <c r="BO851" t="inlineStr">
        <is>
          <t>Norethisterone (Norethindrone) /Mestranol</t>
        </is>
      </c>
    </row>
    <row r="852">
      <c r="BO852" t="inlineStr">
        <is>
          <t>Anabolic steroids</t>
        </is>
      </c>
    </row>
    <row r="853">
      <c r="BO853" t="inlineStr">
        <is>
          <t>Altretamine</t>
        </is>
      </c>
    </row>
    <row r="854">
      <c r="BO854" t="inlineStr">
        <is>
          <t>Beryllium</t>
        </is>
      </c>
    </row>
    <row r="855">
      <c r="BO855" t="inlineStr">
        <is>
          <t>Beryllium Oxide</t>
        </is>
      </c>
    </row>
    <row r="856">
      <c r="BO856" t="inlineStr">
        <is>
          <t>Beryllium Sulfate</t>
        </is>
      </c>
    </row>
    <row r="857">
      <c r="BO857" t="inlineStr">
        <is>
          <t>Hexachlorocyclohexane (alpha isomer)</t>
        </is>
      </c>
    </row>
    <row r="858">
      <c r="BO858" t="inlineStr">
        <is>
          <t>Hexachlorocyclohexane (beta isomer)</t>
        </is>
      </c>
    </row>
    <row r="859">
      <c r="BO859" t="inlineStr">
        <is>
          <t>Hexachlorocyclohexane (gamma isomer)</t>
        </is>
      </c>
    </row>
    <row r="860">
      <c r="BO860" t="inlineStr">
        <is>
          <t>Cyanide salts that readily dissociate in solution (expressed as cyanide)</t>
        </is>
      </c>
    </row>
    <row r="861">
      <c r="BO861" t="inlineStr">
        <is>
          <t>Hydrogen cyanide</t>
        </is>
      </c>
    </row>
    <row r="862">
      <c r="BO862" t="inlineStr">
        <is>
          <t>Potassium cyanide</t>
        </is>
      </c>
    </row>
    <row r="863">
      <c r="BO863" t="inlineStr">
        <is>
          <t>Methylhydrazine</t>
        </is>
      </c>
    </row>
    <row r="864">
      <c r="BO864" t="inlineStr">
        <is>
          <t>Methylhydrazine sulfate</t>
        </is>
      </c>
    </row>
    <row r="865">
      <c r="BO865" t="inlineStr">
        <is>
          <t>o-Phenylenediamine</t>
        </is>
      </c>
    </row>
    <row r="866">
      <c r="BO866" t="inlineStr">
        <is>
          <t>o-Phenylenediamine dihydochloride</t>
        </is>
      </c>
    </row>
    <row r="867">
      <c r="BO867" t="inlineStr">
        <is>
          <t>Phenylhydrazine</t>
        </is>
      </c>
    </row>
    <row r="868">
      <c r="BO868" t="inlineStr">
        <is>
          <t>Phenylhydrazine hydrochloride</t>
        </is>
      </c>
    </row>
    <row r="869">
      <c r="BO869" t="inlineStr">
        <is>
          <t>Sodium cyanide</t>
        </is>
      </c>
    </row>
    <row r="870">
      <c r="BO870" t="inlineStr">
        <is>
          <t>Short form warning</t>
        </is>
      </c>
    </row>
    <row r="871">
      <c r="BO871" t="inlineStr">
        <is>
          <t>Nickel (soluble compounds)</t>
        </is>
      </c>
    </row>
    <row r="872">
      <c r="BO872" t="inlineStr">
        <is>
          <t>TRIM VX</t>
        </is>
      </c>
    </row>
    <row r="873">
      <c r="BO873" t="inlineStr">
        <is>
          <t>N-Nitrosohexamethyleneimine</t>
        </is>
      </c>
    </row>
    <row r="874">
      <c r="BO874" t="inlineStr">
        <is>
          <t>Gentian violet (Crystal violet)</t>
        </is>
      </c>
    </row>
    <row r="875">
      <c r="BO875" t="inlineStr">
        <is>
          <t>Custom warning</t>
        </is>
      </c>
    </row>
    <row r="876">
      <c r="BO876" t="inlineStr">
        <is>
          <t>2-Amino-4-chlorophenol</t>
        </is>
      </c>
    </row>
    <row r="877">
      <c r="BO877" t="inlineStr">
        <is>
          <t>2-Chloronitrobenzene</t>
        </is>
      </c>
    </row>
    <row r="878">
      <c r="BO878" t="inlineStr">
        <is>
          <t>1,4-Dichloro-2-nitrobenzene</t>
        </is>
      </c>
    </row>
    <row r="879">
      <c r="BO879" t="inlineStr">
        <is>
          <t>2,4-Dichloro-1-nitrobenzene</t>
        </is>
      </c>
    </row>
    <row r="880">
      <c r="BO880" t="inlineStr">
        <is>
          <t>Bevacizumab</t>
        </is>
      </c>
    </row>
    <row r="881">
      <c r="BO881" t="inlineStr">
        <is>
          <t>p-chloro-?,?,?-trifluorotoluene (para-Chlorobenzotrifluoride, PCBTF)</t>
        </is>
      </c>
    </row>
    <row r="882">
      <c r="BO882" t="inlineStr">
        <is>
          <t>para-Nitroanisole</t>
        </is>
      </c>
    </row>
    <row r="883">
      <c r="BO883" t="inlineStr">
        <is>
          <t>Cannabis (marijuana) smoke</t>
        </is>
      </c>
    </row>
    <row r="884">
      <c r="BO884" t="inlineStr">
        <is>
          <t>?9 -Tetrahydrocannabinol (?9 -THC)</t>
        </is>
      </c>
    </row>
    <row r="885">
      <c r="BO885" t="inlineStr">
        <is>
          <t>1,1,1-Trichloroethane</t>
        </is>
      </c>
    </row>
    <row r="886">
      <c r="BO886" t="inlineStr">
        <is>
          <t>1-Bromo-3-chloropropane</t>
        </is>
      </c>
    </row>
    <row r="887">
      <c r="BO887" t="inlineStr">
        <is>
          <t>1-Butyl glycidyl ether</t>
        </is>
      </c>
    </row>
    <row r="888">
      <c r="BO888" t="inlineStr">
        <is>
          <t>2-Ethylhexyl acrylate</t>
        </is>
      </c>
    </row>
    <row r="889">
      <c r="BO889" t="inlineStr">
        <is>
          <t>Alcoholic beverages</t>
        </is>
      </c>
    </row>
    <row r="890">
      <c r="BO890" t="inlineStr">
        <is>
          <t>Anthracene</t>
        </is>
      </c>
    </row>
    <row r="891">
      <c r="BO891" t="inlineStr">
        <is>
          <t>Bisphenol S (BPS)</t>
        </is>
      </c>
    </row>
    <row r="892">
      <c r="BO892" t="inlineStr">
        <is>
          <t>Coal-tar pitch</t>
        </is>
      </c>
    </row>
    <row r="893">
      <c r="BO893" t="inlineStr">
        <is>
          <t>Dimethyl hydrogen phosphite</t>
        </is>
      </c>
    </row>
    <row r="894">
      <c r="BO894" t="inlineStr">
        <is>
          <t>Fluoro-edenite fibrous amphibole</t>
        </is>
      </c>
    </row>
    <row r="895">
      <c r="BO895" t="inlineStr">
        <is>
          <t>Glycidyl methacrylate</t>
        </is>
      </c>
    </row>
    <row r="896">
      <c r="BO896" t="inlineStr">
        <is>
          <t>Hexachlorocyclohexane (technical grade)</t>
        </is>
      </c>
    </row>
    <row r="897">
      <c r="BO897" t="inlineStr">
        <is>
          <t>Indium tin oxide</t>
        </is>
      </c>
    </row>
    <row r="898">
      <c r="BO898" t="inlineStr">
        <is>
          <t>Leucomalachite green</t>
        </is>
      </c>
    </row>
    <row r="899">
      <c r="BO899" t="inlineStr">
        <is>
          <t>Methyl acrylate</t>
        </is>
      </c>
    </row>
    <row r="900">
      <c r="BO900" t="inlineStr">
        <is>
          <t>Molybdenum trioxide</t>
        </is>
      </c>
    </row>
    <row r="901">
      <c r="BO901" t="inlineStr">
        <is>
          <t>p-Chloro-o-toluidine, hydrochloride</t>
        </is>
      </c>
    </row>
    <row r="902">
      <c r="BO902" t="inlineStr">
        <is>
          <t>Perfluorononanoic acid (PFNA) and its salts</t>
        </is>
      </c>
    </row>
    <row r="903">
      <c r="BO903" t="inlineStr">
        <is>
          <t>Perfluorooctane sulfonic acid (PFOS) and its salts and transformation and degradation precursors</t>
        </is>
      </c>
    </row>
    <row r="904">
      <c r="BO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BO905" t="inlineStr">
        <is>
          <t>Silicon carbide whiskers</t>
        </is>
      </c>
    </row>
    <row r="906">
      <c r="BO906" t="inlineStr">
        <is>
          <t>Tetrahydrofuran</t>
        </is>
      </c>
    </row>
    <row r="907">
      <c r="BO907" t="inlineStr">
        <is>
          <t>Trimethylolpropane triacrylate, technical grade</t>
        </is>
      </c>
    </row>
    <row r="908">
      <c r="BO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T22"/>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3" t="inlineStr">
        <is>
          <t>Read-Only</t>
        </is>
      </c>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s="37">
        <f>IF('6 - TV Stands &amp; Enterta'!B8 = "", "", IF('6 - TV Stands &amp; Enterta-WUO_ERR'!A8 = "", "Validated", HYPERLINK("#" &amp; ADDRESS(8, '6 - TV Stands &amp; Enterta-WUO_TRK'!A8),_xlfn.TEXTAFTER('6 - TV Stands &amp; Enterta-WUO_ERR'!A8, ":"))))</f>
        <v/>
      </c>
      <c r="B8" s="38" t="inlineStr">
        <is>
          <t>CASA-TV-018</t>
        </is>
      </c>
      <c r="C8" s="38" t="n"/>
      <c r="D8" s="38" t="inlineStr">
        <is>
          <t>Casa Design Furniture</t>
        </is>
      </c>
      <c r="E8" s="38" t="inlineStr">
        <is>
          <t>CASA-TV-018</t>
        </is>
      </c>
      <c r="F8" s="38" t="inlineStr">
        <is>
          <t>840134100181</t>
        </is>
      </c>
      <c r="G8" s="38" t="inlineStr">
        <is>
          <t>#018 NORALIE TV STAND &amp; FIREPLACE</t>
        </is>
      </c>
      <c r="H8" s="38" t="n"/>
      <c r="I8" s="38" t="n"/>
      <c r="J8" s="38" t="n">
        <v>899</v>
      </c>
      <c r="K8" s="38" t="n"/>
      <c r="L8" s="38" t="n"/>
      <c r="M8" s="38" t="inlineStr">
        <is>
          <t>The #018 NORALIE TV STAND &amp; FIREPLACE offers a stunning modern design with high-end materials. Perfect for elevating your living space.</t>
        </is>
      </c>
      <c r="N8" s="38" t="inlineStr">
        <is>
          <t>Sleek Modern Aesthetic</t>
        </is>
      </c>
      <c r="O8" s="38" t="inlineStr">
        <is>
          <t>High-Durability Construction</t>
        </is>
      </c>
      <c r="P8" s="38" t="inlineStr">
        <is>
          <t>Easy Assembly with Storage</t>
        </is>
      </c>
      <c r="Q8" s="38" t="n"/>
      <c r="R8" s="38" t="n"/>
      <c r="S8" s="38" t="n">
        <v>1</v>
      </c>
      <c r="T8" s="38" t="n">
        <v>1</v>
      </c>
      <c r="U8" s="38" t="n">
        <v>1</v>
      </c>
      <c r="V8" s="38" t="n">
        <v>110</v>
      </c>
      <c r="W8" s="38" t="inlineStr">
        <is>
          <t>Small Parcel</t>
        </is>
      </c>
      <c r="X8" s="38" t="n"/>
      <c r="Y8" s="38" t="inlineStr">
        <is>
          <t>24</t>
        </is>
      </c>
      <c r="Z8" s="38" t="inlineStr">
        <is>
          <t>48</t>
        </is>
      </c>
      <c r="AA8" s="38" t="n"/>
      <c r="AB8" s="38" t="n"/>
      <c r="AC8" s="38" t="n"/>
      <c r="AD8" s="38" t="n">
        <v>119</v>
      </c>
      <c r="AE8" s="38" t="n">
        <v>21</v>
      </c>
      <c r="AF8" s="38" t="n">
        <v>81</v>
      </c>
      <c r="AG8" s="38" t="n">
        <v>18</v>
      </c>
      <c r="AH8" s="38" t="inlineStr">
        <is>
          <t>No</t>
        </is>
      </c>
      <c r="AI8" s="38" t="n"/>
      <c r="AJ8" s="38" t="n"/>
      <c r="AK8" s="38" t="inlineStr">
        <is>
          <t>United States</t>
        </is>
      </c>
      <c r="AL8" s="38" t="inlineStr">
        <is>
          <t>https://casadesignfurniture.com/wp-content/uploads/2023/07/018-NORALIE-TV-STAND-FIREPLACE.jpg</t>
        </is>
      </c>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inlineStr">
        <is>
          <t>TV Stand</t>
        </is>
      </c>
      <c r="BH8" s="38" t="inlineStr">
        <is>
          <t>No</t>
        </is>
      </c>
      <c r="BI8" s="38" t="inlineStr">
        <is>
          <t>Yes</t>
        </is>
      </c>
      <c r="BJ8" s="38" t="n">
        <v>2</v>
      </c>
      <c r="BK8" s="38" t="inlineStr">
        <is>
          <t>Yes</t>
        </is>
      </c>
      <c r="BL8" s="38" t="n"/>
      <c r="BM8" s="38" t="n"/>
      <c r="BN8" s="38" t="n"/>
      <c r="BO8" s="38" t="inlineStr">
        <is>
          <t>No</t>
        </is>
      </c>
      <c r="BP8" s="38" t="inlineStr">
        <is>
          <t>Cabinet/Enclosed storage</t>
        </is>
      </c>
      <c r="BQ8" s="38" t="inlineStr">
        <is>
          <t>Glass</t>
        </is>
      </c>
      <c r="BR8" s="38" t="n"/>
      <c r="BS8" s="38" t="inlineStr">
        <is>
          <t>No Natural Variation</t>
        </is>
      </c>
      <c r="BT8" s="38" t="n"/>
      <c r="BU8" s="38" t="n"/>
      <c r="BV8" s="38" t="n"/>
      <c r="BW8" s="38" t="n"/>
      <c r="BX8" s="38" t="n"/>
      <c r="BY8" s="38" t="n"/>
      <c r="BZ8" s="38" t="n"/>
      <c r="CA8" s="38" t="inlineStr">
        <is>
          <t>Yes</t>
        </is>
      </c>
      <c r="CB8" s="38" t="inlineStr">
        <is>
          <t>Yes</t>
        </is>
      </c>
      <c r="CC8" s="38" t="inlineStr">
        <is>
          <t>No</t>
        </is>
      </c>
      <c r="CD8" s="38" t="n"/>
      <c r="CE8" s="38" t="n"/>
      <c r="CF8" s="38" t="inlineStr">
        <is>
          <t>Residential Use</t>
        </is>
      </c>
      <c r="CG8" s="38" t="n"/>
      <c r="CH8" s="38" t="inlineStr">
        <is>
          <t>Does Not Apply</t>
        </is>
      </c>
      <c r="CI8" s="38" t="n"/>
      <c r="CJ8" s="38" t="n"/>
      <c r="CK8" s="38" t="inlineStr">
        <is>
          <t>No</t>
        </is>
      </c>
      <c r="CL8" s="38" t="inlineStr">
        <is>
          <t>Standard</t>
        </is>
      </c>
      <c r="CM8" s="38" t="inlineStr">
        <is>
          <t>Standard</t>
        </is>
      </c>
      <c r="CN8" s="38" t="inlineStr">
        <is>
          <t>1</t>
        </is>
      </c>
      <c r="CO8" s="38" t="inlineStr">
        <is>
          <t>Does Not Apply</t>
        </is>
      </c>
      <c r="CP8" s="38" t="inlineStr">
        <is>
          <t>Does Not Apply</t>
        </is>
      </c>
      <c r="CQ8" s="38" t="inlineStr">
        <is>
          <t>Does Not Apply</t>
        </is>
      </c>
      <c r="CR8" s="38" t="inlineStr">
        <is>
          <t>Does Not Apply</t>
        </is>
      </c>
      <c r="CS8" s="38" t="n"/>
      <c r="CT8" s="38" t="n"/>
      <c r="CU8" s="38" t="n">
        <v>150</v>
      </c>
      <c r="CV8" s="38" t="n"/>
      <c r="CW8" s="38" t="n"/>
      <c r="CX8" s="38" t="n"/>
      <c r="CY8" s="38" t="inlineStr">
        <is>
          <t>White</t>
        </is>
      </c>
      <c r="CZ8" s="38" t="n"/>
      <c r="DA8" s="38" t="inlineStr">
        <is>
          <t>Vent Free</t>
        </is>
      </c>
      <c r="DB8" s="38" t="inlineStr">
        <is>
          <t>Electric</t>
        </is>
      </c>
      <c r="DC8" s="38" t="n"/>
      <c r="DD8" s="38" t="n"/>
      <c r="DE8" s="38" t="n"/>
      <c r="DF8" s="38" t="inlineStr">
        <is>
          <t>1</t>
        </is>
      </c>
      <c r="DG8" s="38" t="n">
        <v>2</v>
      </c>
      <c r="DH8" s="38" t="n"/>
      <c r="DI8" s="38" t="n"/>
      <c r="DJ8" s="38" t="inlineStr">
        <is>
          <t>No</t>
        </is>
      </c>
      <c r="DK8" s="38" t="inlineStr">
        <is>
          <t>Yes</t>
        </is>
      </c>
      <c r="DL8" s="38" t="inlineStr">
        <is>
          <t>No</t>
        </is>
      </c>
      <c r="DM8" s="38" t="inlineStr">
        <is>
          <t>No</t>
        </is>
      </c>
      <c r="DN8" s="38" t="inlineStr">
        <is>
          <t>No</t>
        </is>
      </c>
      <c r="DO8" s="38" t="inlineStr">
        <is>
          <t>Yes</t>
        </is>
      </c>
      <c r="DP8" s="38" t="inlineStr">
        <is>
          <t>No</t>
        </is>
      </c>
      <c r="DQ8" s="38" t="inlineStr">
        <is>
          <t>None</t>
        </is>
      </c>
      <c r="DR8" s="38" t="n"/>
      <c r="DS8" s="38" t="n"/>
      <c r="DT8" s="38" t="n"/>
      <c r="DU8" s="38" t="n"/>
      <c r="DV8" s="38" t="n"/>
      <c r="DW8" s="38" t="n"/>
      <c r="DX8" s="38" t="inlineStr">
        <is>
          <t>No</t>
        </is>
      </c>
      <c r="DY8" s="38" t="inlineStr">
        <is>
          <t>TÜV Rheinland Certified</t>
        </is>
      </c>
      <c r="DZ8" s="38" t="inlineStr">
        <is>
          <t>Standard</t>
        </is>
      </c>
      <c r="EA8" s="38" t="inlineStr">
        <is>
          <t>Standard</t>
        </is>
      </c>
      <c r="EB8" s="38" t="n"/>
      <c r="EC8" s="38" t="n"/>
      <c r="ED8" s="38" t="n"/>
      <c r="EE8" s="38" t="n">
        <v>79</v>
      </c>
      <c r="EF8" s="38" t="n">
        <v>16</v>
      </c>
      <c r="EG8" s="38" t="n">
        <v>18</v>
      </c>
      <c r="EH8" s="38" t="n">
        <v>79</v>
      </c>
      <c r="EI8" s="38" t="n">
        <v>16</v>
      </c>
      <c r="EJ8" s="38" t="n">
        <v>110</v>
      </c>
      <c r="EK8" s="38" t="inlineStr">
        <is>
          <t>75"</t>
        </is>
      </c>
      <c r="EL8" s="38" t="n">
        <v>18</v>
      </c>
      <c r="EM8" s="38" t="inlineStr">
        <is>
          <t>Yes</t>
        </is>
      </c>
      <c r="EN8" s="38" t="inlineStr">
        <is>
          <t>No Assembly Needed</t>
        </is>
      </c>
      <c r="EO8" s="38" t="n"/>
      <c r="EP8" s="38" t="inlineStr">
        <is>
          <t>No</t>
        </is>
      </c>
      <c r="EQ8" s="38" t="inlineStr">
        <is>
          <t>Does Not Apply</t>
        </is>
      </c>
      <c r="ER8" s="38" t="n"/>
      <c r="ES8" s="38" t="n"/>
      <c r="ET8" s="38" t="n"/>
    </row>
    <row r="9">
      <c r="A9" s="37">
        <f>IF('6 - TV Stands &amp; Enterta'!B9 = "", "", IF('6 - TV Stands &amp; Enterta-WUO_ERR'!A9 = "", "Validated", HYPERLINK("#" &amp; ADDRESS(9, '6 - TV Stands &amp; Enterta-WUO_TRK'!A9),_xlfn.TEXTAFTER('6 - TV Stands &amp; Enterta-WUO_ERR'!A9, ":"))))</f>
        <v/>
      </c>
      <c r="B9" s="38" t="inlineStr">
        <is>
          <t>CASA-TV-013</t>
        </is>
      </c>
      <c r="C9" s="38" t="n"/>
      <c r="D9" s="38" t="inlineStr">
        <is>
          <t>Casa Design Furniture</t>
        </is>
      </c>
      <c r="E9" s="38" t="inlineStr">
        <is>
          <t>CASA-TV-013</t>
        </is>
      </c>
      <c r="F9" s="38" t="inlineStr">
        <is>
          <t>840134100136</t>
        </is>
      </c>
      <c r="G9" s="38" t="inlineStr">
        <is>
          <t>#013 TV STAND IN WHITE LACQUER</t>
        </is>
      </c>
      <c r="H9" s="38" t="n"/>
      <c r="I9" s="38" t="n"/>
      <c r="J9" s="38" t="n">
        <v>750</v>
      </c>
      <c r="K9" s="38" t="n"/>
      <c r="L9" s="38" t="n"/>
      <c r="M9" s="38" t="inlineStr">
        <is>
          <t>The #013 TV STAND IN WHITE LACQUER offers a stunning modern design with high-end materials. Perfect for elevating your living space.</t>
        </is>
      </c>
      <c r="N9" s="38" t="inlineStr">
        <is>
          <t>Sleek Modern Aesthetic</t>
        </is>
      </c>
      <c r="O9" s="38" t="inlineStr">
        <is>
          <t>High-Durability Construction</t>
        </is>
      </c>
      <c r="P9" s="38" t="inlineStr">
        <is>
          <t>Easy Assembly with Storage</t>
        </is>
      </c>
      <c r="Q9" s="38" t="n"/>
      <c r="R9" s="38" t="n"/>
      <c r="S9" s="38" t="n">
        <v>1</v>
      </c>
      <c r="T9" s="38" t="n">
        <v>1</v>
      </c>
      <c r="U9" s="38" t="n">
        <v>1</v>
      </c>
      <c r="V9" s="38" t="n">
        <v>95</v>
      </c>
      <c r="W9" s="38" t="inlineStr">
        <is>
          <t>Small Parcel</t>
        </is>
      </c>
      <c r="X9" s="38" t="n"/>
      <c r="Y9" s="38" t="inlineStr">
        <is>
          <t>24</t>
        </is>
      </c>
      <c r="Z9" s="38" t="inlineStr">
        <is>
          <t>48</t>
        </is>
      </c>
      <c r="AA9" s="38" t="n"/>
      <c r="AB9" s="38" t="n"/>
      <c r="AC9" s="38" t="n"/>
      <c r="AD9" s="38" t="n">
        <v>107</v>
      </c>
      <c r="AE9" s="38" t="n">
        <v>24</v>
      </c>
      <c r="AF9" s="38" t="n">
        <v>85</v>
      </c>
      <c r="AG9" s="38" t="n">
        <v>21</v>
      </c>
      <c r="AH9" s="38" t="inlineStr">
        <is>
          <t>No</t>
        </is>
      </c>
      <c r="AI9" s="38" t="n"/>
      <c r="AJ9" s="38" t="n"/>
      <c r="AK9" s="38" t="inlineStr">
        <is>
          <t>United States</t>
        </is>
      </c>
      <c r="AL9" s="38" t="inlineStr">
        <is>
          <t>https://casadesignfurniture.com/wp-content/uploads/2023/07/013-TV-STAND-IN-WHITE-LACQUER.jpg</t>
        </is>
      </c>
      <c r="AM9" s="38" t="n"/>
      <c r="AN9" s="38" t="n"/>
      <c r="AO9" s="38" t="n"/>
      <c r="AP9" s="38" t="n"/>
      <c r="AQ9" s="38" t="n"/>
      <c r="AR9" s="38" t="n"/>
      <c r="AS9" s="38" t="n"/>
      <c r="AT9" s="38" t="n"/>
      <c r="AU9" s="38" t="n"/>
      <c r="AV9" s="38" t="n"/>
      <c r="AW9" s="38" t="n"/>
      <c r="AX9" s="38" t="n"/>
      <c r="AY9" s="38" t="n"/>
      <c r="AZ9" s="38" t="n"/>
      <c r="BA9" s="38" t="n"/>
      <c r="BB9" s="38" t="n"/>
      <c r="BC9" s="38" t="n"/>
      <c r="BD9" s="38" t="n"/>
      <c r="BE9" s="38" t="n"/>
      <c r="BF9" s="38" t="n"/>
      <c r="BG9" s="38" t="inlineStr">
        <is>
          <t>TV Stand</t>
        </is>
      </c>
      <c r="BH9" s="38" t="inlineStr">
        <is>
          <t>No</t>
        </is>
      </c>
      <c r="BI9" s="38" t="inlineStr">
        <is>
          <t>Yes</t>
        </is>
      </c>
      <c r="BJ9" s="38" t="n">
        <v>2</v>
      </c>
      <c r="BK9" s="38" t="inlineStr">
        <is>
          <t>Yes</t>
        </is>
      </c>
      <c r="BL9" s="38" t="n"/>
      <c r="BM9" s="38" t="n"/>
      <c r="BN9" s="38" t="n"/>
      <c r="BO9" s="38" t="inlineStr">
        <is>
          <t>No</t>
        </is>
      </c>
      <c r="BP9" s="38" t="inlineStr">
        <is>
          <t>Cabinet/Enclosed storage</t>
        </is>
      </c>
      <c r="BQ9" s="38" t="inlineStr">
        <is>
          <t>Glass</t>
        </is>
      </c>
      <c r="BR9" s="38" t="n"/>
      <c r="BS9" s="38" t="inlineStr">
        <is>
          <t>No Natural Variation</t>
        </is>
      </c>
      <c r="BT9" s="38" t="n"/>
      <c r="BU9" s="38" t="n"/>
      <c r="BV9" s="38" t="n"/>
      <c r="BW9" s="38" t="n"/>
      <c r="BX9" s="38" t="n"/>
      <c r="BY9" s="38" t="n"/>
      <c r="BZ9" s="38" t="n"/>
      <c r="CA9" s="38" t="inlineStr">
        <is>
          <t>No</t>
        </is>
      </c>
      <c r="CB9" s="38" t="inlineStr">
        <is>
          <t>No</t>
        </is>
      </c>
      <c r="CC9" s="38" t="inlineStr">
        <is>
          <t>No</t>
        </is>
      </c>
      <c r="CD9" s="38" t="n"/>
      <c r="CE9" s="38" t="n"/>
      <c r="CF9" s="38" t="inlineStr">
        <is>
          <t>Residential Use</t>
        </is>
      </c>
      <c r="CG9" s="38" t="n"/>
      <c r="CH9" s="38" t="inlineStr">
        <is>
          <t>Does Not Apply</t>
        </is>
      </c>
      <c r="CI9" s="38" t="n"/>
      <c r="CJ9" s="38" t="n"/>
      <c r="CK9" s="38" t="inlineStr">
        <is>
          <t>No</t>
        </is>
      </c>
      <c r="CL9" s="38" t="inlineStr">
        <is>
          <t>Standard</t>
        </is>
      </c>
      <c r="CM9" s="38" t="inlineStr">
        <is>
          <t>Standard</t>
        </is>
      </c>
      <c r="CN9" s="38" t="inlineStr">
        <is>
          <t>1</t>
        </is>
      </c>
      <c r="CO9" s="38" t="inlineStr">
        <is>
          <t>Does Not Apply</t>
        </is>
      </c>
      <c r="CP9" s="38" t="inlineStr">
        <is>
          <t>Does Not Apply</t>
        </is>
      </c>
      <c r="CQ9" s="38" t="inlineStr">
        <is>
          <t>Does Not Apply</t>
        </is>
      </c>
      <c r="CR9" s="38" t="inlineStr">
        <is>
          <t>Does Not Apply</t>
        </is>
      </c>
      <c r="CS9" s="38" t="inlineStr">
        <is>
          <t>No</t>
        </is>
      </c>
      <c r="CT9" s="38" t="inlineStr">
        <is>
          <t>Does Not Apply</t>
        </is>
      </c>
      <c r="CU9" s="38" t="n">
        <v>150</v>
      </c>
      <c r="CV9" s="38" t="n"/>
      <c r="CW9" s="38" t="n"/>
      <c r="CX9" s="38" t="n"/>
      <c r="CY9" s="38" t="inlineStr">
        <is>
          <t>White</t>
        </is>
      </c>
      <c r="CZ9" s="38" t="n"/>
      <c r="DA9" s="38" t="inlineStr">
        <is>
          <t>Standard</t>
        </is>
      </c>
      <c r="DB9" s="38" t="inlineStr">
        <is>
          <t>Standard</t>
        </is>
      </c>
      <c r="DC9" s="38" t="n"/>
      <c r="DD9" s="38" t="n"/>
      <c r="DE9" s="38" t="n"/>
      <c r="DF9" s="38" t="inlineStr">
        <is>
          <t>1</t>
        </is>
      </c>
      <c r="DG9" s="38" t="n">
        <v>2</v>
      </c>
      <c r="DH9" s="38" t="n"/>
      <c r="DI9" s="38" t="n"/>
      <c r="DJ9" s="38" t="inlineStr">
        <is>
          <t>No</t>
        </is>
      </c>
      <c r="DK9" s="38" t="inlineStr">
        <is>
          <t>Yes</t>
        </is>
      </c>
      <c r="DL9" s="38" t="inlineStr">
        <is>
          <t>No</t>
        </is>
      </c>
      <c r="DM9" s="38" t="inlineStr">
        <is>
          <t>No</t>
        </is>
      </c>
      <c r="DN9" s="38" t="inlineStr">
        <is>
          <t>No</t>
        </is>
      </c>
      <c r="DO9" s="38" t="inlineStr">
        <is>
          <t>Yes</t>
        </is>
      </c>
      <c r="DP9" s="38" t="inlineStr">
        <is>
          <t>No</t>
        </is>
      </c>
      <c r="DQ9" s="38" t="inlineStr">
        <is>
          <t>None</t>
        </is>
      </c>
      <c r="DR9" s="38" t="n"/>
      <c r="DS9" s="38" t="n"/>
      <c r="DT9" s="38" t="n"/>
      <c r="DU9" s="38" t="n"/>
      <c r="DV9" s="38" t="n"/>
      <c r="DW9" s="38" t="n"/>
      <c r="DX9" s="38" t="inlineStr">
        <is>
          <t>No</t>
        </is>
      </c>
      <c r="DY9" s="38" t="inlineStr">
        <is>
          <t>TÜV Rheinland Certified</t>
        </is>
      </c>
      <c r="DZ9" s="38" t="inlineStr">
        <is>
          <t>Standard</t>
        </is>
      </c>
      <c r="EA9" s="38" t="inlineStr">
        <is>
          <t>Standard</t>
        </is>
      </c>
      <c r="EB9" s="38" t="n"/>
      <c r="EC9" s="38" t="n"/>
      <c r="ED9" s="38" t="n"/>
      <c r="EE9" s="38" t="n">
        <v>79</v>
      </c>
      <c r="EF9" s="38" t="n">
        <v>16</v>
      </c>
      <c r="EG9" s="38" t="n">
        <v>18</v>
      </c>
      <c r="EH9" s="38" t="n">
        <v>79</v>
      </c>
      <c r="EI9" s="38" t="n">
        <v>16</v>
      </c>
      <c r="EJ9" s="38" t="n">
        <v>95</v>
      </c>
      <c r="EK9" s="38" t="inlineStr">
        <is>
          <t>75"</t>
        </is>
      </c>
      <c r="EL9" s="38" t="n">
        <v>18</v>
      </c>
      <c r="EM9" s="38" t="inlineStr">
        <is>
          <t>Yes</t>
        </is>
      </c>
      <c r="EN9" s="38" t="inlineStr">
        <is>
          <t>No Assembly Needed</t>
        </is>
      </c>
      <c r="EO9" s="38" t="n"/>
      <c r="EP9" s="38" t="inlineStr">
        <is>
          <t>No</t>
        </is>
      </c>
      <c r="EQ9" s="38" t="inlineStr">
        <is>
          <t>Does Not Apply</t>
        </is>
      </c>
      <c r="ER9" s="38" t="n"/>
      <c r="ES9" s="38" t="n"/>
      <c r="ET9" s="38" t="n"/>
    </row>
    <row r="10">
      <c r="A10" s="37">
        <f>IF('6 - TV Stands &amp; Enterta'!B10 = "", "", IF('6 - TV Stands &amp; Enterta-WUO_ERR'!A10 = "", "Validated", HYPERLINK("#" &amp; ADDRESS(10, '6 - TV Stands &amp; Enterta-WUO_TRK'!A10),_xlfn.TEXTAFTER('6 - TV Stands &amp; Enterta-WUO_ERR'!A10, ":"))))</f>
        <v/>
      </c>
      <c r="B10" s="38" t="inlineStr">
        <is>
          <t>CASA-TV-015</t>
        </is>
      </c>
      <c r="C10" s="38" t="n"/>
      <c r="D10" s="38" t="inlineStr">
        <is>
          <t>Casa Design Furniture</t>
        </is>
      </c>
      <c r="E10" s="38" t="inlineStr">
        <is>
          <t>CASA-TV-015</t>
        </is>
      </c>
      <c r="F10" s="38" t="inlineStr">
        <is>
          <t>840134100150</t>
        </is>
      </c>
      <c r="G10" s="38" t="inlineStr">
        <is>
          <t>#015 LED LIGHT TV STAND</t>
        </is>
      </c>
      <c r="H10" s="38" t="n"/>
      <c r="I10" s="38" t="n"/>
      <c r="J10" s="38" t="n">
        <v>680</v>
      </c>
      <c r="K10" s="38" t="n"/>
      <c r="L10" s="38" t="n"/>
      <c r="M10" s="38" t="inlineStr">
        <is>
          <t>The #015 LED LIGHT TV STAND offers a stunning modern design with high-end materials. Perfect for elevating your living space.</t>
        </is>
      </c>
      <c r="N10" s="38" t="inlineStr">
        <is>
          <t>Sleek Modern Aesthetic</t>
        </is>
      </c>
      <c r="O10" s="38" t="inlineStr">
        <is>
          <t>High-Durability Construction</t>
        </is>
      </c>
      <c r="P10" s="38" t="inlineStr">
        <is>
          <t>Easy Assembly with Storage</t>
        </is>
      </c>
      <c r="Q10" s="38" t="n"/>
      <c r="R10" s="38" t="n"/>
      <c r="S10" s="38" t="n">
        <v>1</v>
      </c>
      <c r="T10" s="38" t="n">
        <v>1</v>
      </c>
      <c r="U10" s="38" t="n">
        <v>1</v>
      </c>
      <c r="V10" s="38" t="n">
        <v>88</v>
      </c>
      <c r="W10" s="38" t="inlineStr">
        <is>
          <t>Small Parcel</t>
        </is>
      </c>
      <c r="X10" s="38" t="n"/>
      <c r="Y10" s="38" t="inlineStr">
        <is>
          <t>24</t>
        </is>
      </c>
      <c r="Z10" s="38" t="inlineStr">
        <is>
          <t>600</t>
        </is>
      </c>
      <c r="AA10" s="38" t="n"/>
      <c r="AB10" s="38" t="n"/>
      <c r="AC10" s="38" t="n"/>
      <c r="AD10" s="38" t="n">
        <v>101</v>
      </c>
      <c r="AE10" s="38" t="n">
        <v>23</v>
      </c>
      <c r="AF10" s="38" t="n">
        <v>75</v>
      </c>
      <c r="AG10" s="38" t="n">
        <v>21</v>
      </c>
      <c r="AH10" s="38" t="inlineStr">
        <is>
          <t>No</t>
        </is>
      </c>
      <c r="AI10" s="38" t="n"/>
      <c r="AJ10" s="38" t="n"/>
      <c r="AK10" s="38" t="inlineStr">
        <is>
          <t>United States</t>
        </is>
      </c>
      <c r="AL10" s="38" t="inlineStr">
        <is>
          <t>https://casadesignfurniture.com/wp-content/uploads/2023/07/015-LED-LIGHT-TV-STAND.jpg</t>
        </is>
      </c>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inlineStr">
        <is>
          <t>TV Stand</t>
        </is>
      </c>
      <c r="BH10" s="38" t="inlineStr">
        <is>
          <t>No</t>
        </is>
      </c>
      <c r="BI10" s="38" t="inlineStr">
        <is>
          <t>Yes</t>
        </is>
      </c>
      <c r="BJ10" s="38" t="n">
        <v>2</v>
      </c>
      <c r="BK10" s="38" t="inlineStr">
        <is>
          <t>Yes</t>
        </is>
      </c>
      <c r="BL10" s="38" t="n"/>
      <c r="BM10" s="38" t="n"/>
      <c r="BN10" s="38" t="n"/>
      <c r="BO10" s="38" t="inlineStr">
        <is>
          <t>No</t>
        </is>
      </c>
      <c r="BP10" s="38" t="inlineStr">
        <is>
          <t>Cabinet/Enclosed storage</t>
        </is>
      </c>
      <c r="BQ10" s="38" t="inlineStr">
        <is>
          <t>Glass</t>
        </is>
      </c>
      <c r="BR10" s="38" t="n"/>
      <c r="BS10" s="38" t="inlineStr">
        <is>
          <t>No Natural Variation</t>
        </is>
      </c>
      <c r="BT10" s="38" t="n"/>
      <c r="BU10" s="38" t="n"/>
      <c r="BV10" s="38" t="n"/>
      <c r="BW10" s="38" t="n"/>
      <c r="BX10" s="38" t="n"/>
      <c r="BY10" s="38" t="n"/>
      <c r="BZ10" s="38" t="n"/>
      <c r="CA10" s="38" t="inlineStr">
        <is>
          <t>No</t>
        </is>
      </c>
      <c r="CB10" s="38" t="inlineStr">
        <is>
          <t>Yes</t>
        </is>
      </c>
      <c r="CC10" s="38" t="inlineStr">
        <is>
          <t>No</t>
        </is>
      </c>
      <c r="CD10" s="38" t="n"/>
      <c r="CE10" s="38" t="n"/>
      <c r="CF10" s="38" t="inlineStr">
        <is>
          <t>Residential Use</t>
        </is>
      </c>
      <c r="CG10" s="38" t="n"/>
      <c r="CH10" s="38" t="inlineStr">
        <is>
          <t>Does Not Apply</t>
        </is>
      </c>
      <c r="CI10" s="38" t="n"/>
      <c r="CJ10" s="38" t="n"/>
      <c r="CK10" s="38" t="inlineStr">
        <is>
          <t>No</t>
        </is>
      </c>
      <c r="CL10" s="38" t="inlineStr">
        <is>
          <t>Standard</t>
        </is>
      </c>
      <c r="CM10" s="38" t="inlineStr">
        <is>
          <t>Standard</t>
        </is>
      </c>
      <c r="CN10" s="38" t="inlineStr">
        <is>
          <t>1</t>
        </is>
      </c>
      <c r="CO10" s="38" t="inlineStr">
        <is>
          <t>Does Not Apply</t>
        </is>
      </c>
      <c r="CP10" s="38" t="inlineStr">
        <is>
          <t>Does Not Apply</t>
        </is>
      </c>
      <c r="CQ10" s="38" t="inlineStr">
        <is>
          <t>Does Not Apply</t>
        </is>
      </c>
      <c r="CR10" s="38" t="inlineStr">
        <is>
          <t>Does Not Apply</t>
        </is>
      </c>
      <c r="CS10" s="38" t="inlineStr">
        <is>
          <t>No</t>
        </is>
      </c>
      <c r="CT10" s="38" t="inlineStr">
        <is>
          <t>Does Not Apply</t>
        </is>
      </c>
      <c r="CU10" s="38" t="n">
        <v>150</v>
      </c>
      <c r="CV10" s="38" t="n"/>
      <c r="CW10" s="38" t="n"/>
      <c r="CX10" s="38" t="n"/>
      <c r="CY10" s="38" t="inlineStr">
        <is>
          <t>White</t>
        </is>
      </c>
      <c r="CZ10" s="38" t="n"/>
      <c r="DA10" s="38" t="inlineStr">
        <is>
          <t>Standard</t>
        </is>
      </c>
      <c r="DB10" s="38" t="inlineStr">
        <is>
          <t>Standard</t>
        </is>
      </c>
      <c r="DC10" s="38" t="n"/>
      <c r="DD10" s="38" t="n"/>
      <c r="DE10" s="38" t="n"/>
      <c r="DF10" s="38" t="inlineStr">
        <is>
          <t>1</t>
        </is>
      </c>
      <c r="DG10" s="38" t="n">
        <v>2</v>
      </c>
      <c r="DH10" s="38" t="n"/>
      <c r="DI10" s="38" t="n"/>
      <c r="DJ10" s="38" t="inlineStr">
        <is>
          <t>No</t>
        </is>
      </c>
      <c r="DK10" s="38" t="inlineStr">
        <is>
          <t>Yes</t>
        </is>
      </c>
      <c r="DL10" s="38" t="inlineStr">
        <is>
          <t>No</t>
        </is>
      </c>
      <c r="DM10" s="38" t="inlineStr">
        <is>
          <t>No</t>
        </is>
      </c>
      <c r="DN10" s="38" t="inlineStr">
        <is>
          <t>No</t>
        </is>
      </c>
      <c r="DO10" s="38" t="inlineStr">
        <is>
          <t>Yes</t>
        </is>
      </c>
      <c r="DP10" s="38" t="inlineStr">
        <is>
          <t>No</t>
        </is>
      </c>
      <c r="DQ10" s="38" t="inlineStr">
        <is>
          <t>None</t>
        </is>
      </c>
      <c r="DR10" s="38" t="n"/>
      <c r="DS10" s="38" t="n"/>
      <c r="DT10" s="38" t="n"/>
      <c r="DU10" s="38" t="n"/>
      <c r="DV10" s="38" t="n"/>
      <c r="DW10" s="38" t="n"/>
      <c r="DX10" s="38" t="inlineStr">
        <is>
          <t>No</t>
        </is>
      </c>
      <c r="DY10" s="38" t="inlineStr">
        <is>
          <t>TÜV Rheinland Certified</t>
        </is>
      </c>
      <c r="DZ10" s="38" t="inlineStr">
        <is>
          <t>Standard</t>
        </is>
      </c>
      <c r="EA10" s="38" t="inlineStr">
        <is>
          <t>Standard</t>
        </is>
      </c>
      <c r="EB10" s="38" t="n"/>
      <c r="EC10" s="38" t="n"/>
      <c r="ED10" s="38" t="n"/>
      <c r="EE10" s="38" t="n">
        <v>70</v>
      </c>
      <c r="EF10" s="38" t="n">
        <v>16</v>
      </c>
      <c r="EG10" s="38" t="n">
        <v>20</v>
      </c>
      <c r="EH10" s="38" t="n">
        <v>70</v>
      </c>
      <c r="EI10" s="38" t="n">
        <v>16</v>
      </c>
      <c r="EJ10" s="38" t="n">
        <v>88</v>
      </c>
      <c r="EK10" s="38" t="inlineStr">
        <is>
          <t>75"</t>
        </is>
      </c>
      <c r="EL10" s="38" t="n">
        <v>20</v>
      </c>
      <c r="EM10" s="38" t="inlineStr">
        <is>
          <t>Yes</t>
        </is>
      </c>
      <c r="EN10" s="38" t="inlineStr">
        <is>
          <t>No Assembly Needed</t>
        </is>
      </c>
      <c r="EO10" s="38" t="n"/>
      <c r="EP10" s="38" t="inlineStr">
        <is>
          <t>No</t>
        </is>
      </c>
      <c r="EQ10" s="38" t="inlineStr">
        <is>
          <t>Does Not Apply</t>
        </is>
      </c>
      <c r="ER10" s="38" t="n"/>
      <c r="ES10" s="38" t="n"/>
      <c r="ET10" s="38" t="n"/>
    </row>
    <row r="11">
      <c r="A11" s="37">
        <f>IF('6 - TV Stands &amp; Enterta'!B11 = "", "", IF('6 - TV Stands &amp; Enterta-WUO_ERR'!A11 = "", "Validated", HYPERLINK("#" &amp; ADDRESS(11, '6 - TV Stands &amp; Enterta-WUO_TRK'!A11),_xlfn.TEXTAFTER('6 - TV Stands &amp; Enterta-WUO_ERR'!A11, ":"))))</f>
        <v/>
      </c>
      <c r="B11" s="38" t="inlineStr">
        <is>
          <t>CASA-TV-016</t>
        </is>
      </c>
      <c r="C11" s="38" t="n"/>
      <c r="D11" s="38" t="inlineStr">
        <is>
          <t>Casa Design Furniture</t>
        </is>
      </c>
      <c r="E11" s="38" t="inlineStr">
        <is>
          <t>CASA-TV-016</t>
        </is>
      </c>
      <c r="F11" s="38" t="inlineStr">
        <is>
          <t>840134100167</t>
        </is>
      </c>
      <c r="G11" s="38" t="inlineStr">
        <is>
          <t>#016 TV STAND WHITE &amp; LED LIGHT</t>
        </is>
      </c>
      <c r="H11" s="38" t="n"/>
      <c r="I11" s="38" t="n"/>
      <c r="J11" s="38" t="n">
        <v>720</v>
      </c>
      <c r="K11" s="38" t="n"/>
      <c r="L11" s="38" t="n"/>
      <c r="M11" s="38" t="inlineStr">
        <is>
          <t>The #016 TV STAND WHITE &amp; LED LIGHT offers a stunning modern design with high-end materials. Perfect for elevating your living space.</t>
        </is>
      </c>
      <c r="N11" s="38" t="inlineStr">
        <is>
          <t>Sleek Modern Aesthetic</t>
        </is>
      </c>
      <c r="O11" s="38" t="inlineStr">
        <is>
          <t>High-Durability Construction</t>
        </is>
      </c>
      <c r="P11" s="38" t="inlineStr">
        <is>
          <t>Easy Assembly with Storage</t>
        </is>
      </c>
      <c r="Q11" s="38" t="n"/>
      <c r="R11" s="38" t="n"/>
      <c r="S11" s="38" t="n">
        <v>1</v>
      </c>
      <c r="T11" s="38" t="n">
        <v>1</v>
      </c>
      <c r="U11" s="38" t="n">
        <v>1</v>
      </c>
      <c r="V11" s="38" t="n">
        <v>90</v>
      </c>
      <c r="W11" s="38" t="inlineStr">
        <is>
          <t>Small Parcel</t>
        </is>
      </c>
      <c r="X11" s="38" t="n"/>
      <c r="Y11" s="38" t="inlineStr">
        <is>
          <t>24</t>
        </is>
      </c>
      <c r="Z11" s="38" t="inlineStr">
        <is>
          <t>216</t>
        </is>
      </c>
      <c r="AA11" s="38" t="n"/>
      <c r="AB11" s="38" t="n"/>
      <c r="AC11" s="38" t="n"/>
      <c r="AD11" s="38" t="n">
        <v>100</v>
      </c>
      <c r="AE11" s="38" t="n">
        <v>20</v>
      </c>
      <c r="AF11" s="38" t="n">
        <v>77</v>
      </c>
      <c r="AG11" s="38" t="n">
        <v>20</v>
      </c>
      <c r="AH11" s="38" t="inlineStr">
        <is>
          <t>No</t>
        </is>
      </c>
      <c r="AI11" s="38" t="n"/>
      <c r="AJ11" s="38" t="n"/>
      <c r="AK11" s="38" t="inlineStr">
        <is>
          <t>United States</t>
        </is>
      </c>
      <c r="AL11" s="38" t="inlineStr">
        <is>
          <t>https://casadesignfurniture.com/wp-content/uploads/2023/07/016-TV-STAND-WHITE-LED-LIGHT.jpg</t>
        </is>
      </c>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inlineStr">
        <is>
          <t>TV Stand</t>
        </is>
      </c>
      <c r="BH11" s="38" t="inlineStr">
        <is>
          <t>No</t>
        </is>
      </c>
      <c r="BI11" s="38" t="inlineStr">
        <is>
          <t>Yes</t>
        </is>
      </c>
      <c r="BJ11" s="38" t="n">
        <v>2</v>
      </c>
      <c r="BK11" s="38" t="inlineStr">
        <is>
          <t>Yes</t>
        </is>
      </c>
      <c r="BL11" s="38" t="n"/>
      <c r="BM11" s="38" t="n"/>
      <c r="BN11" s="38" t="n"/>
      <c r="BO11" s="38" t="inlineStr">
        <is>
          <t>No</t>
        </is>
      </c>
      <c r="BP11" s="38" t="inlineStr">
        <is>
          <t>Cabinet/Enclosed storage</t>
        </is>
      </c>
      <c r="BQ11" s="38" t="inlineStr">
        <is>
          <t>Glass</t>
        </is>
      </c>
      <c r="BR11" s="38" t="n"/>
      <c r="BS11" s="38" t="inlineStr">
        <is>
          <t>No Natural Variation</t>
        </is>
      </c>
      <c r="BT11" s="38" t="n"/>
      <c r="BU11" s="38" t="n"/>
      <c r="BV11" s="38" t="n"/>
      <c r="BW11" s="38" t="n"/>
      <c r="BX11" s="38" t="n"/>
      <c r="BY11" s="38" t="n"/>
      <c r="BZ11" s="38" t="n"/>
      <c r="CA11" s="38" t="inlineStr">
        <is>
          <t>No</t>
        </is>
      </c>
      <c r="CB11" s="38" t="inlineStr">
        <is>
          <t>Yes</t>
        </is>
      </c>
      <c r="CC11" s="38" t="inlineStr">
        <is>
          <t>No</t>
        </is>
      </c>
      <c r="CD11" s="38" t="n"/>
      <c r="CE11" s="38" t="n"/>
      <c r="CF11" s="38" t="inlineStr">
        <is>
          <t>Residential Use</t>
        </is>
      </c>
      <c r="CG11" s="38" t="n"/>
      <c r="CH11" s="38" t="inlineStr">
        <is>
          <t>Does Not Apply</t>
        </is>
      </c>
      <c r="CI11" s="38" t="n"/>
      <c r="CJ11" s="38" t="n"/>
      <c r="CK11" s="38" t="inlineStr">
        <is>
          <t>No</t>
        </is>
      </c>
      <c r="CL11" s="38" t="inlineStr">
        <is>
          <t>Standard</t>
        </is>
      </c>
      <c r="CM11" s="38" t="inlineStr">
        <is>
          <t>Standard</t>
        </is>
      </c>
      <c r="CN11" s="38" t="inlineStr">
        <is>
          <t>1</t>
        </is>
      </c>
      <c r="CO11" s="38" t="inlineStr">
        <is>
          <t>Does Not Apply</t>
        </is>
      </c>
      <c r="CP11" s="38" t="inlineStr">
        <is>
          <t>Does Not Apply</t>
        </is>
      </c>
      <c r="CQ11" s="38" t="inlineStr">
        <is>
          <t>Does Not Apply</t>
        </is>
      </c>
      <c r="CR11" s="38" t="inlineStr">
        <is>
          <t>Does Not Apply</t>
        </is>
      </c>
      <c r="CS11" s="38" t="inlineStr">
        <is>
          <t>No</t>
        </is>
      </c>
      <c r="CT11" s="38" t="inlineStr">
        <is>
          <t>Does Not Apply</t>
        </is>
      </c>
      <c r="CU11" s="38" t="n">
        <v>150</v>
      </c>
      <c r="CV11" s="38" t="n"/>
      <c r="CW11" s="38" t="n"/>
      <c r="CX11" s="38" t="n"/>
      <c r="CY11" s="38" t="inlineStr">
        <is>
          <t>White</t>
        </is>
      </c>
      <c r="CZ11" s="38" t="n"/>
      <c r="DA11" s="38" t="inlineStr">
        <is>
          <t>Standard</t>
        </is>
      </c>
      <c r="DB11" s="38" t="inlineStr">
        <is>
          <t>Standard</t>
        </is>
      </c>
      <c r="DC11" s="38" t="n"/>
      <c r="DD11" s="38" t="n"/>
      <c r="DE11" s="38" t="n"/>
      <c r="DF11" s="38" t="inlineStr">
        <is>
          <t>1</t>
        </is>
      </c>
      <c r="DG11" s="38" t="n">
        <v>2</v>
      </c>
      <c r="DH11" s="38" t="n"/>
      <c r="DI11" s="38" t="n"/>
      <c r="DJ11" s="38" t="inlineStr">
        <is>
          <t>No</t>
        </is>
      </c>
      <c r="DK11" s="38" t="inlineStr">
        <is>
          <t>Yes</t>
        </is>
      </c>
      <c r="DL11" s="38" t="inlineStr">
        <is>
          <t>No</t>
        </is>
      </c>
      <c r="DM11" s="38" t="inlineStr">
        <is>
          <t>No</t>
        </is>
      </c>
      <c r="DN11" s="38" t="inlineStr">
        <is>
          <t>No</t>
        </is>
      </c>
      <c r="DO11" s="38" t="inlineStr">
        <is>
          <t>Yes</t>
        </is>
      </c>
      <c r="DP11" s="38" t="inlineStr">
        <is>
          <t>No</t>
        </is>
      </c>
      <c r="DQ11" s="38" t="inlineStr">
        <is>
          <t>None</t>
        </is>
      </c>
      <c r="DR11" s="38" t="n"/>
      <c r="DS11" s="38" t="n"/>
      <c r="DT11" s="38" t="n"/>
      <c r="DU11" s="38" t="n"/>
      <c r="DV11" s="38" t="n"/>
      <c r="DW11" s="38" t="n"/>
      <c r="DX11" s="38" t="inlineStr">
        <is>
          <t>No</t>
        </is>
      </c>
      <c r="DY11" s="38" t="inlineStr">
        <is>
          <t>TÜV Rheinland Certified</t>
        </is>
      </c>
      <c r="DZ11" s="38" t="inlineStr">
        <is>
          <t>Standard</t>
        </is>
      </c>
      <c r="EA11" s="38" t="inlineStr">
        <is>
          <t>Standard</t>
        </is>
      </c>
      <c r="EB11" s="38" t="n"/>
      <c r="EC11" s="38" t="n"/>
      <c r="ED11" s="38" t="n"/>
      <c r="EE11" s="38" t="n">
        <v>72</v>
      </c>
      <c r="EF11" s="38" t="n">
        <v>16</v>
      </c>
      <c r="EG11" s="38" t="n">
        <v>18</v>
      </c>
      <c r="EH11" s="38" t="n">
        <v>72</v>
      </c>
      <c r="EI11" s="38" t="n">
        <v>16</v>
      </c>
      <c r="EJ11" s="38" t="n">
        <v>90</v>
      </c>
      <c r="EK11" s="38" t="inlineStr">
        <is>
          <t>75"</t>
        </is>
      </c>
      <c r="EL11" s="38" t="n">
        <v>18</v>
      </c>
      <c r="EM11" s="38" t="inlineStr">
        <is>
          <t>Yes</t>
        </is>
      </c>
      <c r="EN11" s="38" t="inlineStr">
        <is>
          <t>No Assembly Needed</t>
        </is>
      </c>
      <c r="EO11" s="38" t="n"/>
      <c r="EP11" s="38" t="inlineStr">
        <is>
          <t>No</t>
        </is>
      </c>
      <c r="EQ11" s="38" t="inlineStr">
        <is>
          <t>Does Not Apply</t>
        </is>
      </c>
      <c r="ER11" s="38" t="n"/>
      <c r="ES11" s="38" t="n"/>
      <c r="ET11" s="38" t="n"/>
    </row>
    <row r="12">
      <c r="A12" s="37">
        <f>IF('6 - TV Stands &amp; Enterta'!B12 = "", "", IF('6 - TV Stands &amp; Enterta-WUO_ERR'!A12 = "", "Validated", HYPERLINK("#" &amp; ADDRESS(12, '6 - TV Stands &amp; Enterta-WUO_TRK'!A12),_xlfn.TEXTAFTER('6 - TV Stands &amp; Enterta-WUO_ERR'!A12, ":"))))</f>
        <v/>
      </c>
      <c r="B12" s="38" t="inlineStr">
        <is>
          <t>CASA-TV-017</t>
        </is>
      </c>
      <c r="C12" s="38" t="n"/>
      <c r="D12" s="38" t="inlineStr">
        <is>
          <t>Casa Design Furniture</t>
        </is>
      </c>
      <c r="E12" s="38" t="inlineStr">
        <is>
          <t>CASA-TV-017</t>
        </is>
      </c>
      <c r="F12" s="38" t="inlineStr">
        <is>
          <t>840134100174</t>
        </is>
      </c>
      <c r="G12" s="38" t="inlineStr">
        <is>
          <t>#017 KL TV STAND</t>
        </is>
      </c>
      <c r="H12" s="38" t="n"/>
      <c r="I12" s="38" t="n"/>
      <c r="J12" s="38" t="n">
        <v>810</v>
      </c>
      <c r="K12" s="38" t="n"/>
      <c r="L12" s="38" t="n"/>
      <c r="M12" s="38" t="inlineStr">
        <is>
          <t>The #017 KL TV STAND offers a stunning modern design with high-end materials. Perfect for elevating your living space.</t>
        </is>
      </c>
      <c r="N12" s="38" t="inlineStr">
        <is>
          <t>Sleek Modern Aesthetic</t>
        </is>
      </c>
      <c r="O12" s="38" t="inlineStr">
        <is>
          <t>High-Durability Construction</t>
        </is>
      </c>
      <c r="P12" s="38" t="inlineStr">
        <is>
          <t>Easy Assembly with Storage</t>
        </is>
      </c>
      <c r="Q12" s="38" t="n"/>
      <c r="R12" s="38" t="n"/>
      <c r="S12" s="38" t="n">
        <v>1</v>
      </c>
      <c r="T12" s="38" t="n">
        <v>1</v>
      </c>
      <c r="U12" s="38" t="n">
        <v>1</v>
      </c>
      <c r="V12" s="38" t="n">
        <v>80</v>
      </c>
      <c r="W12" s="38" t="inlineStr">
        <is>
          <t>Small Parcel</t>
        </is>
      </c>
      <c r="X12" s="38" t="n"/>
      <c r="Y12" s="38" t="inlineStr">
        <is>
          <t>24</t>
        </is>
      </c>
      <c r="Z12" s="38" t="inlineStr">
        <is>
          <t>216</t>
        </is>
      </c>
      <c r="AA12" s="38" t="n"/>
      <c r="AB12" s="38" t="n"/>
      <c r="AC12" s="38" t="n"/>
      <c r="AD12" s="38" t="n">
        <v>89</v>
      </c>
      <c r="AE12" s="38" t="n">
        <v>26</v>
      </c>
      <c r="AF12" s="38" t="n">
        <v>69</v>
      </c>
      <c r="AG12" s="38" t="n">
        <v>19</v>
      </c>
      <c r="AH12" s="38" t="inlineStr">
        <is>
          <t>No</t>
        </is>
      </c>
      <c r="AI12" s="38" t="n"/>
      <c r="AJ12" s="38" t="n"/>
      <c r="AK12" s="38" t="inlineStr">
        <is>
          <t>United States</t>
        </is>
      </c>
      <c r="AL12" s="38" t="inlineStr">
        <is>
          <t>https://casadesignfurniture.com/wp-content/uploads/2023/12/Group-4-1.png</t>
        </is>
      </c>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inlineStr">
        <is>
          <t>TV Stand</t>
        </is>
      </c>
      <c r="BH12" s="38" t="inlineStr">
        <is>
          <t>No</t>
        </is>
      </c>
      <c r="BI12" s="38" t="inlineStr">
        <is>
          <t>Yes</t>
        </is>
      </c>
      <c r="BJ12" s="38" t="n">
        <v>2</v>
      </c>
      <c r="BK12" s="38" t="inlineStr">
        <is>
          <t>Yes</t>
        </is>
      </c>
      <c r="BL12" s="38" t="n"/>
      <c r="BM12" s="38" t="n"/>
      <c r="BN12" s="38" t="n"/>
      <c r="BO12" s="38" t="inlineStr">
        <is>
          <t>No</t>
        </is>
      </c>
      <c r="BP12" s="38" t="inlineStr">
        <is>
          <t>Cabinet/Enclosed storage</t>
        </is>
      </c>
      <c r="BQ12" s="38" t="inlineStr">
        <is>
          <t>Glass</t>
        </is>
      </c>
      <c r="BR12" s="38" t="n"/>
      <c r="BS12" s="38" t="inlineStr">
        <is>
          <t>No Natural Variation</t>
        </is>
      </c>
      <c r="BT12" s="38" t="n"/>
      <c r="BU12" s="38" t="n"/>
      <c r="BV12" s="38" t="n"/>
      <c r="BW12" s="38" t="n"/>
      <c r="BX12" s="38" t="n"/>
      <c r="BY12" s="38" t="n"/>
      <c r="BZ12" s="38" t="n"/>
      <c r="CA12" s="38" t="inlineStr">
        <is>
          <t>No</t>
        </is>
      </c>
      <c r="CB12" s="38" t="inlineStr">
        <is>
          <t>No</t>
        </is>
      </c>
      <c r="CC12" s="38" t="inlineStr">
        <is>
          <t>No</t>
        </is>
      </c>
      <c r="CD12" s="38" t="n"/>
      <c r="CE12" s="38" t="n"/>
      <c r="CF12" s="38" t="inlineStr">
        <is>
          <t>Residential Use</t>
        </is>
      </c>
      <c r="CG12" s="38" t="n"/>
      <c r="CH12" s="38" t="inlineStr">
        <is>
          <t>Does Not Apply</t>
        </is>
      </c>
      <c r="CI12" s="38" t="n"/>
      <c r="CJ12" s="38" t="n"/>
      <c r="CK12" s="38" t="inlineStr">
        <is>
          <t>No</t>
        </is>
      </c>
      <c r="CL12" s="38" t="inlineStr">
        <is>
          <t>Standard</t>
        </is>
      </c>
      <c r="CM12" s="38" t="inlineStr">
        <is>
          <t>Standard</t>
        </is>
      </c>
      <c r="CN12" s="38" t="inlineStr">
        <is>
          <t>1</t>
        </is>
      </c>
      <c r="CO12" s="38" t="inlineStr">
        <is>
          <t>Does Not Apply</t>
        </is>
      </c>
      <c r="CP12" s="38" t="inlineStr">
        <is>
          <t>Does Not Apply</t>
        </is>
      </c>
      <c r="CQ12" s="38" t="inlineStr">
        <is>
          <t>Does Not Apply</t>
        </is>
      </c>
      <c r="CR12" s="38" t="inlineStr">
        <is>
          <t>Does Not Apply</t>
        </is>
      </c>
      <c r="CS12" s="38" t="inlineStr">
        <is>
          <t>No</t>
        </is>
      </c>
      <c r="CT12" s="38" t="inlineStr">
        <is>
          <t>Does Not Apply</t>
        </is>
      </c>
      <c r="CU12" s="38" t="n">
        <v>150</v>
      </c>
      <c r="CV12" s="38" t="n"/>
      <c r="CW12" s="38" t="n"/>
      <c r="CX12" s="38" t="n"/>
      <c r="CY12" s="38" t="inlineStr">
        <is>
          <t>White</t>
        </is>
      </c>
      <c r="CZ12" s="38" t="n"/>
      <c r="DA12" s="38" t="inlineStr">
        <is>
          <t>Standard</t>
        </is>
      </c>
      <c r="DB12" s="38" t="inlineStr">
        <is>
          <t>Standard</t>
        </is>
      </c>
      <c r="DC12" s="38" t="n"/>
      <c r="DD12" s="38" t="n"/>
      <c r="DE12" s="38" t="n"/>
      <c r="DF12" s="38" t="inlineStr">
        <is>
          <t>1</t>
        </is>
      </c>
      <c r="DG12" s="38" t="n">
        <v>2</v>
      </c>
      <c r="DH12" s="38" t="n"/>
      <c r="DI12" s="38" t="n"/>
      <c r="DJ12" s="38" t="inlineStr">
        <is>
          <t>No</t>
        </is>
      </c>
      <c r="DK12" s="38" t="inlineStr">
        <is>
          <t>Yes</t>
        </is>
      </c>
      <c r="DL12" s="38" t="inlineStr">
        <is>
          <t>No</t>
        </is>
      </c>
      <c r="DM12" s="38" t="inlineStr">
        <is>
          <t>No</t>
        </is>
      </c>
      <c r="DN12" s="38" t="inlineStr">
        <is>
          <t>No</t>
        </is>
      </c>
      <c r="DO12" s="38" t="inlineStr">
        <is>
          <t>Yes</t>
        </is>
      </c>
      <c r="DP12" s="38" t="inlineStr">
        <is>
          <t>No</t>
        </is>
      </c>
      <c r="DQ12" s="38" t="inlineStr">
        <is>
          <t>None</t>
        </is>
      </c>
      <c r="DR12" s="38" t="n"/>
      <c r="DS12" s="38" t="n"/>
      <c r="DT12" s="38" t="n"/>
      <c r="DU12" s="38" t="n"/>
      <c r="DV12" s="38" t="n"/>
      <c r="DW12" s="38" t="n"/>
      <c r="DX12" s="38" t="inlineStr">
        <is>
          <t>No</t>
        </is>
      </c>
      <c r="DY12" s="38" t="inlineStr">
        <is>
          <t>TÜV Rheinland Certified</t>
        </is>
      </c>
      <c r="DZ12" s="38" t="inlineStr">
        <is>
          <t>Standard</t>
        </is>
      </c>
      <c r="EA12" s="38" t="inlineStr">
        <is>
          <t>Standard</t>
        </is>
      </c>
      <c r="EB12" s="38" t="n"/>
      <c r="EC12" s="38" t="n"/>
      <c r="ED12" s="38" t="n"/>
      <c r="EE12" s="38" t="n">
        <v>65</v>
      </c>
      <c r="EF12" s="38" t="n">
        <v>15</v>
      </c>
      <c r="EG12" s="38" t="n">
        <v>22</v>
      </c>
      <c r="EH12" s="38" t="n">
        <v>65</v>
      </c>
      <c r="EI12" s="38" t="n">
        <v>15</v>
      </c>
      <c r="EJ12" s="38" t="n">
        <v>80</v>
      </c>
      <c r="EK12" s="38" t="inlineStr">
        <is>
          <t>75"</t>
        </is>
      </c>
      <c r="EL12" s="38" t="n">
        <v>22</v>
      </c>
      <c r="EM12" s="38" t="inlineStr">
        <is>
          <t>Yes</t>
        </is>
      </c>
      <c r="EN12" s="38" t="inlineStr">
        <is>
          <t>No Assembly Needed</t>
        </is>
      </c>
      <c r="EO12" s="38" t="n"/>
      <c r="EP12" s="38" t="inlineStr">
        <is>
          <t>No</t>
        </is>
      </c>
      <c r="EQ12" s="38" t="inlineStr">
        <is>
          <t>Does Not Apply</t>
        </is>
      </c>
      <c r="ER12" s="38" t="n"/>
      <c r="ES12" s="38" t="n"/>
      <c r="ET12" s="38" t="n"/>
    </row>
    <row r="13">
      <c r="A13" s="37">
        <f>IF('6 - TV Stands &amp; Enterta'!B13 = "", "", IF('6 - TV Stands &amp; Enterta-WUO_ERR'!A13 = "", "Validated", HYPERLINK("#" &amp; ADDRESS(13, '6 - TV Stands &amp; Enterta-WUO_TRK'!A13),_xlfn.TEXTAFTER('6 - TV Stands &amp; Enterta-WUO_ERR'!A13, ":"))))</f>
        <v/>
      </c>
      <c r="B13" s="38" t="inlineStr">
        <is>
          <t>CASA-TV-019</t>
        </is>
      </c>
      <c r="C13" s="38" t="n"/>
      <c r="D13" s="38" t="inlineStr">
        <is>
          <t>Casa Design Furniture</t>
        </is>
      </c>
      <c r="E13" s="38" t="inlineStr">
        <is>
          <t>CASA-TV-019</t>
        </is>
      </c>
      <c r="F13" s="38" t="inlineStr">
        <is>
          <t>840134100198</t>
        </is>
      </c>
      <c r="G13" s="38" t="inlineStr">
        <is>
          <t>#019 TV STAND MIRRORED DIAMONDS</t>
        </is>
      </c>
      <c r="H13" s="38" t="n"/>
      <c r="I13" s="38" t="n"/>
      <c r="J13" s="38" t="n">
        <v>950</v>
      </c>
      <c r="K13" s="38" t="n"/>
      <c r="L13" s="38" t="n"/>
      <c r="M13" s="38" t="inlineStr">
        <is>
          <t>The #019 TV STAND MIRRORED DIAMONDS offers a stunning modern design with high-end materials. Perfect for elevating your living space.</t>
        </is>
      </c>
      <c r="N13" s="38" t="inlineStr">
        <is>
          <t>Sleek Modern Aesthetic</t>
        </is>
      </c>
      <c r="O13" s="38" t="inlineStr">
        <is>
          <t>High-Durability Construction</t>
        </is>
      </c>
      <c r="P13" s="38" t="inlineStr">
        <is>
          <t>Easy Assembly with Storage</t>
        </is>
      </c>
      <c r="Q13" s="38" t="n"/>
      <c r="R13" s="38" t="n"/>
      <c r="S13" s="38" t="n">
        <v>1</v>
      </c>
      <c r="T13" s="38" t="n">
        <v>1</v>
      </c>
      <c r="U13" s="38" t="n">
        <v>1</v>
      </c>
      <c r="V13" s="38" t="n">
        <v>105</v>
      </c>
      <c r="W13" s="38" t="inlineStr">
        <is>
          <t>Small Parcel</t>
        </is>
      </c>
      <c r="X13" s="38" t="n"/>
      <c r="Y13" s="38" t="inlineStr">
        <is>
          <t>24</t>
        </is>
      </c>
      <c r="Z13" s="38" t="inlineStr">
        <is>
          <t>216</t>
        </is>
      </c>
      <c r="AA13" s="38" t="n"/>
      <c r="AB13" s="38" t="n"/>
      <c r="AC13" s="38" t="n"/>
      <c r="AD13" s="38" t="n">
        <v>120</v>
      </c>
      <c r="AE13" s="38" t="n">
        <v>22</v>
      </c>
      <c r="AF13" s="38" t="n">
        <v>81</v>
      </c>
      <c r="AG13" s="38" t="n">
        <v>20</v>
      </c>
      <c r="AH13" s="38" t="inlineStr">
        <is>
          <t>No</t>
        </is>
      </c>
      <c r="AI13" s="38" t="n"/>
      <c r="AJ13" s="38" t="n"/>
      <c r="AK13" s="38" t="inlineStr">
        <is>
          <t>United States</t>
        </is>
      </c>
      <c r="AL13" s="38" t="inlineStr">
        <is>
          <t>https://casadesignfurniture.com/wp-content/uploads/2023/12/Group-4-1.png</t>
        </is>
      </c>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inlineStr">
        <is>
          <t>TV Stand</t>
        </is>
      </c>
      <c r="BH13" s="38" t="inlineStr">
        <is>
          <t>No</t>
        </is>
      </c>
      <c r="BI13" s="38" t="inlineStr">
        <is>
          <t>Yes</t>
        </is>
      </c>
      <c r="BJ13" s="38" t="n">
        <v>2</v>
      </c>
      <c r="BK13" s="38" t="inlineStr">
        <is>
          <t>Yes</t>
        </is>
      </c>
      <c r="BL13" s="38" t="n"/>
      <c r="BM13" s="38" t="n"/>
      <c r="BN13" s="38" t="n"/>
      <c r="BO13" s="38" t="inlineStr">
        <is>
          <t>No</t>
        </is>
      </c>
      <c r="BP13" s="38" t="inlineStr">
        <is>
          <t>Cabinet/Enclosed storage</t>
        </is>
      </c>
      <c r="BQ13" s="38" t="inlineStr">
        <is>
          <t>Glass</t>
        </is>
      </c>
      <c r="BR13" s="38" t="n"/>
      <c r="BS13" s="38" t="inlineStr">
        <is>
          <t>No Natural Variation</t>
        </is>
      </c>
      <c r="BT13" s="38" t="n"/>
      <c r="BU13" s="38" t="n"/>
      <c r="BV13" s="38" t="n"/>
      <c r="BW13" s="38" t="n"/>
      <c r="BX13" s="38" t="n"/>
      <c r="BY13" s="38" t="n"/>
      <c r="BZ13" s="38" t="n"/>
      <c r="CA13" s="38" t="inlineStr">
        <is>
          <t>No</t>
        </is>
      </c>
      <c r="CB13" s="38" t="inlineStr">
        <is>
          <t>No</t>
        </is>
      </c>
      <c r="CC13" s="38" t="inlineStr">
        <is>
          <t>No</t>
        </is>
      </c>
      <c r="CD13" s="38" t="n"/>
      <c r="CE13" s="38" t="n"/>
      <c r="CF13" s="38" t="inlineStr">
        <is>
          <t>Residential Use</t>
        </is>
      </c>
      <c r="CG13" s="38" t="n"/>
      <c r="CH13" s="38" t="inlineStr">
        <is>
          <t>Does Not Apply</t>
        </is>
      </c>
      <c r="CI13" s="38" t="n"/>
      <c r="CJ13" s="38" t="n"/>
      <c r="CK13" s="38" t="inlineStr">
        <is>
          <t>No</t>
        </is>
      </c>
      <c r="CL13" s="38" t="inlineStr">
        <is>
          <t>Standard</t>
        </is>
      </c>
      <c r="CM13" s="38" t="inlineStr">
        <is>
          <t>Standard</t>
        </is>
      </c>
      <c r="CN13" s="38" t="inlineStr">
        <is>
          <t>1</t>
        </is>
      </c>
      <c r="CO13" s="38" t="inlineStr">
        <is>
          <t>Does Not Apply</t>
        </is>
      </c>
      <c r="CP13" s="38" t="inlineStr">
        <is>
          <t>Does Not Apply</t>
        </is>
      </c>
      <c r="CQ13" s="38" t="inlineStr">
        <is>
          <t>Does Not Apply</t>
        </is>
      </c>
      <c r="CR13" s="38" t="inlineStr">
        <is>
          <t>Does Not Apply</t>
        </is>
      </c>
      <c r="CS13" s="38" t="inlineStr">
        <is>
          <t>No</t>
        </is>
      </c>
      <c r="CT13" s="38" t="inlineStr">
        <is>
          <t>Does Not Apply</t>
        </is>
      </c>
      <c r="CU13" s="38" t="n">
        <v>150</v>
      </c>
      <c r="CV13" s="38" t="n"/>
      <c r="CW13" s="38" t="n"/>
      <c r="CX13" s="38" t="n"/>
      <c r="CY13" s="38" t="inlineStr">
        <is>
          <t>White</t>
        </is>
      </c>
      <c r="CZ13" s="38" t="n"/>
      <c r="DA13" s="38" t="inlineStr">
        <is>
          <t>Standard</t>
        </is>
      </c>
      <c r="DB13" s="38" t="inlineStr">
        <is>
          <t>Standard</t>
        </is>
      </c>
      <c r="DC13" s="38" t="n"/>
      <c r="DD13" s="38" t="n"/>
      <c r="DE13" s="38" t="n"/>
      <c r="DF13" s="38" t="inlineStr">
        <is>
          <t>1</t>
        </is>
      </c>
      <c r="DG13" s="38" t="n">
        <v>2</v>
      </c>
      <c r="DH13" s="38" t="n"/>
      <c r="DI13" s="38" t="n"/>
      <c r="DJ13" s="38" t="inlineStr">
        <is>
          <t>No</t>
        </is>
      </c>
      <c r="DK13" s="38" t="inlineStr">
        <is>
          <t>Yes</t>
        </is>
      </c>
      <c r="DL13" s="38" t="inlineStr">
        <is>
          <t>No</t>
        </is>
      </c>
      <c r="DM13" s="38" t="inlineStr">
        <is>
          <t>No</t>
        </is>
      </c>
      <c r="DN13" s="38" t="inlineStr">
        <is>
          <t>No</t>
        </is>
      </c>
      <c r="DO13" s="38" t="inlineStr">
        <is>
          <t>Yes</t>
        </is>
      </c>
      <c r="DP13" s="38" t="inlineStr">
        <is>
          <t>No</t>
        </is>
      </c>
      <c r="DQ13" s="38" t="inlineStr">
        <is>
          <t>None</t>
        </is>
      </c>
      <c r="DR13" s="38" t="n"/>
      <c r="DS13" s="38" t="n"/>
      <c r="DT13" s="38" t="n"/>
      <c r="DU13" s="38" t="n"/>
      <c r="DV13" s="38" t="n"/>
      <c r="DW13" s="38" t="n"/>
      <c r="DX13" s="38" t="inlineStr">
        <is>
          <t>No</t>
        </is>
      </c>
      <c r="DY13" s="38" t="inlineStr">
        <is>
          <t>TÜV Rheinland Certified</t>
        </is>
      </c>
      <c r="DZ13" s="38" t="inlineStr">
        <is>
          <t>Standard</t>
        </is>
      </c>
      <c r="EA13" s="38" t="inlineStr">
        <is>
          <t>Standard</t>
        </is>
      </c>
      <c r="EB13" s="38" t="n"/>
      <c r="EC13" s="38" t="n"/>
      <c r="ED13" s="38" t="n"/>
      <c r="EE13" s="38" t="n">
        <v>75</v>
      </c>
      <c r="EF13" s="38" t="n">
        <v>17</v>
      </c>
      <c r="EG13" s="38" t="n">
        <v>19</v>
      </c>
      <c r="EH13" s="38" t="n">
        <v>75</v>
      </c>
      <c r="EI13" s="38" t="n">
        <v>17</v>
      </c>
      <c r="EJ13" s="38" t="n">
        <v>105</v>
      </c>
      <c r="EK13" s="38" t="inlineStr">
        <is>
          <t>75"</t>
        </is>
      </c>
      <c r="EL13" s="38" t="n">
        <v>19</v>
      </c>
      <c r="EM13" s="38" t="inlineStr">
        <is>
          <t>Yes</t>
        </is>
      </c>
      <c r="EN13" s="38" t="inlineStr">
        <is>
          <t>No Assembly Needed</t>
        </is>
      </c>
      <c r="EO13" s="38" t="n"/>
      <c r="EP13" s="38" t="inlineStr">
        <is>
          <t>No</t>
        </is>
      </c>
      <c r="EQ13" s="38" t="inlineStr">
        <is>
          <t>Does Not Apply</t>
        </is>
      </c>
      <c r="ER13" s="38" t="n"/>
      <c r="ES13" s="38" t="n"/>
      <c r="ET13" s="38" t="n"/>
    </row>
    <row r="14">
      <c r="A14" s="37">
        <f>IF('6 - TV Stands &amp; Enterta'!B14 = "", "", IF('6 - TV Stands &amp; Enterta-WUO_ERR'!A14 = "", "Validated", HYPERLINK("#" &amp; ADDRESS(14, '6 - TV Stands &amp; Enterta-WUO_TRK'!A14),_xlfn.TEXTAFTER('6 - TV Stands &amp; Enterta-WUO_ERR'!A14, ":"))))</f>
        <v/>
      </c>
      <c r="B14" s="38" t="inlineStr">
        <is>
          <t>CASA-TV-020</t>
        </is>
      </c>
      <c r="C14" s="38" t="n"/>
      <c r="D14" s="38" t="inlineStr">
        <is>
          <t>Casa Design Furniture</t>
        </is>
      </c>
      <c r="E14" s="38" t="inlineStr">
        <is>
          <t>CASA-TV-020</t>
        </is>
      </c>
      <c r="F14" s="38" t="inlineStr">
        <is>
          <t>840134100204</t>
        </is>
      </c>
      <c r="G14" s="38" t="inlineStr">
        <is>
          <t>#020 TV STAND ELECTRIC FIREPLACE</t>
        </is>
      </c>
      <c r="H14" s="38" t="n"/>
      <c r="I14" s="38" t="n"/>
      <c r="J14" s="38" t="n">
        <v>1100</v>
      </c>
      <c r="K14" s="38" t="n"/>
      <c r="L14" s="38" t="n"/>
      <c r="M14" s="38" t="inlineStr">
        <is>
          <t>The #020 TV STAND ELECTRIC FIREPLACE offers a stunning modern design with high-end materials. Perfect for elevating your living space.</t>
        </is>
      </c>
      <c r="N14" s="38" t="inlineStr">
        <is>
          <t>Sleek Modern Aesthetic</t>
        </is>
      </c>
      <c r="O14" s="38" t="inlineStr">
        <is>
          <t>High-Durability Construction</t>
        </is>
      </c>
      <c r="P14" s="38" t="inlineStr">
        <is>
          <t>Easy Assembly with Storage</t>
        </is>
      </c>
      <c r="Q14" s="38" t="n"/>
      <c r="R14" s="38" t="n"/>
      <c r="S14" s="38" t="n">
        <v>1</v>
      </c>
      <c r="T14" s="38" t="n">
        <v>1</v>
      </c>
      <c r="U14" s="38" t="n">
        <v>1</v>
      </c>
      <c r="V14" s="38" t="n">
        <v>120</v>
      </c>
      <c r="W14" s="38" t="inlineStr">
        <is>
          <t>Small Parcel</t>
        </is>
      </c>
      <c r="X14" s="38" t="n"/>
      <c r="Y14" s="38" t="inlineStr">
        <is>
          <t>24</t>
        </is>
      </c>
      <c r="Z14" s="38" t="inlineStr">
        <is>
          <t>72</t>
        </is>
      </c>
      <c r="AA14" s="38" t="n"/>
      <c r="AB14" s="38" t="n"/>
      <c r="AC14" s="38" t="n"/>
      <c r="AD14" s="38" t="n">
        <v>128</v>
      </c>
      <c r="AE14" s="38" t="n">
        <v>49</v>
      </c>
      <c r="AF14" s="38" t="n">
        <v>89</v>
      </c>
      <c r="AG14" s="38" t="n">
        <v>41</v>
      </c>
      <c r="AH14" s="38" t="inlineStr">
        <is>
          <t>No</t>
        </is>
      </c>
      <c r="AI14" s="38" t="n"/>
      <c r="AJ14" s="38" t="n"/>
      <c r="AK14" s="38" t="inlineStr">
        <is>
          <t>United States</t>
        </is>
      </c>
      <c r="AL14" s="38" t="inlineStr">
        <is>
          <t>https://casadesignfurniture.com/wp-content/uploads/2023/07/dearborn.jpg</t>
        </is>
      </c>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inlineStr">
        <is>
          <t>TV Stand</t>
        </is>
      </c>
      <c r="BH14" s="38" t="inlineStr">
        <is>
          <t>No</t>
        </is>
      </c>
      <c r="BI14" s="38" t="inlineStr">
        <is>
          <t>Yes</t>
        </is>
      </c>
      <c r="BJ14" s="38" t="n">
        <v>2</v>
      </c>
      <c r="BK14" s="38" t="inlineStr">
        <is>
          <t>Yes</t>
        </is>
      </c>
      <c r="BL14" s="38" t="n"/>
      <c r="BM14" s="38" t="n"/>
      <c r="BN14" s="38" t="n"/>
      <c r="BO14" s="38" t="inlineStr">
        <is>
          <t>No</t>
        </is>
      </c>
      <c r="BP14" s="38" t="inlineStr">
        <is>
          <t>Cabinet/Enclosed storage</t>
        </is>
      </c>
      <c r="BQ14" s="38" t="inlineStr">
        <is>
          <t>Glass</t>
        </is>
      </c>
      <c r="BR14" s="38" t="n"/>
      <c r="BS14" s="38" t="inlineStr">
        <is>
          <t>No Natural Variation</t>
        </is>
      </c>
      <c r="BT14" s="38" t="n"/>
      <c r="BU14" s="38" t="n"/>
      <c r="BV14" s="38" t="n"/>
      <c r="BW14" s="38" t="n"/>
      <c r="BX14" s="38" t="n"/>
      <c r="BY14" s="38" t="n"/>
      <c r="BZ14" s="38" t="n"/>
      <c r="CA14" s="38" t="inlineStr">
        <is>
          <t>Yes</t>
        </is>
      </c>
      <c r="CB14" s="38" t="inlineStr">
        <is>
          <t>Yes</t>
        </is>
      </c>
      <c r="CC14" s="38" t="inlineStr">
        <is>
          <t>No</t>
        </is>
      </c>
      <c r="CD14" s="38" t="n"/>
      <c r="CE14" s="38" t="n"/>
      <c r="CF14" s="38" t="inlineStr">
        <is>
          <t>Residential Use</t>
        </is>
      </c>
      <c r="CG14" s="38" t="n"/>
      <c r="CH14" s="38" t="inlineStr">
        <is>
          <t>Does Not Apply</t>
        </is>
      </c>
      <c r="CI14" s="38" t="n"/>
      <c r="CJ14" s="38" t="n"/>
      <c r="CK14" s="38" t="inlineStr">
        <is>
          <t>No</t>
        </is>
      </c>
      <c r="CL14" s="38" t="inlineStr">
        <is>
          <t>Standard</t>
        </is>
      </c>
      <c r="CM14" s="38" t="inlineStr">
        <is>
          <t>Standard</t>
        </is>
      </c>
      <c r="CN14" s="38" t="inlineStr">
        <is>
          <t>1</t>
        </is>
      </c>
      <c r="CO14" s="38" t="inlineStr">
        <is>
          <t>Does Not Apply</t>
        </is>
      </c>
      <c r="CP14" s="38" t="inlineStr">
        <is>
          <t>Does Not Apply</t>
        </is>
      </c>
      <c r="CQ14" s="38" t="inlineStr">
        <is>
          <t>Does Not Apply</t>
        </is>
      </c>
      <c r="CR14" s="38" t="inlineStr">
        <is>
          <t>Does Not Apply</t>
        </is>
      </c>
      <c r="CS14" s="38" t="n"/>
      <c r="CT14" s="38" t="n"/>
      <c r="CU14" s="38" t="n">
        <v>150</v>
      </c>
      <c r="CV14" s="38" t="n"/>
      <c r="CW14" s="38" t="n"/>
      <c r="CX14" s="38" t="n"/>
      <c r="CY14" s="38" t="inlineStr">
        <is>
          <t>White</t>
        </is>
      </c>
      <c r="CZ14" s="38" t="n"/>
      <c r="DA14" s="38" t="inlineStr">
        <is>
          <t>Vent Free</t>
        </is>
      </c>
      <c r="DB14" s="38" t="inlineStr">
        <is>
          <t>Electric</t>
        </is>
      </c>
      <c r="DC14" s="38" t="n"/>
      <c r="DD14" s="38" t="n"/>
      <c r="DE14" s="38" t="n"/>
      <c r="DF14" s="38" t="inlineStr">
        <is>
          <t>1</t>
        </is>
      </c>
      <c r="DG14" s="38" t="n">
        <v>2</v>
      </c>
      <c r="DH14" s="38" t="n"/>
      <c r="DI14" s="38" t="n"/>
      <c r="DJ14" s="38" t="inlineStr">
        <is>
          <t>No</t>
        </is>
      </c>
      <c r="DK14" s="38" t="inlineStr">
        <is>
          <t>Yes</t>
        </is>
      </c>
      <c r="DL14" s="38" t="inlineStr">
        <is>
          <t>No</t>
        </is>
      </c>
      <c r="DM14" s="38" t="inlineStr">
        <is>
          <t>No</t>
        </is>
      </c>
      <c r="DN14" s="38" t="inlineStr">
        <is>
          <t>No</t>
        </is>
      </c>
      <c r="DO14" s="38" t="inlineStr">
        <is>
          <t>Yes</t>
        </is>
      </c>
      <c r="DP14" s="38" t="inlineStr">
        <is>
          <t>No</t>
        </is>
      </c>
      <c r="DQ14" s="38" t="inlineStr">
        <is>
          <t>None</t>
        </is>
      </c>
      <c r="DR14" s="38" t="n"/>
      <c r="DS14" s="38" t="n"/>
      <c r="DT14" s="38" t="n"/>
      <c r="DU14" s="38" t="n"/>
      <c r="DV14" s="38" t="n"/>
      <c r="DW14" s="38" t="n"/>
      <c r="DX14" s="38" t="inlineStr">
        <is>
          <t>No</t>
        </is>
      </c>
      <c r="DY14" s="38" t="inlineStr">
        <is>
          <t>TÜV Rheinland Certified</t>
        </is>
      </c>
      <c r="DZ14" s="38" t="inlineStr">
        <is>
          <t>Standard</t>
        </is>
      </c>
      <c r="EA14" s="38" t="inlineStr">
        <is>
          <t>Standard</t>
        </is>
      </c>
      <c r="EB14" s="38" t="n"/>
      <c r="EC14" s="38" t="n"/>
      <c r="ED14" s="38" t="n"/>
      <c r="EE14" s="38" t="n">
        <v>83</v>
      </c>
      <c r="EF14" s="38" t="n">
        <v>39</v>
      </c>
      <c r="EG14" s="38" t="n">
        <v>43</v>
      </c>
      <c r="EH14" s="38" t="n">
        <v>83</v>
      </c>
      <c r="EI14" s="38" t="n">
        <v>39</v>
      </c>
      <c r="EJ14" s="38" t="n">
        <v>120</v>
      </c>
      <c r="EK14" s="38" t="inlineStr">
        <is>
          <t>75"</t>
        </is>
      </c>
      <c r="EL14" s="38" t="n">
        <v>43</v>
      </c>
      <c r="EM14" s="38" t="inlineStr">
        <is>
          <t>Yes</t>
        </is>
      </c>
      <c r="EN14" s="38" t="inlineStr">
        <is>
          <t>No Assembly Needed</t>
        </is>
      </c>
      <c r="EO14" s="38" t="n"/>
      <c r="EP14" s="38" t="inlineStr">
        <is>
          <t>No</t>
        </is>
      </c>
      <c r="EQ14" s="38" t="inlineStr">
        <is>
          <t>Does Not Apply</t>
        </is>
      </c>
      <c r="ER14" s="38" t="n"/>
      <c r="ES14" s="38" t="n"/>
      <c r="ET14" s="38" t="n"/>
    </row>
    <row r="15">
      <c r="A15" s="37">
        <f>IF('6 - TV Stands &amp; Enterta'!B15 = "", "", IF('6 - TV Stands &amp; Enterta-WUO_ERR'!A15 = "", "Validated", HYPERLINK("#" &amp; ADDRESS(15, '6 - TV Stands &amp; Enterta-WUO_TRK'!A15),_xlfn.TEXTAFTER('6 - TV Stands &amp; Enterta-WUO_ERR'!A15, ":"))))</f>
        <v/>
      </c>
      <c r="B15" s="38" t="inlineStr">
        <is>
          <t>CASA-TV-023</t>
        </is>
      </c>
      <c r="C15" s="38" t="n"/>
      <c r="D15" s="38" t="inlineStr">
        <is>
          <t>Casa Design Furniture</t>
        </is>
      </c>
      <c r="E15" s="38" t="inlineStr">
        <is>
          <t>CASA-TV-023</t>
        </is>
      </c>
      <c r="F15" s="38" t="inlineStr">
        <is>
          <t>840134100235</t>
        </is>
      </c>
      <c r="G15" s="38" t="inlineStr">
        <is>
          <t>#023 AMRITA TV STAND</t>
        </is>
      </c>
      <c r="H15" s="38" t="n"/>
      <c r="I15" s="38" t="n"/>
      <c r="J15" s="38" t="n">
        <v>590</v>
      </c>
      <c r="K15" s="38" t="n"/>
      <c r="L15" s="38" t="n"/>
      <c r="M15" s="38" t="inlineStr">
        <is>
          <t>The #023 AMRITA TV STAND offers a stunning modern design with high-end materials. Perfect for elevating your living space.</t>
        </is>
      </c>
      <c r="N15" s="38" t="inlineStr">
        <is>
          <t>Sleek Modern Aesthetic</t>
        </is>
      </c>
      <c r="O15" s="38" t="inlineStr">
        <is>
          <t>High-Durability Construction</t>
        </is>
      </c>
      <c r="P15" s="38" t="inlineStr">
        <is>
          <t>Easy Assembly with Storage</t>
        </is>
      </c>
      <c r="Q15" s="38" t="n"/>
      <c r="R15" s="38" t="n"/>
      <c r="S15" s="38" t="n">
        <v>1</v>
      </c>
      <c r="T15" s="38" t="n">
        <v>1</v>
      </c>
      <c r="U15" s="38" t="n">
        <v>1</v>
      </c>
      <c r="V15" s="38" t="n">
        <v>70</v>
      </c>
      <c r="W15" s="38" t="inlineStr">
        <is>
          <t>Small Parcel</t>
        </is>
      </c>
      <c r="X15" s="38" t="n"/>
      <c r="Y15" s="38" t="inlineStr">
        <is>
          <t>24</t>
        </is>
      </c>
      <c r="Z15" s="38" t="inlineStr">
        <is>
          <t>720</t>
        </is>
      </c>
      <c r="AA15" s="38" t="n"/>
      <c r="AB15" s="38" t="n"/>
      <c r="AC15" s="38" t="n"/>
      <c r="AD15" s="38" t="n">
        <v>83</v>
      </c>
      <c r="AE15" s="38" t="n">
        <v>28</v>
      </c>
      <c r="AF15" s="38" t="n">
        <v>66</v>
      </c>
      <c r="AG15" s="38" t="n">
        <v>18</v>
      </c>
      <c r="AH15" s="38" t="inlineStr">
        <is>
          <t>No</t>
        </is>
      </c>
      <c r="AI15" s="38" t="n"/>
      <c r="AJ15" s="38" t="n"/>
      <c r="AK15" s="38" t="inlineStr">
        <is>
          <t>United States</t>
        </is>
      </c>
      <c r="AL15" s="38" t="inlineStr">
        <is>
          <t>https://casadesignfurniture.com/wp-content/uploads/2023/12/Group-4-1.png</t>
        </is>
      </c>
      <c r="AM15" s="38" t="n"/>
      <c r="AN15" s="38" t="n"/>
      <c r="AO15" s="38" t="n"/>
      <c r="AP15" s="38" t="n"/>
      <c r="AQ15" s="38" t="n"/>
      <c r="AR15" s="38" t="n"/>
      <c r="AS15" s="38" t="n"/>
      <c r="AT15" s="38" t="n"/>
      <c r="AU15" s="38" t="n"/>
      <c r="AV15" s="38" t="n"/>
      <c r="AW15" s="38" t="n"/>
      <c r="AX15" s="38" t="n"/>
      <c r="AY15" s="38" t="n"/>
      <c r="AZ15" s="38" t="n"/>
      <c r="BA15" s="38" t="n"/>
      <c r="BB15" s="38" t="n"/>
      <c r="BC15" s="38" t="n"/>
      <c r="BD15" s="38" t="n"/>
      <c r="BE15" s="38" t="n"/>
      <c r="BF15" s="38" t="n"/>
      <c r="BG15" s="38" t="inlineStr">
        <is>
          <t>TV Stand</t>
        </is>
      </c>
      <c r="BH15" s="38" t="inlineStr">
        <is>
          <t>No</t>
        </is>
      </c>
      <c r="BI15" s="38" t="inlineStr">
        <is>
          <t>Yes</t>
        </is>
      </c>
      <c r="BJ15" s="38" t="n">
        <v>2</v>
      </c>
      <c r="BK15" s="38" t="inlineStr">
        <is>
          <t>Yes</t>
        </is>
      </c>
      <c r="BL15" s="38" t="n"/>
      <c r="BM15" s="38" t="n"/>
      <c r="BN15" s="38" t="n"/>
      <c r="BO15" s="38" t="inlineStr">
        <is>
          <t>No</t>
        </is>
      </c>
      <c r="BP15" s="38" t="inlineStr">
        <is>
          <t>Cabinet/Enclosed storage</t>
        </is>
      </c>
      <c r="BQ15" s="38" t="inlineStr">
        <is>
          <t>Glass</t>
        </is>
      </c>
      <c r="BR15" s="38" t="n"/>
      <c r="BS15" s="38" t="inlineStr">
        <is>
          <t>No Natural Variation</t>
        </is>
      </c>
      <c r="BT15" s="38" t="n"/>
      <c r="BU15" s="38" t="n"/>
      <c r="BV15" s="38" t="n"/>
      <c r="BW15" s="38" t="n"/>
      <c r="BX15" s="38" t="n"/>
      <c r="BY15" s="38" t="n"/>
      <c r="BZ15" s="38" t="n"/>
      <c r="CA15" s="38" t="inlineStr">
        <is>
          <t>No</t>
        </is>
      </c>
      <c r="CB15" s="38" t="inlineStr">
        <is>
          <t>No</t>
        </is>
      </c>
      <c r="CC15" s="38" t="inlineStr">
        <is>
          <t>No</t>
        </is>
      </c>
      <c r="CD15" s="38" t="n"/>
      <c r="CE15" s="38" t="n"/>
      <c r="CF15" s="38" t="inlineStr">
        <is>
          <t>Residential Use</t>
        </is>
      </c>
      <c r="CG15" s="38" t="n"/>
      <c r="CH15" s="38" t="inlineStr">
        <is>
          <t>Does Not Apply</t>
        </is>
      </c>
      <c r="CI15" s="38" t="n"/>
      <c r="CJ15" s="38" t="n"/>
      <c r="CK15" s="38" t="inlineStr">
        <is>
          <t>No</t>
        </is>
      </c>
      <c r="CL15" s="38" t="inlineStr">
        <is>
          <t>Standard</t>
        </is>
      </c>
      <c r="CM15" s="38" t="inlineStr">
        <is>
          <t>Standard</t>
        </is>
      </c>
      <c r="CN15" s="38" t="inlineStr">
        <is>
          <t>1</t>
        </is>
      </c>
      <c r="CO15" s="38" t="inlineStr">
        <is>
          <t>Does Not Apply</t>
        </is>
      </c>
      <c r="CP15" s="38" t="inlineStr">
        <is>
          <t>Does Not Apply</t>
        </is>
      </c>
      <c r="CQ15" s="38" t="inlineStr">
        <is>
          <t>Does Not Apply</t>
        </is>
      </c>
      <c r="CR15" s="38" t="inlineStr">
        <is>
          <t>Does Not Apply</t>
        </is>
      </c>
      <c r="CS15" s="38" t="inlineStr">
        <is>
          <t>No</t>
        </is>
      </c>
      <c r="CT15" s="38" t="inlineStr">
        <is>
          <t>Does Not Apply</t>
        </is>
      </c>
      <c r="CU15" s="38" t="n">
        <v>150</v>
      </c>
      <c r="CV15" s="38" t="n"/>
      <c r="CW15" s="38" t="n"/>
      <c r="CX15" s="38" t="n"/>
      <c r="CY15" s="38" t="inlineStr">
        <is>
          <t>White</t>
        </is>
      </c>
      <c r="CZ15" s="38" t="n"/>
      <c r="DA15" s="38" t="inlineStr">
        <is>
          <t>Standard</t>
        </is>
      </c>
      <c r="DB15" s="38" t="inlineStr">
        <is>
          <t>Standard</t>
        </is>
      </c>
      <c r="DC15" s="38" t="n"/>
      <c r="DD15" s="38" t="n"/>
      <c r="DE15" s="38" t="n"/>
      <c r="DF15" s="38" t="inlineStr">
        <is>
          <t>1</t>
        </is>
      </c>
      <c r="DG15" s="38" t="n">
        <v>2</v>
      </c>
      <c r="DH15" s="38" t="n"/>
      <c r="DI15" s="38" t="n"/>
      <c r="DJ15" s="38" t="inlineStr">
        <is>
          <t>No</t>
        </is>
      </c>
      <c r="DK15" s="38" t="inlineStr">
        <is>
          <t>Yes</t>
        </is>
      </c>
      <c r="DL15" s="38" t="inlineStr">
        <is>
          <t>No</t>
        </is>
      </c>
      <c r="DM15" s="38" t="inlineStr">
        <is>
          <t>No</t>
        </is>
      </c>
      <c r="DN15" s="38" t="inlineStr">
        <is>
          <t>No</t>
        </is>
      </c>
      <c r="DO15" s="38" t="inlineStr">
        <is>
          <t>Yes</t>
        </is>
      </c>
      <c r="DP15" s="38" t="inlineStr">
        <is>
          <t>No</t>
        </is>
      </c>
      <c r="DQ15" s="38" t="inlineStr">
        <is>
          <t>None</t>
        </is>
      </c>
      <c r="DR15" s="38" t="n"/>
      <c r="DS15" s="38" t="n"/>
      <c r="DT15" s="38" t="n"/>
      <c r="DU15" s="38" t="n"/>
      <c r="DV15" s="38" t="n"/>
      <c r="DW15" s="38" t="n"/>
      <c r="DX15" s="38" t="inlineStr">
        <is>
          <t>No</t>
        </is>
      </c>
      <c r="DY15" s="38" t="inlineStr">
        <is>
          <t>TÜV Rheinland Certified</t>
        </is>
      </c>
      <c r="DZ15" s="38" t="inlineStr">
        <is>
          <t>Standard</t>
        </is>
      </c>
      <c r="EA15" s="38" t="inlineStr">
        <is>
          <t>Standard</t>
        </is>
      </c>
      <c r="EB15" s="38" t="n"/>
      <c r="EC15" s="38" t="n"/>
      <c r="ED15" s="38" t="n"/>
      <c r="EE15" s="38" t="n">
        <v>60</v>
      </c>
      <c r="EF15" s="38" t="n">
        <v>16</v>
      </c>
      <c r="EG15" s="38" t="n">
        <v>24</v>
      </c>
      <c r="EH15" s="38" t="n">
        <v>60</v>
      </c>
      <c r="EI15" s="38" t="n">
        <v>16</v>
      </c>
      <c r="EJ15" s="38" t="n">
        <v>70</v>
      </c>
      <c r="EK15" s="38" t="inlineStr">
        <is>
          <t>75"</t>
        </is>
      </c>
      <c r="EL15" s="38" t="n">
        <v>24</v>
      </c>
      <c r="EM15" s="38" t="inlineStr">
        <is>
          <t>Yes</t>
        </is>
      </c>
      <c r="EN15" s="38" t="inlineStr">
        <is>
          <t>No Assembly Needed</t>
        </is>
      </c>
      <c r="EO15" s="38" t="n"/>
      <c r="EP15" s="38" t="inlineStr">
        <is>
          <t>No</t>
        </is>
      </c>
      <c r="EQ15" s="38" t="inlineStr">
        <is>
          <t>Does Not Apply</t>
        </is>
      </c>
      <c r="ER15" s="38" t="n"/>
      <c r="ES15" s="38" t="n"/>
      <c r="ET15" s="38" t="n"/>
    </row>
    <row r="16">
      <c r="A16" s="37">
        <f>IF('6 - TV Stands &amp; Enterta'!B16 = "", "", IF('6 - TV Stands &amp; Enterta-WUO_ERR'!A16 = "", "Validated", HYPERLINK("#" &amp; ADDRESS(16, '6 - TV Stands &amp; Enterta-WUO_TRK'!A16),_xlfn.TEXTAFTER('6 - TV Stands &amp; Enterta-WUO_ERR'!A16, ":"))))</f>
        <v/>
      </c>
      <c r="B16" s="38" t="inlineStr">
        <is>
          <t>CASA-TV-025</t>
        </is>
      </c>
      <c r="C16" s="38" t="n"/>
      <c r="D16" s="38" t="inlineStr">
        <is>
          <t>Casa Design Furniture</t>
        </is>
      </c>
      <c r="E16" s="38" t="inlineStr">
        <is>
          <t>CASA-TV-025</t>
        </is>
      </c>
      <c r="F16" s="38" t="inlineStr">
        <is>
          <t>840134100259</t>
        </is>
      </c>
      <c r="G16" s="38" t="inlineStr">
        <is>
          <t>#025 AFONSO TV STAND FIREPLACE</t>
        </is>
      </c>
      <c r="H16" s="38" t="n"/>
      <c r="I16" s="38" t="n"/>
      <c r="J16" s="38" t="n">
        <v>1250</v>
      </c>
      <c r="K16" s="38" t="n"/>
      <c r="L16" s="38" t="n"/>
      <c r="M16" s="38" t="inlineStr">
        <is>
          <t>The #025 AFONSO TV STAND FIREPLACE offers a stunning modern design with high-end materials. Perfect for elevating your living space.</t>
        </is>
      </c>
      <c r="N16" s="38" t="inlineStr">
        <is>
          <t>Sleek Modern Aesthetic</t>
        </is>
      </c>
      <c r="O16" s="38" t="inlineStr">
        <is>
          <t>High-Durability Construction</t>
        </is>
      </c>
      <c r="P16" s="38" t="inlineStr">
        <is>
          <t>Easy Assembly with Storage</t>
        </is>
      </c>
      <c r="Q16" s="38" t="n"/>
      <c r="R16" s="38" t="n"/>
      <c r="S16" s="38" t="n">
        <v>1</v>
      </c>
      <c r="T16" s="38" t="n">
        <v>1</v>
      </c>
      <c r="U16" s="38" t="n">
        <v>1</v>
      </c>
      <c r="V16" s="38" t="n">
        <v>115</v>
      </c>
      <c r="W16" s="38" t="inlineStr">
        <is>
          <t>Small Parcel</t>
        </is>
      </c>
      <c r="X16" s="38" t="n"/>
      <c r="Y16" s="38" t="inlineStr">
        <is>
          <t>24</t>
        </is>
      </c>
      <c r="Z16" s="38" t="inlineStr">
        <is>
          <t>840</t>
        </is>
      </c>
      <c r="AA16" s="38" t="n"/>
      <c r="AB16" s="38" t="n"/>
      <c r="AC16" s="38" t="n"/>
      <c r="AD16" s="38" t="n">
        <v>125</v>
      </c>
      <c r="AE16" s="38" t="n">
        <v>23</v>
      </c>
      <c r="AF16" s="38" t="n">
        <v>84</v>
      </c>
      <c r="AG16" s="38" t="n">
        <v>21</v>
      </c>
      <c r="AH16" s="38" t="inlineStr">
        <is>
          <t>No</t>
        </is>
      </c>
      <c r="AI16" s="38" t="n"/>
      <c r="AJ16" s="38" t="n"/>
      <c r="AK16" s="38" t="inlineStr">
        <is>
          <t>United States</t>
        </is>
      </c>
      <c r="AL16" s="38" t="inlineStr">
        <is>
          <t>https://casadesignfurniture.com/wp-content/uploads/2023/12/Group-4-1.png</t>
        </is>
      </c>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inlineStr">
        <is>
          <t>TV Stand</t>
        </is>
      </c>
      <c r="BH16" s="38" t="inlineStr">
        <is>
          <t>No</t>
        </is>
      </c>
      <c r="BI16" s="38" t="inlineStr">
        <is>
          <t>Yes</t>
        </is>
      </c>
      <c r="BJ16" s="38" t="n">
        <v>2</v>
      </c>
      <c r="BK16" s="38" t="inlineStr">
        <is>
          <t>Yes</t>
        </is>
      </c>
      <c r="BL16" s="38" t="n"/>
      <c r="BM16" s="38" t="n"/>
      <c r="BN16" s="38" t="n"/>
      <c r="BO16" s="38" t="inlineStr">
        <is>
          <t>No</t>
        </is>
      </c>
      <c r="BP16" s="38" t="inlineStr">
        <is>
          <t>Cabinet/Enclosed storage</t>
        </is>
      </c>
      <c r="BQ16" s="38" t="inlineStr">
        <is>
          <t>Glass</t>
        </is>
      </c>
      <c r="BR16" s="38" t="n"/>
      <c r="BS16" s="38" t="inlineStr">
        <is>
          <t>No Natural Variation</t>
        </is>
      </c>
      <c r="BT16" s="38" t="n"/>
      <c r="BU16" s="38" t="n"/>
      <c r="BV16" s="38" t="n"/>
      <c r="BW16" s="38" t="n"/>
      <c r="BX16" s="38" t="n"/>
      <c r="BY16" s="38" t="n"/>
      <c r="BZ16" s="38" t="n"/>
      <c r="CA16" s="38" t="inlineStr">
        <is>
          <t>Yes</t>
        </is>
      </c>
      <c r="CB16" s="38" t="inlineStr">
        <is>
          <t>Yes</t>
        </is>
      </c>
      <c r="CC16" s="38" t="inlineStr">
        <is>
          <t>No</t>
        </is>
      </c>
      <c r="CD16" s="38" t="n"/>
      <c r="CE16" s="38" t="n"/>
      <c r="CF16" s="38" t="inlineStr">
        <is>
          <t>Residential Use</t>
        </is>
      </c>
      <c r="CG16" s="38" t="n"/>
      <c r="CH16" s="38" t="inlineStr">
        <is>
          <t>Does Not Apply</t>
        </is>
      </c>
      <c r="CI16" s="38" t="n"/>
      <c r="CJ16" s="38" t="n"/>
      <c r="CK16" s="38" t="inlineStr">
        <is>
          <t>No</t>
        </is>
      </c>
      <c r="CL16" s="38" t="inlineStr">
        <is>
          <t>Standard</t>
        </is>
      </c>
      <c r="CM16" s="38" t="inlineStr">
        <is>
          <t>Standard</t>
        </is>
      </c>
      <c r="CN16" s="38" t="inlineStr">
        <is>
          <t>1</t>
        </is>
      </c>
      <c r="CO16" s="38" t="inlineStr">
        <is>
          <t>Does Not Apply</t>
        </is>
      </c>
      <c r="CP16" s="38" t="inlineStr">
        <is>
          <t>Does Not Apply</t>
        </is>
      </c>
      <c r="CQ16" s="38" t="inlineStr">
        <is>
          <t>Does Not Apply</t>
        </is>
      </c>
      <c r="CR16" s="38" t="inlineStr">
        <is>
          <t>Does Not Apply</t>
        </is>
      </c>
      <c r="CS16" s="38" t="n"/>
      <c r="CT16" s="38" t="n"/>
      <c r="CU16" s="38" t="n">
        <v>150</v>
      </c>
      <c r="CV16" s="38" t="n"/>
      <c r="CW16" s="38" t="n"/>
      <c r="CX16" s="38" t="n"/>
      <c r="CY16" s="38" t="inlineStr">
        <is>
          <t>White</t>
        </is>
      </c>
      <c r="CZ16" s="38" t="n"/>
      <c r="DA16" s="38" t="inlineStr">
        <is>
          <t>Vent Free</t>
        </is>
      </c>
      <c r="DB16" s="38" t="inlineStr">
        <is>
          <t>Electric</t>
        </is>
      </c>
      <c r="DC16" s="38" t="n"/>
      <c r="DD16" s="38" t="n"/>
      <c r="DE16" s="38" t="n"/>
      <c r="DF16" s="38" t="inlineStr">
        <is>
          <t>1</t>
        </is>
      </c>
      <c r="DG16" s="38" t="n">
        <v>2</v>
      </c>
      <c r="DH16" s="38" t="n"/>
      <c r="DI16" s="38" t="n"/>
      <c r="DJ16" s="38" t="inlineStr">
        <is>
          <t>No</t>
        </is>
      </c>
      <c r="DK16" s="38" t="inlineStr">
        <is>
          <t>Yes</t>
        </is>
      </c>
      <c r="DL16" s="38" t="inlineStr">
        <is>
          <t>No</t>
        </is>
      </c>
      <c r="DM16" s="38" t="inlineStr">
        <is>
          <t>No</t>
        </is>
      </c>
      <c r="DN16" s="38" t="inlineStr">
        <is>
          <t>No</t>
        </is>
      </c>
      <c r="DO16" s="38" t="inlineStr">
        <is>
          <t>Yes</t>
        </is>
      </c>
      <c r="DP16" s="38" t="inlineStr">
        <is>
          <t>No</t>
        </is>
      </c>
      <c r="DQ16" s="38" t="inlineStr">
        <is>
          <t>None</t>
        </is>
      </c>
      <c r="DR16" s="38" t="n"/>
      <c r="DS16" s="38" t="n"/>
      <c r="DT16" s="38" t="n"/>
      <c r="DU16" s="38" t="n"/>
      <c r="DV16" s="38" t="n"/>
      <c r="DW16" s="38" t="n"/>
      <c r="DX16" s="38" t="inlineStr">
        <is>
          <t>No</t>
        </is>
      </c>
      <c r="DY16" s="38" t="inlineStr">
        <is>
          <t>TÜV Rheinland Certified</t>
        </is>
      </c>
      <c r="DZ16" s="38" t="inlineStr">
        <is>
          <t>Standard</t>
        </is>
      </c>
      <c r="EA16" s="38" t="inlineStr">
        <is>
          <t>Standard</t>
        </is>
      </c>
      <c r="EB16" s="38" t="n"/>
      <c r="EC16" s="38" t="n"/>
      <c r="ED16" s="38" t="n"/>
      <c r="EE16" s="38" t="n">
        <v>78</v>
      </c>
      <c r="EF16" s="38" t="n">
        <v>18</v>
      </c>
      <c r="EG16" s="38" t="n">
        <v>20</v>
      </c>
      <c r="EH16" s="38" t="n">
        <v>78</v>
      </c>
      <c r="EI16" s="38" t="n">
        <v>18</v>
      </c>
      <c r="EJ16" s="38" t="n">
        <v>115</v>
      </c>
      <c r="EK16" s="38" t="inlineStr">
        <is>
          <t>75"</t>
        </is>
      </c>
      <c r="EL16" s="38" t="n">
        <v>20</v>
      </c>
      <c r="EM16" s="38" t="inlineStr">
        <is>
          <t>Yes</t>
        </is>
      </c>
      <c r="EN16" s="38" t="inlineStr">
        <is>
          <t>No Assembly Needed</t>
        </is>
      </c>
      <c r="EO16" s="38" t="n"/>
      <c r="EP16" s="38" t="inlineStr">
        <is>
          <t>No</t>
        </is>
      </c>
      <c r="EQ16" s="38" t="inlineStr">
        <is>
          <t>Does Not Apply</t>
        </is>
      </c>
      <c r="ER16" s="38" t="n"/>
      <c r="ES16" s="38" t="n"/>
      <c r="ET16" s="38" t="n"/>
    </row>
    <row r="17">
      <c r="A17" s="37">
        <f>IF('6 - TV Stands &amp; Enterta'!B17 = "", "", IF('6 - TV Stands &amp; Enterta-WUO_ERR'!A17 = "", "Validated", HYPERLINK("#" &amp; ADDRESS(17, '6 - TV Stands &amp; Enterta-WUO_TRK'!A17),_xlfn.TEXTAFTER('6 - TV Stands &amp; Enterta-WUO_ERR'!A17, ":"))))</f>
        <v/>
      </c>
      <c r="B17" s="38" t="inlineStr">
        <is>
          <t>CASA-TV-ELT-3795</t>
        </is>
      </c>
      <c r="C17" s="38" t="n"/>
      <c r="D17" s="38" t="inlineStr">
        <is>
          <t>Casa Design Furniture</t>
        </is>
      </c>
      <c r="E17" s="38" t="inlineStr">
        <is>
          <t>CASA-TV-ELT-3795</t>
        </is>
      </c>
      <c r="F17" s="38" t="inlineStr">
        <is>
          <t>840134383270</t>
        </is>
      </c>
      <c r="G17" s="38" t="inlineStr">
        <is>
          <t>Elite Designer TV Console 1001</t>
        </is>
      </c>
      <c r="H17" s="38" t="n"/>
      <c r="I17" s="38" t="n"/>
      <c r="J17" s="38" t="n">
        <v>610</v>
      </c>
      <c r="K17" s="38" t="n"/>
      <c r="L17" s="38" t="n"/>
      <c r="M17" s="38" t="inlineStr">
        <is>
          <t>The Elite Contemporary TV Unit Model 701 offers a stunning modern design with high-end materials. Perfect for elevating your living space.</t>
        </is>
      </c>
      <c r="N17" s="38" t="inlineStr">
        <is>
          <t>Sleek Modern Aesthetic</t>
        </is>
      </c>
      <c r="O17" s="38" t="inlineStr">
        <is>
          <t>High-Durability Construction</t>
        </is>
      </c>
      <c r="P17" s="38" t="inlineStr">
        <is>
          <t>Easy Assembly with Storage</t>
        </is>
      </c>
      <c r="Q17" s="38" t="n"/>
      <c r="R17" s="38" t="n"/>
      <c r="S17" s="38" t="n">
        <v>1</v>
      </c>
      <c r="T17" s="38" t="n">
        <v>1</v>
      </c>
      <c r="U17" s="38" t="n">
        <v>1</v>
      </c>
      <c r="V17" s="38" t="n">
        <v>80</v>
      </c>
      <c r="W17" s="38" t="inlineStr">
        <is>
          <t>Small Parcel</t>
        </is>
      </c>
      <c r="X17" s="38" t="n"/>
      <c r="Y17" s="38" t="inlineStr">
        <is>
          <t>24</t>
        </is>
      </c>
      <c r="Z17" s="38" t="inlineStr">
        <is>
          <t>192</t>
        </is>
      </c>
      <c r="AA17" s="38" t="n"/>
      <c r="AB17" s="38" t="n"/>
      <c r="AC17" s="38" t="n"/>
      <c r="AD17" s="38" t="n">
        <v>90</v>
      </c>
      <c r="AE17" s="38" t="n">
        <v>24</v>
      </c>
      <c r="AF17" s="38" t="n">
        <v>71</v>
      </c>
      <c r="AG17" s="38" t="n">
        <v>19</v>
      </c>
      <c r="AH17" s="38" t="inlineStr">
        <is>
          <t>No</t>
        </is>
      </c>
      <c r="AI17" s="38" t="n"/>
      <c r="AJ17" s="38" t="n"/>
      <c r="AK17" s="38" t="inlineStr">
        <is>
          <t>United States</t>
        </is>
      </c>
      <c r="AL17" s="38" t="inlineStr">
        <is>
          <t>https://casadesignfurniture.com/wp-content/uploads/2023/12/Group-4-1.png</t>
        </is>
      </c>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inlineStr">
        <is>
          <t>TV Stand</t>
        </is>
      </c>
      <c r="BH17" s="38" t="inlineStr">
        <is>
          <t>No</t>
        </is>
      </c>
      <c r="BI17" s="38" t="inlineStr">
        <is>
          <t>Yes</t>
        </is>
      </c>
      <c r="BJ17" s="38" t="n">
        <v>2</v>
      </c>
      <c r="BK17" s="38" t="inlineStr">
        <is>
          <t>Yes</t>
        </is>
      </c>
      <c r="BL17" s="38" t="n"/>
      <c r="BM17" s="38" t="n"/>
      <c r="BN17" s="38" t="n"/>
      <c r="BO17" s="38" t="inlineStr">
        <is>
          <t>No</t>
        </is>
      </c>
      <c r="BP17" s="38" t="inlineStr">
        <is>
          <t>Cabinet/Enclosed storage</t>
        </is>
      </c>
      <c r="BQ17" s="38" t="inlineStr">
        <is>
          <t>Glass</t>
        </is>
      </c>
      <c r="BR17" s="38" t="n"/>
      <c r="BS17" s="38" t="inlineStr">
        <is>
          <t>No Natural Variation</t>
        </is>
      </c>
      <c r="BT17" s="38" t="n"/>
      <c r="BU17" s="38" t="n"/>
      <c r="BV17" s="38" t="n"/>
      <c r="BW17" s="38" t="n"/>
      <c r="BX17" s="38" t="n"/>
      <c r="BY17" s="38" t="n"/>
      <c r="BZ17" s="38" t="n"/>
      <c r="CA17" s="38" t="inlineStr">
        <is>
          <t>No</t>
        </is>
      </c>
      <c r="CB17" s="38" t="inlineStr">
        <is>
          <t>No</t>
        </is>
      </c>
      <c r="CC17" s="38" t="inlineStr">
        <is>
          <t>No</t>
        </is>
      </c>
      <c r="CD17" s="38" t="n"/>
      <c r="CE17" s="38" t="n"/>
      <c r="CF17" s="38" t="inlineStr">
        <is>
          <t>Residential Use</t>
        </is>
      </c>
      <c r="CG17" s="38" t="n"/>
      <c r="CH17" s="38" t="inlineStr">
        <is>
          <t>Does Not Apply</t>
        </is>
      </c>
      <c r="CI17" s="38" t="n"/>
      <c r="CJ17" s="38" t="n"/>
      <c r="CK17" s="38" t="inlineStr">
        <is>
          <t>No</t>
        </is>
      </c>
      <c r="CL17" s="38" t="inlineStr">
        <is>
          <t>Standard</t>
        </is>
      </c>
      <c r="CM17" s="38" t="inlineStr">
        <is>
          <t>Standard</t>
        </is>
      </c>
      <c r="CN17" s="38" t="inlineStr">
        <is>
          <t>1</t>
        </is>
      </c>
      <c r="CO17" s="38" t="inlineStr">
        <is>
          <t>Does Not Apply</t>
        </is>
      </c>
      <c r="CP17" s="38" t="inlineStr">
        <is>
          <t>Does Not Apply</t>
        </is>
      </c>
      <c r="CQ17" s="38" t="inlineStr">
        <is>
          <t>Does Not Apply</t>
        </is>
      </c>
      <c r="CR17" s="38" t="inlineStr">
        <is>
          <t>Does Not Apply</t>
        </is>
      </c>
      <c r="CS17" s="38" t="inlineStr">
        <is>
          <t>No</t>
        </is>
      </c>
      <c r="CT17" s="38" t="inlineStr">
        <is>
          <t>Does Not Apply</t>
        </is>
      </c>
      <c r="CU17" s="38" t="n">
        <v>150</v>
      </c>
      <c r="CV17" s="38" t="n"/>
      <c r="CW17" s="38" t="n"/>
      <c r="CX17" s="38" t="n"/>
      <c r="CY17" s="38" t="inlineStr">
        <is>
          <t>White</t>
        </is>
      </c>
      <c r="CZ17" s="38" t="n"/>
      <c r="DA17" s="38" t="inlineStr">
        <is>
          <t>Standard</t>
        </is>
      </c>
      <c r="DB17" s="38" t="inlineStr">
        <is>
          <t>Standard</t>
        </is>
      </c>
      <c r="DC17" s="38" t="n"/>
      <c r="DD17" s="38" t="n"/>
      <c r="DE17" s="38" t="n"/>
      <c r="DF17" s="38" t="inlineStr">
        <is>
          <t>1</t>
        </is>
      </c>
      <c r="DG17" s="38" t="n">
        <v>2</v>
      </c>
      <c r="DH17" s="38" t="n"/>
      <c r="DI17" s="38" t="n"/>
      <c r="DJ17" s="38" t="inlineStr">
        <is>
          <t>No</t>
        </is>
      </c>
      <c r="DK17" s="38" t="inlineStr">
        <is>
          <t>Yes</t>
        </is>
      </c>
      <c r="DL17" s="38" t="inlineStr">
        <is>
          <t>No</t>
        </is>
      </c>
      <c r="DM17" s="38" t="inlineStr">
        <is>
          <t>No</t>
        </is>
      </c>
      <c r="DN17" s="38" t="inlineStr">
        <is>
          <t>No</t>
        </is>
      </c>
      <c r="DO17" s="38" t="inlineStr">
        <is>
          <t>Yes</t>
        </is>
      </c>
      <c r="DP17" s="38" t="inlineStr">
        <is>
          <t>No</t>
        </is>
      </c>
      <c r="DQ17" s="38" t="inlineStr">
        <is>
          <t>None</t>
        </is>
      </c>
      <c r="DR17" s="38" t="n"/>
      <c r="DS17" s="38" t="n"/>
      <c r="DT17" s="38" t="n"/>
      <c r="DU17" s="38" t="n"/>
      <c r="DV17" s="38" t="n"/>
      <c r="DW17" s="38" t="n"/>
      <c r="DX17" s="38" t="inlineStr">
        <is>
          <t>No</t>
        </is>
      </c>
      <c r="DY17" s="38" t="inlineStr">
        <is>
          <t>TÜV Rheinland Certified</t>
        </is>
      </c>
      <c r="DZ17" s="38" t="inlineStr">
        <is>
          <t>Standard</t>
        </is>
      </c>
      <c r="EA17" s="38" t="inlineStr">
        <is>
          <t>Standard</t>
        </is>
      </c>
      <c r="EB17" s="38" t="n"/>
      <c r="EC17" s="38" t="n"/>
      <c r="ED17" s="38" t="n"/>
      <c r="EE17" s="38" t="n">
        <v>65</v>
      </c>
      <c r="EF17" s="38" t="n">
        <v>15</v>
      </c>
      <c r="EG17" s="38" t="n">
        <v>22</v>
      </c>
      <c r="EH17" s="38" t="n">
        <v>65</v>
      </c>
      <c r="EI17" s="38" t="n">
        <v>15</v>
      </c>
      <c r="EJ17" s="38" t="n">
        <v>80</v>
      </c>
      <c r="EK17" s="38" t="inlineStr">
        <is>
          <t>75"</t>
        </is>
      </c>
      <c r="EL17" s="38" t="n">
        <v>22</v>
      </c>
      <c r="EM17" s="38" t="inlineStr">
        <is>
          <t>Yes</t>
        </is>
      </c>
      <c r="EN17" s="38" t="inlineStr">
        <is>
          <t>No Assembly Needed</t>
        </is>
      </c>
      <c r="EO17" s="38" t="n"/>
      <c r="EP17" s="38" t="inlineStr">
        <is>
          <t>No</t>
        </is>
      </c>
      <c r="EQ17" s="38" t="inlineStr">
        <is>
          <t>Does Not Apply</t>
        </is>
      </c>
      <c r="ER17" s="38" t="n"/>
      <c r="ES17" s="38" t="n"/>
      <c r="ET17" s="38" t="n"/>
    </row>
    <row r="18">
      <c r="A18" s="37">
        <f>IF('6 - TV Stands &amp; Enterta'!B18 = "", "", IF('6 - TV Stands &amp; Enterta-WUO_ERR'!A18 = "", "Validated", HYPERLINK("#" &amp; ADDRESS(18, '6 - TV Stands &amp; Enterta-WUO_TRK'!A18),_xlfn.TEXTAFTER('6 - TV Stands &amp; Enterta-WUO_ERR'!A18, ":"))))</f>
        <v/>
      </c>
      <c r="B18" s="38" t="inlineStr">
        <is>
          <t>CASA-TV-ELT-4834</t>
        </is>
      </c>
      <c r="C18" s="38" t="n"/>
      <c r="D18" s="38" t="inlineStr">
        <is>
          <t>Casa Design Furniture</t>
        </is>
      </c>
      <c r="E18" s="38" t="inlineStr">
        <is>
          <t>CASA-TV-ELT-4834</t>
        </is>
      </c>
      <c r="F18" s="38" t="inlineStr">
        <is>
          <t>840134627010</t>
        </is>
      </c>
      <c r="G18" s="38" t="inlineStr">
        <is>
          <t>Elite Designer TV Console 1002</t>
        </is>
      </c>
      <c r="H18" s="38" t="n"/>
      <c r="I18" s="38" t="n"/>
      <c r="J18" s="38" t="n">
        <v>670</v>
      </c>
      <c r="K18" s="38" t="n"/>
      <c r="L18" s="38" t="n"/>
      <c r="M18" s="38" t="inlineStr">
        <is>
          <t>The Elite Contemporary TV Unit Model 702 offers a stunning modern design with high-end materials. Perfect for elevating your living space.</t>
        </is>
      </c>
      <c r="N18" s="38" t="inlineStr">
        <is>
          <t>Sleek Modern Aesthetic</t>
        </is>
      </c>
      <c r="O18" s="38" t="inlineStr">
        <is>
          <t>High-Durability Construction</t>
        </is>
      </c>
      <c r="P18" s="38" t="inlineStr">
        <is>
          <t>Easy Assembly with Storage</t>
        </is>
      </c>
      <c r="Q18" s="38" t="n"/>
      <c r="R18" s="38" t="n"/>
      <c r="S18" s="38" t="n">
        <v>1</v>
      </c>
      <c r="T18" s="38" t="n">
        <v>1</v>
      </c>
      <c r="U18" s="38" t="n">
        <v>1</v>
      </c>
      <c r="V18" s="38" t="n">
        <v>80</v>
      </c>
      <c r="W18" s="38" t="inlineStr">
        <is>
          <t>Small Parcel</t>
        </is>
      </c>
      <c r="X18" s="38" t="n"/>
      <c r="Y18" s="38" t="inlineStr">
        <is>
          <t>24</t>
        </is>
      </c>
      <c r="Z18" s="38" t="inlineStr">
        <is>
          <t>72</t>
        </is>
      </c>
      <c r="AA18" s="38" t="n"/>
      <c r="AB18" s="38" t="n"/>
      <c r="AC18" s="38" t="n"/>
      <c r="AD18" s="38" t="n">
        <v>88</v>
      </c>
      <c r="AE18" s="38" t="n">
        <v>26</v>
      </c>
      <c r="AF18" s="38" t="n">
        <v>67</v>
      </c>
      <c r="AG18" s="38" t="n">
        <v>18</v>
      </c>
      <c r="AH18" s="38" t="inlineStr">
        <is>
          <t>No</t>
        </is>
      </c>
      <c r="AI18" s="38" t="n"/>
      <c r="AJ18" s="38" t="n"/>
      <c r="AK18" s="38" t="inlineStr">
        <is>
          <t>United States</t>
        </is>
      </c>
      <c r="AL18" s="38" t="inlineStr">
        <is>
          <t>https://casadesignfurniture.com/wp-content/uploads/2023/12/Group-4-1.png</t>
        </is>
      </c>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inlineStr">
        <is>
          <t>TV Stand</t>
        </is>
      </c>
      <c r="BH18" s="38" t="inlineStr">
        <is>
          <t>No</t>
        </is>
      </c>
      <c r="BI18" s="38" t="inlineStr">
        <is>
          <t>Yes</t>
        </is>
      </c>
      <c r="BJ18" s="38" t="n">
        <v>2</v>
      </c>
      <c r="BK18" s="38" t="inlineStr">
        <is>
          <t>Yes</t>
        </is>
      </c>
      <c r="BL18" s="38" t="n"/>
      <c r="BM18" s="38" t="n"/>
      <c r="BN18" s="38" t="n"/>
      <c r="BO18" s="38" t="inlineStr">
        <is>
          <t>No</t>
        </is>
      </c>
      <c r="BP18" s="38" t="inlineStr">
        <is>
          <t>Cabinet/Enclosed storage</t>
        </is>
      </c>
      <c r="BQ18" s="38" t="inlineStr">
        <is>
          <t>Glass</t>
        </is>
      </c>
      <c r="BR18" s="38" t="n"/>
      <c r="BS18" s="38" t="inlineStr">
        <is>
          <t>No Natural Variation</t>
        </is>
      </c>
      <c r="BT18" s="38" t="n"/>
      <c r="BU18" s="38" t="n"/>
      <c r="BV18" s="38" t="n"/>
      <c r="BW18" s="38" t="n"/>
      <c r="BX18" s="38" t="n"/>
      <c r="BY18" s="38" t="n"/>
      <c r="BZ18" s="38" t="n"/>
      <c r="CA18" s="38" t="inlineStr">
        <is>
          <t>No</t>
        </is>
      </c>
      <c r="CB18" s="38" t="inlineStr">
        <is>
          <t>No</t>
        </is>
      </c>
      <c r="CC18" s="38" t="inlineStr">
        <is>
          <t>No</t>
        </is>
      </c>
      <c r="CD18" s="38" t="n"/>
      <c r="CE18" s="38" t="n"/>
      <c r="CF18" s="38" t="inlineStr">
        <is>
          <t>Residential Use</t>
        </is>
      </c>
      <c r="CG18" s="38" t="n"/>
      <c r="CH18" s="38" t="inlineStr">
        <is>
          <t>Does Not Apply</t>
        </is>
      </c>
      <c r="CI18" s="38" t="n"/>
      <c r="CJ18" s="38" t="n"/>
      <c r="CK18" s="38" t="inlineStr">
        <is>
          <t>No</t>
        </is>
      </c>
      <c r="CL18" s="38" t="inlineStr">
        <is>
          <t>Standard</t>
        </is>
      </c>
      <c r="CM18" s="38" t="inlineStr">
        <is>
          <t>Standard</t>
        </is>
      </c>
      <c r="CN18" s="38" t="inlineStr">
        <is>
          <t>1</t>
        </is>
      </c>
      <c r="CO18" s="38" t="inlineStr">
        <is>
          <t>Does Not Apply</t>
        </is>
      </c>
      <c r="CP18" s="38" t="inlineStr">
        <is>
          <t>Does Not Apply</t>
        </is>
      </c>
      <c r="CQ18" s="38" t="inlineStr">
        <is>
          <t>Does Not Apply</t>
        </is>
      </c>
      <c r="CR18" s="38" t="inlineStr">
        <is>
          <t>Does Not Apply</t>
        </is>
      </c>
      <c r="CS18" s="38" t="inlineStr">
        <is>
          <t>No</t>
        </is>
      </c>
      <c r="CT18" s="38" t="inlineStr">
        <is>
          <t>Does Not Apply</t>
        </is>
      </c>
      <c r="CU18" s="38" t="n">
        <v>150</v>
      </c>
      <c r="CV18" s="38" t="n"/>
      <c r="CW18" s="38" t="n"/>
      <c r="CX18" s="38" t="n"/>
      <c r="CY18" s="38" t="inlineStr">
        <is>
          <t>White</t>
        </is>
      </c>
      <c r="CZ18" s="38" t="n"/>
      <c r="DA18" s="38" t="inlineStr">
        <is>
          <t>Standard</t>
        </is>
      </c>
      <c r="DB18" s="38" t="inlineStr">
        <is>
          <t>Standard</t>
        </is>
      </c>
      <c r="DC18" s="38" t="n"/>
      <c r="DD18" s="38" t="n"/>
      <c r="DE18" s="38" t="n"/>
      <c r="DF18" s="38" t="inlineStr">
        <is>
          <t>1</t>
        </is>
      </c>
      <c r="DG18" s="38" t="n">
        <v>2</v>
      </c>
      <c r="DH18" s="38" t="n"/>
      <c r="DI18" s="38" t="n"/>
      <c r="DJ18" s="38" t="inlineStr">
        <is>
          <t>No</t>
        </is>
      </c>
      <c r="DK18" s="38" t="inlineStr">
        <is>
          <t>Yes</t>
        </is>
      </c>
      <c r="DL18" s="38" t="inlineStr">
        <is>
          <t>No</t>
        </is>
      </c>
      <c r="DM18" s="38" t="inlineStr">
        <is>
          <t>No</t>
        </is>
      </c>
      <c r="DN18" s="38" t="inlineStr">
        <is>
          <t>No</t>
        </is>
      </c>
      <c r="DO18" s="38" t="inlineStr">
        <is>
          <t>Yes</t>
        </is>
      </c>
      <c r="DP18" s="38" t="inlineStr">
        <is>
          <t>No</t>
        </is>
      </c>
      <c r="DQ18" s="38" t="inlineStr">
        <is>
          <t>None</t>
        </is>
      </c>
      <c r="DR18" s="38" t="n"/>
      <c r="DS18" s="38" t="n"/>
      <c r="DT18" s="38" t="n"/>
      <c r="DU18" s="38" t="n"/>
      <c r="DV18" s="38" t="n"/>
      <c r="DW18" s="38" t="n"/>
      <c r="DX18" s="38" t="inlineStr">
        <is>
          <t>No</t>
        </is>
      </c>
      <c r="DY18" s="38" t="inlineStr">
        <is>
          <t>TÜV Rheinland Certified</t>
        </is>
      </c>
      <c r="DZ18" s="38" t="inlineStr">
        <is>
          <t>Standard</t>
        </is>
      </c>
      <c r="EA18" s="38" t="inlineStr">
        <is>
          <t>Standard</t>
        </is>
      </c>
      <c r="EB18" s="38" t="n"/>
      <c r="EC18" s="38" t="n"/>
      <c r="ED18" s="38" t="n"/>
      <c r="EE18" s="38" t="n">
        <v>65</v>
      </c>
      <c r="EF18" s="38" t="n">
        <v>15</v>
      </c>
      <c r="EG18" s="38" t="n">
        <v>22</v>
      </c>
      <c r="EH18" s="38" t="n">
        <v>65</v>
      </c>
      <c r="EI18" s="38" t="n">
        <v>15</v>
      </c>
      <c r="EJ18" s="38" t="n">
        <v>80</v>
      </c>
      <c r="EK18" s="38" t="inlineStr">
        <is>
          <t>75"</t>
        </is>
      </c>
      <c r="EL18" s="38" t="n">
        <v>22</v>
      </c>
      <c r="EM18" s="38" t="inlineStr">
        <is>
          <t>Yes</t>
        </is>
      </c>
      <c r="EN18" s="38" t="inlineStr">
        <is>
          <t>No Assembly Needed</t>
        </is>
      </c>
      <c r="EO18" s="38" t="n"/>
      <c r="EP18" s="38" t="inlineStr">
        <is>
          <t>No</t>
        </is>
      </c>
      <c r="EQ18" s="38" t="inlineStr">
        <is>
          <t>Does Not Apply</t>
        </is>
      </c>
      <c r="ER18" s="38" t="n"/>
      <c r="ES18" s="38" t="n"/>
      <c r="ET18" s="38" t="n"/>
    </row>
    <row r="19">
      <c r="A19" s="37">
        <f>IF('6 - TV Stands &amp; Enterta'!B19 = "", "", IF('6 - TV Stands &amp; Enterta-WUO_ERR'!A19 = "", "Validated", HYPERLINK("#" &amp; ADDRESS(19, '6 - TV Stands &amp; Enterta-WUO_TRK'!A19),_xlfn.TEXTAFTER('6 - TV Stands &amp; Enterta-WUO_ERR'!A19, ":"))))</f>
        <v/>
      </c>
      <c r="B19" s="38" t="inlineStr">
        <is>
          <t>CASA-TV-ELT-6090</t>
        </is>
      </c>
      <c r="C19" s="38" t="n"/>
      <c r="D19" s="38" t="inlineStr">
        <is>
          <t>Casa Design Furniture</t>
        </is>
      </c>
      <c r="E19" s="38" t="inlineStr">
        <is>
          <t>CASA-TV-ELT-6090</t>
        </is>
      </c>
      <c r="F19" s="38" t="inlineStr">
        <is>
          <t>840134545460</t>
        </is>
      </c>
      <c r="G19" s="38" t="inlineStr">
        <is>
          <t>Elite Designer TV Console 1003</t>
        </is>
      </c>
      <c r="H19" s="38" t="n"/>
      <c r="I19" s="38" t="n"/>
      <c r="J19" s="38" t="n">
        <v>730</v>
      </c>
      <c r="K19" s="38" t="n"/>
      <c r="L19" s="38" t="n"/>
      <c r="M19" s="38" t="inlineStr">
        <is>
          <t>The Elite Contemporary TV Unit Model 703 offers a stunning modern design with high-end materials. Perfect for elevating your living space.</t>
        </is>
      </c>
      <c r="N19" s="38" t="inlineStr">
        <is>
          <t>Sleek Modern Aesthetic</t>
        </is>
      </c>
      <c r="O19" s="38" t="inlineStr">
        <is>
          <t>High-Durability Construction</t>
        </is>
      </c>
      <c r="P19" s="38" t="inlineStr">
        <is>
          <t>Easy Assembly with Storage</t>
        </is>
      </c>
      <c r="Q19" s="38" t="n"/>
      <c r="R19" s="38" t="n"/>
      <c r="S19" s="38" t="n">
        <v>1</v>
      </c>
      <c r="T19" s="38" t="n">
        <v>1</v>
      </c>
      <c r="U19" s="38" t="n">
        <v>1</v>
      </c>
      <c r="V19" s="38" t="n">
        <v>80</v>
      </c>
      <c r="W19" s="38" t="inlineStr">
        <is>
          <t>Small Parcel</t>
        </is>
      </c>
      <c r="X19" s="38" t="n"/>
      <c r="Y19" s="38" t="inlineStr">
        <is>
          <t>24</t>
        </is>
      </c>
      <c r="Z19" s="38" t="inlineStr">
        <is>
          <t>240</t>
        </is>
      </c>
      <c r="AA19" s="38" t="n"/>
      <c r="AB19" s="38" t="n"/>
      <c r="AC19" s="38" t="n"/>
      <c r="AD19" s="38" t="n">
        <v>92</v>
      </c>
      <c r="AE19" s="38" t="n">
        <v>26</v>
      </c>
      <c r="AF19" s="38" t="n">
        <v>70</v>
      </c>
      <c r="AG19" s="38" t="n">
        <v>20</v>
      </c>
      <c r="AH19" s="38" t="inlineStr">
        <is>
          <t>No</t>
        </is>
      </c>
      <c r="AI19" s="38" t="n"/>
      <c r="AJ19" s="38" t="n"/>
      <c r="AK19" s="38" t="inlineStr">
        <is>
          <t>United States</t>
        </is>
      </c>
      <c r="AL19" s="38" t="inlineStr">
        <is>
          <t>https://casadesignfurniture.com/wp-content/uploads/2023/12/Group-4-1.png</t>
        </is>
      </c>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inlineStr">
        <is>
          <t>TV Stand</t>
        </is>
      </c>
      <c r="BH19" s="38" t="inlineStr">
        <is>
          <t>No</t>
        </is>
      </c>
      <c r="BI19" s="38" t="inlineStr">
        <is>
          <t>Yes</t>
        </is>
      </c>
      <c r="BJ19" s="38" t="n">
        <v>2</v>
      </c>
      <c r="BK19" s="38" t="inlineStr">
        <is>
          <t>Yes</t>
        </is>
      </c>
      <c r="BL19" s="38" t="n"/>
      <c r="BM19" s="38" t="n"/>
      <c r="BN19" s="38" t="n"/>
      <c r="BO19" s="38" t="inlineStr">
        <is>
          <t>No</t>
        </is>
      </c>
      <c r="BP19" s="38" t="inlineStr">
        <is>
          <t>Cabinet/Enclosed storage</t>
        </is>
      </c>
      <c r="BQ19" s="38" t="inlineStr">
        <is>
          <t>Glass</t>
        </is>
      </c>
      <c r="BR19" s="38" t="n"/>
      <c r="BS19" s="38" t="inlineStr">
        <is>
          <t>No Natural Variation</t>
        </is>
      </c>
      <c r="BT19" s="38" t="n"/>
      <c r="BU19" s="38" t="n"/>
      <c r="BV19" s="38" t="n"/>
      <c r="BW19" s="38" t="n"/>
      <c r="BX19" s="38" t="n"/>
      <c r="BY19" s="38" t="n"/>
      <c r="BZ19" s="38" t="n"/>
      <c r="CA19" s="38" t="inlineStr">
        <is>
          <t>No</t>
        </is>
      </c>
      <c r="CB19" s="38" t="inlineStr">
        <is>
          <t>No</t>
        </is>
      </c>
      <c r="CC19" s="38" t="inlineStr">
        <is>
          <t>No</t>
        </is>
      </c>
      <c r="CD19" s="38" t="n"/>
      <c r="CE19" s="38" t="n"/>
      <c r="CF19" s="38" t="inlineStr">
        <is>
          <t>Residential Use</t>
        </is>
      </c>
      <c r="CG19" s="38" t="n"/>
      <c r="CH19" s="38" t="inlineStr">
        <is>
          <t>Does Not Apply</t>
        </is>
      </c>
      <c r="CI19" s="38" t="n"/>
      <c r="CJ19" s="38" t="n"/>
      <c r="CK19" s="38" t="inlineStr">
        <is>
          <t>No</t>
        </is>
      </c>
      <c r="CL19" s="38" t="inlineStr">
        <is>
          <t>Standard</t>
        </is>
      </c>
      <c r="CM19" s="38" t="inlineStr">
        <is>
          <t>Standard</t>
        </is>
      </c>
      <c r="CN19" s="38" t="inlineStr">
        <is>
          <t>1</t>
        </is>
      </c>
      <c r="CO19" s="38" t="inlineStr">
        <is>
          <t>Does Not Apply</t>
        </is>
      </c>
      <c r="CP19" s="38" t="inlineStr">
        <is>
          <t>Does Not Apply</t>
        </is>
      </c>
      <c r="CQ19" s="38" t="inlineStr">
        <is>
          <t>Does Not Apply</t>
        </is>
      </c>
      <c r="CR19" s="38" t="inlineStr">
        <is>
          <t>Does Not Apply</t>
        </is>
      </c>
      <c r="CS19" s="38" t="inlineStr">
        <is>
          <t>No</t>
        </is>
      </c>
      <c r="CT19" s="38" t="inlineStr">
        <is>
          <t>Does Not Apply</t>
        </is>
      </c>
      <c r="CU19" s="38" t="n">
        <v>150</v>
      </c>
      <c r="CV19" s="38" t="n"/>
      <c r="CW19" s="38" t="n"/>
      <c r="CX19" s="38" t="n"/>
      <c r="CY19" s="38" t="inlineStr">
        <is>
          <t>White</t>
        </is>
      </c>
      <c r="CZ19" s="38" t="n"/>
      <c r="DA19" s="38" t="inlineStr">
        <is>
          <t>Standard</t>
        </is>
      </c>
      <c r="DB19" s="38" t="inlineStr">
        <is>
          <t>Standard</t>
        </is>
      </c>
      <c r="DC19" s="38" t="n"/>
      <c r="DD19" s="38" t="n"/>
      <c r="DE19" s="38" t="n"/>
      <c r="DF19" s="38" t="inlineStr">
        <is>
          <t>1</t>
        </is>
      </c>
      <c r="DG19" s="38" t="n">
        <v>2</v>
      </c>
      <c r="DH19" s="38" t="n"/>
      <c r="DI19" s="38" t="n"/>
      <c r="DJ19" s="38" t="inlineStr">
        <is>
          <t>No</t>
        </is>
      </c>
      <c r="DK19" s="38" t="inlineStr">
        <is>
          <t>Yes</t>
        </is>
      </c>
      <c r="DL19" s="38" t="inlineStr">
        <is>
          <t>No</t>
        </is>
      </c>
      <c r="DM19" s="38" t="inlineStr">
        <is>
          <t>No</t>
        </is>
      </c>
      <c r="DN19" s="38" t="inlineStr">
        <is>
          <t>No</t>
        </is>
      </c>
      <c r="DO19" s="38" t="inlineStr">
        <is>
          <t>Yes</t>
        </is>
      </c>
      <c r="DP19" s="38" t="inlineStr">
        <is>
          <t>No</t>
        </is>
      </c>
      <c r="DQ19" s="38" t="inlineStr">
        <is>
          <t>None</t>
        </is>
      </c>
      <c r="DR19" s="38" t="n"/>
      <c r="DS19" s="38" t="n"/>
      <c r="DT19" s="38" t="n"/>
      <c r="DU19" s="38" t="n"/>
      <c r="DV19" s="38" t="n"/>
      <c r="DW19" s="38" t="n"/>
      <c r="DX19" s="38" t="inlineStr">
        <is>
          <t>No</t>
        </is>
      </c>
      <c r="DY19" s="38" t="inlineStr">
        <is>
          <t>TÜV Rheinland Certified</t>
        </is>
      </c>
      <c r="DZ19" s="38" t="inlineStr">
        <is>
          <t>Standard</t>
        </is>
      </c>
      <c r="EA19" s="38" t="inlineStr">
        <is>
          <t>Standard</t>
        </is>
      </c>
      <c r="EB19" s="38" t="n"/>
      <c r="EC19" s="38" t="n"/>
      <c r="ED19" s="38" t="n"/>
      <c r="EE19" s="38" t="n">
        <v>65</v>
      </c>
      <c r="EF19" s="38" t="n">
        <v>15</v>
      </c>
      <c r="EG19" s="38" t="n">
        <v>22</v>
      </c>
      <c r="EH19" s="38" t="n">
        <v>65</v>
      </c>
      <c r="EI19" s="38" t="n">
        <v>15</v>
      </c>
      <c r="EJ19" s="38" t="n">
        <v>80</v>
      </c>
      <c r="EK19" s="38" t="inlineStr">
        <is>
          <t>75"</t>
        </is>
      </c>
      <c r="EL19" s="38" t="n">
        <v>22</v>
      </c>
      <c r="EM19" s="38" t="inlineStr">
        <is>
          <t>Yes</t>
        </is>
      </c>
      <c r="EN19" s="38" t="inlineStr">
        <is>
          <t>No Assembly Needed</t>
        </is>
      </c>
      <c r="EO19" s="38" t="n"/>
      <c r="EP19" s="38" t="inlineStr">
        <is>
          <t>No</t>
        </is>
      </c>
      <c r="EQ19" s="38" t="inlineStr">
        <is>
          <t>Does Not Apply</t>
        </is>
      </c>
      <c r="ER19" s="38" t="n"/>
      <c r="ES19" s="38" t="n"/>
      <c r="ET19" s="38" t="n"/>
    </row>
    <row r="20">
      <c r="A20" s="37">
        <f>IF('6 - TV Stands &amp; Enterta'!B20 = "", "", IF('6 - TV Stands &amp; Enterta-WUO_ERR'!A20 = "", "Validated", HYPERLINK("#" &amp; ADDRESS(20, '6 - TV Stands &amp; Enterta-WUO_TRK'!A20),_xlfn.TEXTAFTER('6 - TV Stands &amp; Enterta-WUO_ERR'!A20, ":"))))</f>
        <v/>
      </c>
      <c r="B20" s="38" t="inlineStr">
        <is>
          <t>CASA-TV-ELT-3053</t>
        </is>
      </c>
      <c r="C20" s="38" t="n"/>
      <c r="D20" s="38" t="inlineStr">
        <is>
          <t>Casa Design Furniture</t>
        </is>
      </c>
      <c r="E20" s="38" t="inlineStr">
        <is>
          <t>CASA-TV-ELT-3053</t>
        </is>
      </c>
      <c r="F20" s="38" t="inlineStr">
        <is>
          <t>840134351548</t>
        </is>
      </c>
      <c r="G20" s="38" t="inlineStr">
        <is>
          <t>Elite Designer TV Console 1004</t>
        </is>
      </c>
      <c r="H20" s="38" t="n"/>
      <c r="I20" s="38" t="n"/>
      <c r="J20" s="38" t="n">
        <v>790</v>
      </c>
      <c r="K20" s="38" t="n"/>
      <c r="L20" s="38" t="n"/>
      <c r="M20" s="38" t="inlineStr">
        <is>
          <t>The Elite Contemporary TV Unit Model 704 offers a stunning modern design with high-end materials. Perfect for elevating your living space.</t>
        </is>
      </c>
      <c r="N20" s="38" t="inlineStr">
        <is>
          <t>Sleek Modern Aesthetic</t>
        </is>
      </c>
      <c r="O20" s="38" t="inlineStr">
        <is>
          <t>High-Durability Construction</t>
        </is>
      </c>
      <c r="P20" s="38" t="inlineStr">
        <is>
          <t>Easy Assembly with Storage</t>
        </is>
      </c>
      <c r="Q20" s="38" t="n"/>
      <c r="R20" s="38" t="n"/>
      <c r="S20" s="38" t="n">
        <v>1</v>
      </c>
      <c r="T20" s="38" t="n">
        <v>1</v>
      </c>
      <c r="U20" s="38" t="n">
        <v>1</v>
      </c>
      <c r="V20" s="38" t="n">
        <v>80</v>
      </c>
      <c r="W20" s="38" t="inlineStr">
        <is>
          <t>Small Parcel</t>
        </is>
      </c>
      <c r="X20" s="38" t="n"/>
      <c r="Y20" s="38" t="inlineStr">
        <is>
          <t>24</t>
        </is>
      </c>
      <c r="Z20" s="38" t="inlineStr">
        <is>
          <t>72</t>
        </is>
      </c>
      <c r="AA20" s="38" t="n"/>
      <c r="AB20" s="38" t="n"/>
      <c r="AC20" s="38" t="n"/>
      <c r="AD20" s="38" t="n">
        <v>91</v>
      </c>
      <c r="AE20" s="38" t="n">
        <v>24</v>
      </c>
      <c r="AF20" s="38" t="n">
        <v>67</v>
      </c>
      <c r="AG20" s="38" t="n">
        <v>21</v>
      </c>
      <c r="AH20" s="38" t="inlineStr">
        <is>
          <t>No</t>
        </is>
      </c>
      <c r="AI20" s="38" t="n"/>
      <c r="AJ20" s="38" t="n"/>
      <c r="AK20" s="38" t="inlineStr">
        <is>
          <t>United States</t>
        </is>
      </c>
      <c r="AL20" s="38" t="inlineStr">
        <is>
          <t>https://casadesignfurniture.com/wp-content/uploads/2023/12/Group-4-1.png</t>
        </is>
      </c>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inlineStr">
        <is>
          <t>TV Stand</t>
        </is>
      </c>
      <c r="BH20" s="38" t="inlineStr">
        <is>
          <t>No</t>
        </is>
      </c>
      <c r="BI20" s="38" t="inlineStr">
        <is>
          <t>Yes</t>
        </is>
      </c>
      <c r="BJ20" s="38" t="n">
        <v>2</v>
      </c>
      <c r="BK20" s="38" t="inlineStr">
        <is>
          <t>Yes</t>
        </is>
      </c>
      <c r="BL20" s="38" t="n"/>
      <c r="BM20" s="38" t="n"/>
      <c r="BN20" s="38" t="n"/>
      <c r="BO20" s="38" t="inlineStr">
        <is>
          <t>No</t>
        </is>
      </c>
      <c r="BP20" s="38" t="inlineStr">
        <is>
          <t>Cabinet/Enclosed storage</t>
        </is>
      </c>
      <c r="BQ20" s="38" t="inlineStr">
        <is>
          <t>Glass</t>
        </is>
      </c>
      <c r="BR20" s="38" t="n"/>
      <c r="BS20" s="38" t="inlineStr">
        <is>
          <t>No Natural Variation</t>
        </is>
      </c>
      <c r="BT20" s="38" t="n"/>
      <c r="BU20" s="38" t="n"/>
      <c r="BV20" s="38" t="n"/>
      <c r="BW20" s="38" t="n"/>
      <c r="BX20" s="38" t="n"/>
      <c r="BY20" s="38" t="n"/>
      <c r="BZ20" s="38" t="n"/>
      <c r="CA20" s="38" t="inlineStr">
        <is>
          <t>No</t>
        </is>
      </c>
      <c r="CB20" s="38" t="inlineStr">
        <is>
          <t>No</t>
        </is>
      </c>
      <c r="CC20" s="38" t="inlineStr">
        <is>
          <t>No</t>
        </is>
      </c>
      <c r="CD20" s="38" t="n"/>
      <c r="CE20" s="38" t="n"/>
      <c r="CF20" s="38" t="inlineStr">
        <is>
          <t>Residential Use</t>
        </is>
      </c>
      <c r="CG20" s="38" t="n"/>
      <c r="CH20" s="38" t="inlineStr">
        <is>
          <t>Does Not Apply</t>
        </is>
      </c>
      <c r="CI20" s="38" t="n"/>
      <c r="CJ20" s="38" t="n"/>
      <c r="CK20" s="38" t="inlineStr">
        <is>
          <t>No</t>
        </is>
      </c>
      <c r="CL20" s="38" t="inlineStr">
        <is>
          <t>Standard</t>
        </is>
      </c>
      <c r="CM20" s="38" t="inlineStr">
        <is>
          <t>Standard</t>
        </is>
      </c>
      <c r="CN20" s="38" t="inlineStr">
        <is>
          <t>1</t>
        </is>
      </c>
      <c r="CO20" s="38" t="inlineStr">
        <is>
          <t>Does Not Apply</t>
        </is>
      </c>
      <c r="CP20" s="38" t="inlineStr">
        <is>
          <t>Does Not Apply</t>
        </is>
      </c>
      <c r="CQ20" s="38" t="inlineStr">
        <is>
          <t>Does Not Apply</t>
        </is>
      </c>
      <c r="CR20" s="38" t="inlineStr">
        <is>
          <t>Does Not Apply</t>
        </is>
      </c>
      <c r="CS20" s="38" t="inlineStr">
        <is>
          <t>No</t>
        </is>
      </c>
      <c r="CT20" s="38" t="inlineStr">
        <is>
          <t>Does Not Apply</t>
        </is>
      </c>
      <c r="CU20" s="38" t="n">
        <v>150</v>
      </c>
      <c r="CV20" s="38" t="n"/>
      <c r="CW20" s="38" t="n"/>
      <c r="CX20" s="38" t="n"/>
      <c r="CY20" s="38" t="inlineStr">
        <is>
          <t>White</t>
        </is>
      </c>
      <c r="CZ20" s="38" t="n"/>
      <c r="DA20" s="38" t="inlineStr">
        <is>
          <t>Standard</t>
        </is>
      </c>
      <c r="DB20" s="38" t="inlineStr">
        <is>
          <t>Standard</t>
        </is>
      </c>
      <c r="DC20" s="38" t="n"/>
      <c r="DD20" s="38" t="n"/>
      <c r="DE20" s="38" t="n"/>
      <c r="DF20" s="38" t="inlineStr">
        <is>
          <t>1</t>
        </is>
      </c>
      <c r="DG20" s="38" t="n">
        <v>2</v>
      </c>
      <c r="DH20" s="38" t="n"/>
      <c r="DI20" s="38" t="n"/>
      <c r="DJ20" s="38" t="inlineStr">
        <is>
          <t>No</t>
        </is>
      </c>
      <c r="DK20" s="38" t="inlineStr">
        <is>
          <t>Yes</t>
        </is>
      </c>
      <c r="DL20" s="38" t="inlineStr">
        <is>
          <t>No</t>
        </is>
      </c>
      <c r="DM20" s="38" t="inlineStr">
        <is>
          <t>No</t>
        </is>
      </c>
      <c r="DN20" s="38" t="inlineStr">
        <is>
          <t>No</t>
        </is>
      </c>
      <c r="DO20" s="38" t="inlineStr">
        <is>
          <t>Yes</t>
        </is>
      </c>
      <c r="DP20" s="38" t="inlineStr">
        <is>
          <t>No</t>
        </is>
      </c>
      <c r="DQ20" s="38" t="inlineStr">
        <is>
          <t>None</t>
        </is>
      </c>
      <c r="DR20" s="38" t="n"/>
      <c r="DS20" s="38" t="n"/>
      <c r="DT20" s="38" t="n"/>
      <c r="DU20" s="38" t="n"/>
      <c r="DV20" s="38" t="n"/>
      <c r="DW20" s="38" t="n"/>
      <c r="DX20" s="38" t="inlineStr">
        <is>
          <t>No</t>
        </is>
      </c>
      <c r="DY20" s="38" t="inlineStr">
        <is>
          <t>TÜV Rheinland Certified</t>
        </is>
      </c>
      <c r="DZ20" s="38" t="inlineStr">
        <is>
          <t>Standard</t>
        </is>
      </c>
      <c r="EA20" s="38" t="inlineStr">
        <is>
          <t>Standard</t>
        </is>
      </c>
      <c r="EB20" s="38" t="n"/>
      <c r="EC20" s="38" t="n"/>
      <c r="ED20" s="38" t="n"/>
      <c r="EE20" s="38" t="n">
        <v>65</v>
      </c>
      <c r="EF20" s="38" t="n">
        <v>15</v>
      </c>
      <c r="EG20" s="38" t="n">
        <v>22</v>
      </c>
      <c r="EH20" s="38" t="n">
        <v>65</v>
      </c>
      <c r="EI20" s="38" t="n">
        <v>15</v>
      </c>
      <c r="EJ20" s="38" t="n">
        <v>80</v>
      </c>
      <c r="EK20" s="38" t="inlineStr">
        <is>
          <t>75"</t>
        </is>
      </c>
      <c r="EL20" s="38" t="n">
        <v>22</v>
      </c>
      <c r="EM20" s="38" t="inlineStr">
        <is>
          <t>Yes</t>
        </is>
      </c>
      <c r="EN20" s="38" t="inlineStr">
        <is>
          <t>No Assembly Needed</t>
        </is>
      </c>
      <c r="EO20" s="38" t="n"/>
      <c r="EP20" s="38" t="inlineStr">
        <is>
          <t>No</t>
        </is>
      </c>
      <c r="EQ20" s="38" t="inlineStr">
        <is>
          <t>Does Not Apply</t>
        </is>
      </c>
      <c r="ER20" s="38" t="n"/>
      <c r="ES20" s="38" t="n"/>
      <c r="ET20" s="38" t="n"/>
    </row>
    <row r="21">
      <c r="A21" s="37">
        <f>IF('6 - TV Stands &amp; Enterta'!B21 = "", "", IF('6 - TV Stands &amp; Enterta-WUO_ERR'!A21 = "", "Validated", HYPERLINK("#" &amp; ADDRESS(21, '6 - TV Stands &amp; Enterta-WUO_TRK'!A21),_xlfn.TEXTAFTER('6 - TV Stands &amp; Enterta-WUO_ERR'!A21, ":"))))</f>
        <v/>
      </c>
      <c r="B21" s="38" t="inlineStr">
        <is>
          <t>CASA-TV-ELT-8377</t>
        </is>
      </c>
      <c r="C21" s="38" t="n"/>
      <c r="D21" s="38" t="inlineStr">
        <is>
          <t>Casa Design Furniture</t>
        </is>
      </c>
      <c r="E21" s="38" t="inlineStr">
        <is>
          <t>CASA-TV-ELT-8377</t>
        </is>
      </c>
      <c r="F21" s="38" t="inlineStr">
        <is>
          <t>840134463055</t>
        </is>
      </c>
      <c r="G21" s="38" t="inlineStr">
        <is>
          <t>Elite Designer TV Console 1005</t>
        </is>
      </c>
      <c r="H21" s="38" t="n"/>
      <c r="I21" s="38" t="n"/>
      <c r="J21" s="38" t="n">
        <v>850</v>
      </c>
      <c r="K21" s="38" t="n"/>
      <c r="L21" s="38" t="n"/>
      <c r="M21" s="38" t="inlineStr">
        <is>
          <t>The Elite Contemporary TV Unit Model 705 offers a stunning modern design with high-end materials. Perfect for elevating your living space.</t>
        </is>
      </c>
      <c r="N21" s="38" t="inlineStr">
        <is>
          <t>Sleek Modern Aesthetic</t>
        </is>
      </c>
      <c r="O21" s="38" t="inlineStr">
        <is>
          <t>High-Durability Construction</t>
        </is>
      </c>
      <c r="P21" s="38" t="inlineStr">
        <is>
          <t>Easy Assembly with Storage</t>
        </is>
      </c>
      <c r="Q21" s="38" t="n"/>
      <c r="R21" s="38" t="n"/>
      <c r="S21" s="38" t="n">
        <v>1</v>
      </c>
      <c r="T21" s="38" t="n">
        <v>1</v>
      </c>
      <c r="U21" s="38" t="n">
        <v>1</v>
      </c>
      <c r="V21" s="38" t="n">
        <v>80</v>
      </c>
      <c r="W21" s="38" t="inlineStr">
        <is>
          <t>Small Parcel</t>
        </is>
      </c>
      <c r="X21" s="38" t="n"/>
      <c r="Y21" s="38" t="inlineStr">
        <is>
          <t>24</t>
        </is>
      </c>
      <c r="Z21" s="38" t="inlineStr">
        <is>
          <t>360</t>
        </is>
      </c>
      <c r="AA21" s="38" t="n"/>
      <c r="AB21" s="38" t="n"/>
      <c r="AC21" s="38" t="n"/>
      <c r="AD21" s="38" t="n">
        <v>88</v>
      </c>
      <c r="AE21" s="38" t="n">
        <v>24</v>
      </c>
      <c r="AF21" s="38" t="n">
        <v>68</v>
      </c>
      <c r="AG21" s="38" t="n">
        <v>17</v>
      </c>
      <c r="AH21" s="38" t="inlineStr">
        <is>
          <t>No</t>
        </is>
      </c>
      <c r="AI21" s="38" t="n"/>
      <c r="AJ21" s="38" t="n"/>
      <c r="AK21" s="38" t="inlineStr">
        <is>
          <t>United States</t>
        </is>
      </c>
      <c r="AL21" s="38" t="inlineStr">
        <is>
          <t>https://casadesignfurniture.com/wp-content/uploads/2023/12/Group-4-1.png</t>
        </is>
      </c>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inlineStr">
        <is>
          <t>TV Stand</t>
        </is>
      </c>
      <c r="BH21" s="38" t="inlineStr">
        <is>
          <t>No</t>
        </is>
      </c>
      <c r="BI21" s="38" t="inlineStr">
        <is>
          <t>Yes</t>
        </is>
      </c>
      <c r="BJ21" s="38" t="n">
        <v>2</v>
      </c>
      <c r="BK21" s="38" t="inlineStr">
        <is>
          <t>Yes</t>
        </is>
      </c>
      <c r="BL21" s="38" t="n"/>
      <c r="BM21" s="38" t="n"/>
      <c r="BN21" s="38" t="n"/>
      <c r="BO21" s="38" t="inlineStr">
        <is>
          <t>No</t>
        </is>
      </c>
      <c r="BP21" s="38" t="inlineStr">
        <is>
          <t>Cabinet/Enclosed storage</t>
        </is>
      </c>
      <c r="BQ21" s="38" t="inlineStr">
        <is>
          <t>Glass</t>
        </is>
      </c>
      <c r="BR21" s="38" t="n"/>
      <c r="BS21" s="38" t="inlineStr">
        <is>
          <t>No Natural Variation</t>
        </is>
      </c>
      <c r="BT21" s="38" t="n"/>
      <c r="BU21" s="38" t="n"/>
      <c r="BV21" s="38" t="n"/>
      <c r="BW21" s="38" t="n"/>
      <c r="BX21" s="38" t="n"/>
      <c r="BY21" s="38" t="n"/>
      <c r="BZ21" s="38" t="n"/>
      <c r="CA21" s="38" t="inlineStr">
        <is>
          <t>No</t>
        </is>
      </c>
      <c r="CB21" s="38" t="inlineStr">
        <is>
          <t>No</t>
        </is>
      </c>
      <c r="CC21" s="38" t="inlineStr">
        <is>
          <t>No</t>
        </is>
      </c>
      <c r="CD21" s="38" t="n"/>
      <c r="CE21" s="38" t="n"/>
      <c r="CF21" s="38" t="inlineStr">
        <is>
          <t>Residential Use</t>
        </is>
      </c>
      <c r="CG21" s="38" t="n"/>
      <c r="CH21" s="38" t="inlineStr">
        <is>
          <t>Does Not Apply</t>
        </is>
      </c>
      <c r="CI21" s="38" t="n"/>
      <c r="CJ21" s="38" t="n"/>
      <c r="CK21" s="38" t="inlineStr">
        <is>
          <t>No</t>
        </is>
      </c>
      <c r="CL21" s="38" t="inlineStr">
        <is>
          <t>Standard</t>
        </is>
      </c>
      <c r="CM21" s="38" t="inlineStr">
        <is>
          <t>Standard</t>
        </is>
      </c>
      <c r="CN21" s="38" t="inlineStr">
        <is>
          <t>1</t>
        </is>
      </c>
      <c r="CO21" s="38" t="inlineStr">
        <is>
          <t>Does Not Apply</t>
        </is>
      </c>
      <c r="CP21" s="38" t="inlineStr">
        <is>
          <t>Does Not Apply</t>
        </is>
      </c>
      <c r="CQ21" s="38" t="inlineStr">
        <is>
          <t>Does Not Apply</t>
        </is>
      </c>
      <c r="CR21" s="38" t="inlineStr">
        <is>
          <t>Does Not Apply</t>
        </is>
      </c>
      <c r="CS21" s="38" t="inlineStr">
        <is>
          <t>No</t>
        </is>
      </c>
      <c r="CT21" s="38" t="inlineStr">
        <is>
          <t>Does Not Apply</t>
        </is>
      </c>
      <c r="CU21" s="38" t="n">
        <v>150</v>
      </c>
      <c r="CV21" s="38" t="n"/>
      <c r="CW21" s="38" t="n"/>
      <c r="CX21" s="38" t="n"/>
      <c r="CY21" s="38" t="inlineStr">
        <is>
          <t>White</t>
        </is>
      </c>
      <c r="CZ21" s="38" t="n"/>
      <c r="DA21" s="38" t="inlineStr">
        <is>
          <t>Standard</t>
        </is>
      </c>
      <c r="DB21" s="38" t="inlineStr">
        <is>
          <t>Standard</t>
        </is>
      </c>
      <c r="DC21" s="38" t="n"/>
      <c r="DD21" s="38" t="n"/>
      <c r="DE21" s="38" t="n"/>
      <c r="DF21" s="38" t="inlineStr">
        <is>
          <t>1</t>
        </is>
      </c>
      <c r="DG21" s="38" t="n">
        <v>2</v>
      </c>
      <c r="DH21" s="38" t="n"/>
      <c r="DI21" s="38" t="n"/>
      <c r="DJ21" s="38" t="inlineStr">
        <is>
          <t>No</t>
        </is>
      </c>
      <c r="DK21" s="38" t="inlineStr">
        <is>
          <t>Yes</t>
        </is>
      </c>
      <c r="DL21" s="38" t="inlineStr">
        <is>
          <t>No</t>
        </is>
      </c>
      <c r="DM21" s="38" t="inlineStr">
        <is>
          <t>No</t>
        </is>
      </c>
      <c r="DN21" s="38" t="inlineStr">
        <is>
          <t>No</t>
        </is>
      </c>
      <c r="DO21" s="38" t="inlineStr">
        <is>
          <t>Yes</t>
        </is>
      </c>
      <c r="DP21" s="38" t="inlineStr">
        <is>
          <t>No</t>
        </is>
      </c>
      <c r="DQ21" s="38" t="inlineStr">
        <is>
          <t>None</t>
        </is>
      </c>
      <c r="DR21" s="38" t="n"/>
      <c r="DS21" s="38" t="n"/>
      <c r="DT21" s="38" t="n"/>
      <c r="DU21" s="38" t="n"/>
      <c r="DV21" s="38" t="n"/>
      <c r="DW21" s="38" t="n"/>
      <c r="DX21" s="38" t="inlineStr">
        <is>
          <t>No</t>
        </is>
      </c>
      <c r="DY21" s="38" t="inlineStr">
        <is>
          <t>TÜV Rheinland Certified</t>
        </is>
      </c>
      <c r="DZ21" s="38" t="inlineStr">
        <is>
          <t>Standard</t>
        </is>
      </c>
      <c r="EA21" s="38" t="inlineStr">
        <is>
          <t>Standard</t>
        </is>
      </c>
      <c r="EB21" s="38" t="n"/>
      <c r="EC21" s="38" t="n"/>
      <c r="ED21" s="38" t="n"/>
      <c r="EE21" s="38" t="n">
        <v>65</v>
      </c>
      <c r="EF21" s="38" t="n">
        <v>15</v>
      </c>
      <c r="EG21" s="38" t="n">
        <v>22</v>
      </c>
      <c r="EH21" s="38" t="n">
        <v>65</v>
      </c>
      <c r="EI21" s="38" t="n">
        <v>15</v>
      </c>
      <c r="EJ21" s="38" t="n">
        <v>80</v>
      </c>
      <c r="EK21" s="38" t="inlineStr">
        <is>
          <t>75"</t>
        </is>
      </c>
      <c r="EL21" s="38" t="n">
        <v>22</v>
      </c>
      <c r="EM21" s="38" t="inlineStr">
        <is>
          <t>Yes</t>
        </is>
      </c>
      <c r="EN21" s="38" t="inlineStr">
        <is>
          <t>No Assembly Needed</t>
        </is>
      </c>
      <c r="EO21" s="38" t="n"/>
      <c r="EP21" s="38" t="inlineStr">
        <is>
          <t>No</t>
        </is>
      </c>
      <c r="EQ21" s="38" t="inlineStr">
        <is>
          <t>Does Not Apply</t>
        </is>
      </c>
      <c r="ER21" s="38" t="n"/>
      <c r="ES21" s="38" t="n"/>
      <c r="ET21" s="38" t="n"/>
    </row>
    <row r="22">
      <c r="A22" s="37">
        <f>IF('6 - TV Stands &amp; Enterta'!B22 = "", "", IF('6 - TV Stands &amp; Enterta-WUO_ERR'!A22 = "", "Validated", HYPERLINK("#" &amp; ADDRESS(22, '6 - TV Stands &amp; Enterta-WUO_TRK'!A22),_xlfn.TEXTAFTER('6 - TV Stands &amp; Enterta-WUO_ERR'!A22, ":"))))</f>
        <v/>
      </c>
      <c r="B22" s="38" t="inlineStr">
        <is>
          <t>CASA-TV-ELT-4341</t>
        </is>
      </c>
      <c r="C22" s="38" t="n"/>
      <c r="D22" s="38" t="inlineStr">
        <is>
          <t>Casa Design Furniture</t>
        </is>
      </c>
      <c r="E22" s="38" t="inlineStr">
        <is>
          <t>CASA-TV-ELT-4341</t>
        </is>
      </c>
      <c r="F22" s="38" t="inlineStr">
        <is>
          <t>840134770357</t>
        </is>
      </c>
      <c r="G22" s="38" t="inlineStr">
        <is>
          <t>Elite Designer TV Console 1006</t>
        </is>
      </c>
      <c r="H22" s="38" t="n"/>
      <c r="I22" s="38" t="n"/>
      <c r="J22" s="38" t="n">
        <v>910</v>
      </c>
      <c r="K22" s="38" t="n"/>
      <c r="L22" s="38" t="n"/>
      <c r="M22" s="38" t="inlineStr">
        <is>
          <t>The Elite Contemporary TV Unit Model 706 offers a stunning modern design with high-end materials. Perfect for elevating your living space.</t>
        </is>
      </c>
      <c r="N22" s="38" t="inlineStr">
        <is>
          <t>Sleek Modern Aesthetic</t>
        </is>
      </c>
      <c r="O22" s="38" t="inlineStr">
        <is>
          <t>High-Durability Construction</t>
        </is>
      </c>
      <c r="P22" s="38" t="inlineStr">
        <is>
          <t>Easy Assembly with Storage</t>
        </is>
      </c>
      <c r="Q22" s="38" t="n"/>
      <c r="R22" s="38" t="n"/>
      <c r="S22" s="38" t="n">
        <v>1</v>
      </c>
      <c r="T22" s="38" t="n">
        <v>1</v>
      </c>
      <c r="U22" s="38" t="n">
        <v>1</v>
      </c>
      <c r="V22" s="38" t="n">
        <v>80</v>
      </c>
      <c r="W22" s="38" t="inlineStr">
        <is>
          <t>Small Parcel</t>
        </is>
      </c>
      <c r="X22" s="38" t="n"/>
      <c r="Y22" s="38" t="inlineStr">
        <is>
          <t>24</t>
        </is>
      </c>
      <c r="Z22" s="38" t="inlineStr">
        <is>
          <t>72</t>
        </is>
      </c>
      <c r="AA22" s="38" t="n"/>
      <c r="AB22" s="38" t="n"/>
      <c r="AC22" s="38" t="n"/>
      <c r="AD22" s="38" t="n">
        <v>88</v>
      </c>
      <c r="AE22" s="38" t="n">
        <v>27</v>
      </c>
      <c r="AF22" s="38" t="n">
        <v>70</v>
      </c>
      <c r="AG22" s="38" t="n">
        <v>19</v>
      </c>
      <c r="AH22" s="38" t="inlineStr">
        <is>
          <t>No</t>
        </is>
      </c>
      <c r="AI22" s="38" t="n"/>
      <c r="AJ22" s="38" t="n"/>
      <c r="AK22" s="38" t="inlineStr">
        <is>
          <t>United States</t>
        </is>
      </c>
      <c r="AL22" s="38" t="inlineStr">
        <is>
          <t>https://casadesignfurniture.com/wp-content/uploads/2023/12/Group-4-1.png</t>
        </is>
      </c>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inlineStr">
        <is>
          <t>TV Stand</t>
        </is>
      </c>
      <c r="BH22" s="38" t="inlineStr">
        <is>
          <t>No</t>
        </is>
      </c>
      <c r="BI22" s="38" t="inlineStr">
        <is>
          <t>Yes</t>
        </is>
      </c>
      <c r="BJ22" s="38" t="n">
        <v>2</v>
      </c>
      <c r="BK22" s="38" t="inlineStr">
        <is>
          <t>Yes</t>
        </is>
      </c>
      <c r="BL22" s="38" t="n"/>
      <c r="BM22" s="38" t="n"/>
      <c r="BN22" s="38" t="n"/>
      <c r="BO22" s="38" t="inlineStr">
        <is>
          <t>No</t>
        </is>
      </c>
      <c r="BP22" s="38" t="inlineStr">
        <is>
          <t>Cabinet/Enclosed storage</t>
        </is>
      </c>
      <c r="BQ22" s="38" t="inlineStr">
        <is>
          <t>Glass</t>
        </is>
      </c>
      <c r="BR22" s="38" t="n"/>
      <c r="BS22" s="38" t="inlineStr">
        <is>
          <t>No Natural Variation</t>
        </is>
      </c>
      <c r="BT22" s="38" t="n"/>
      <c r="BU22" s="38" t="n"/>
      <c r="BV22" s="38" t="n"/>
      <c r="BW22" s="38" t="n"/>
      <c r="BX22" s="38" t="n"/>
      <c r="BY22" s="38" t="n"/>
      <c r="BZ22" s="38" t="n"/>
      <c r="CA22" s="38" t="inlineStr">
        <is>
          <t>No</t>
        </is>
      </c>
      <c r="CB22" s="38" t="inlineStr">
        <is>
          <t>No</t>
        </is>
      </c>
      <c r="CC22" s="38" t="inlineStr">
        <is>
          <t>No</t>
        </is>
      </c>
      <c r="CD22" s="38" t="n"/>
      <c r="CE22" s="38" t="n"/>
      <c r="CF22" s="38" t="inlineStr">
        <is>
          <t>Residential Use</t>
        </is>
      </c>
      <c r="CG22" s="38" t="n"/>
      <c r="CH22" s="38" t="inlineStr">
        <is>
          <t>Does Not Apply</t>
        </is>
      </c>
      <c r="CI22" s="38" t="n"/>
      <c r="CJ22" s="38" t="n"/>
      <c r="CK22" s="38" t="inlineStr">
        <is>
          <t>No</t>
        </is>
      </c>
      <c r="CL22" s="38" t="inlineStr">
        <is>
          <t>Standard</t>
        </is>
      </c>
      <c r="CM22" s="38" t="inlineStr">
        <is>
          <t>Standard</t>
        </is>
      </c>
      <c r="CN22" s="38" t="inlineStr">
        <is>
          <t>1</t>
        </is>
      </c>
      <c r="CO22" s="38" t="inlineStr">
        <is>
          <t>Does Not Apply</t>
        </is>
      </c>
      <c r="CP22" s="38" t="inlineStr">
        <is>
          <t>Does Not Apply</t>
        </is>
      </c>
      <c r="CQ22" s="38" t="inlineStr">
        <is>
          <t>Does Not Apply</t>
        </is>
      </c>
      <c r="CR22" s="38" t="inlineStr">
        <is>
          <t>Does Not Apply</t>
        </is>
      </c>
      <c r="CS22" s="38" t="inlineStr">
        <is>
          <t>No</t>
        </is>
      </c>
      <c r="CT22" s="38" t="inlineStr">
        <is>
          <t>Does Not Apply</t>
        </is>
      </c>
      <c r="CU22" s="38" t="n">
        <v>150</v>
      </c>
      <c r="CV22" s="38" t="n"/>
      <c r="CW22" s="38" t="n"/>
      <c r="CX22" s="38" t="n"/>
      <c r="CY22" s="38" t="inlineStr">
        <is>
          <t>White</t>
        </is>
      </c>
      <c r="CZ22" s="38" t="n"/>
      <c r="DA22" s="38" t="inlineStr">
        <is>
          <t>Standard</t>
        </is>
      </c>
      <c r="DB22" s="38" t="inlineStr">
        <is>
          <t>Standard</t>
        </is>
      </c>
      <c r="DC22" s="38" t="n"/>
      <c r="DD22" s="38" t="n"/>
      <c r="DE22" s="38" t="n"/>
      <c r="DF22" s="38" t="inlineStr">
        <is>
          <t>1</t>
        </is>
      </c>
      <c r="DG22" s="38" t="n">
        <v>2</v>
      </c>
      <c r="DH22" s="38" t="n"/>
      <c r="DI22" s="38" t="n"/>
      <c r="DJ22" s="38" t="inlineStr">
        <is>
          <t>No</t>
        </is>
      </c>
      <c r="DK22" s="38" t="inlineStr">
        <is>
          <t>Yes</t>
        </is>
      </c>
      <c r="DL22" s="38" t="inlineStr">
        <is>
          <t>No</t>
        </is>
      </c>
      <c r="DM22" s="38" t="inlineStr">
        <is>
          <t>No</t>
        </is>
      </c>
      <c r="DN22" s="38" t="inlineStr">
        <is>
          <t>No</t>
        </is>
      </c>
      <c r="DO22" s="38" t="inlineStr">
        <is>
          <t>Yes</t>
        </is>
      </c>
      <c r="DP22" s="38" t="inlineStr">
        <is>
          <t>No</t>
        </is>
      </c>
      <c r="DQ22" s="38" t="inlineStr">
        <is>
          <t>None</t>
        </is>
      </c>
      <c r="DR22" s="38" t="n"/>
      <c r="DS22" s="38" t="n"/>
      <c r="DT22" s="38" t="n"/>
      <c r="DU22" s="38" t="n"/>
      <c r="DV22" s="38" t="n"/>
      <c r="DW22" s="38" t="n"/>
      <c r="DX22" s="38" t="inlineStr">
        <is>
          <t>No</t>
        </is>
      </c>
      <c r="DY22" s="38" t="inlineStr">
        <is>
          <t>TÜV Rheinland Certified</t>
        </is>
      </c>
      <c r="DZ22" s="38" t="inlineStr">
        <is>
          <t>Standard</t>
        </is>
      </c>
      <c r="EA22" s="38" t="inlineStr">
        <is>
          <t>Standard</t>
        </is>
      </c>
      <c r="EB22" s="38" t="n"/>
      <c r="EC22" s="38" t="n"/>
      <c r="ED22" s="38" t="n"/>
      <c r="EE22" s="38" t="n">
        <v>65</v>
      </c>
      <c r="EF22" s="38" t="n">
        <v>15</v>
      </c>
      <c r="EG22" s="38" t="n">
        <v>22</v>
      </c>
      <c r="EH22" s="38" t="n">
        <v>65</v>
      </c>
      <c r="EI22" s="38" t="n">
        <v>15</v>
      </c>
      <c r="EJ22" s="38" t="n">
        <v>80</v>
      </c>
      <c r="EK22" s="38" t="inlineStr">
        <is>
          <t>75"</t>
        </is>
      </c>
      <c r="EL22" s="38" t="n">
        <v>22</v>
      </c>
      <c r="EM22" s="38" t="inlineStr">
        <is>
          <t>Yes</t>
        </is>
      </c>
      <c r="EN22" s="38" t="inlineStr">
        <is>
          <t>No Assembly Needed</t>
        </is>
      </c>
      <c r="EO22" s="38" t="n"/>
      <c r="EP22" s="38" t="inlineStr">
        <is>
          <t>No</t>
        </is>
      </c>
      <c r="EQ22" s="38" t="inlineStr">
        <is>
          <t>Does Not Apply</t>
        </is>
      </c>
      <c r="ER22" s="38" t="n"/>
      <c r="ES22" s="38" t="n"/>
      <c r="ET22" s="38" t="n"/>
    </row>
  </sheetData>
  <sheetProtection selectLockedCells="0" selectUnlockedCells="0" sheet="1" objects="1" insertRows="1" insertHyperlinks="1" autoFilter="1" scenarios="1" formatColumns="0" deleteColumns="1" insertColumns="1" pivotTables="1" deleteRows="1" formatCells="1" formatRows="0" sort="1" password="E3BE"/>
  <mergeCells count="8">
    <mergeCell ref="M2:R2"/>
    <mergeCell ref="J2:L2"/>
    <mergeCell ref="S2:AC2"/>
    <mergeCell ref="B2:I2"/>
    <mergeCell ref="AH2:AK2"/>
    <mergeCell ref="BG2:ET2"/>
    <mergeCell ref="AL2:BF2"/>
    <mergeCell ref="AD2:AG2"/>
  </mergeCells>
  <conditionalFormatting sqref="A8:A22">
    <cfRule type="expression" priority="5" dxfId="4">
      <formula>A8="Validated"</formula>
    </cfRule>
    <cfRule type="expression" priority="6" dxfId="5">
      <formula>OR(COUNTIF('6 - TV Stands &amp; Enterta-WUO_TRK'!B8:EU8,"Error"),COUNTIF('6 - TV Stands &amp; Enterta-WUO_TRK'!B8:EU8,"Required"))</formula>
    </cfRule>
    <cfRule type="expression" priority="7" dxfId="6">
      <formula>COUNTIF('6 - TV Stands &amp; Enterta-WUO_TRK'!B8:EU8,"Warning")</formula>
    </cfRule>
  </conditionalFormatting>
  <conditionalFormatting sqref="AA7">
    <cfRule type="notContainsBlanks" priority="62" dxfId="7">
      <formula>LEN(TRIM(AA7))&gt;0</formula>
    </cfRule>
    <cfRule type="containsBlanks" priority="63" dxfId="8">
      <formula>LEN(TRIM(AA7))=0</formula>
    </cfRule>
  </conditionalFormatting>
  <conditionalFormatting sqref="AA8:AA2501">
    <cfRule type="expression" priority="64" dxfId="7">
      <formula>AND($AA$7&lt;&gt;"", AA8="")</formula>
    </cfRule>
  </conditionalFormatting>
  <conditionalFormatting sqref="AB7">
    <cfRule type="notContainsBlanks" priority="65" dxfId="7">
      <formula>LEN(TRIM(AB7))&gt;0</formula>
    </cfRule>
    <cfRule type="containsBlanks" priority="66" dxfId="8">
      <formula>LEN(TRIM(AB7))=0</formula>
    </cfRule>
  </conditionalFormatting>
  <conditionalFormatting sqref="AB8:AB2501">
    <cfRule type="expression" priority="67" dxfId="7">
      <formula>AND($AB$7&lt;&gt;"", AB8="")</formula>
    </cfRule>
  </conditionalFormatting>
  <conditionalFormatting sqref="AC7">
    <cfRule type="notContainsBlanks" priority="68" dxfId="7">
      <formula>LEN(TRIM(AC7))&gt;0</formula>
    </cfRule>
    <cfRule type="containsBlanks" priority="69" dxfId="8">
      <formula>LEN(TRIM(AC7))=0</formula>
    </cfRule>
  </conditionalFormatting>
  <conditionalFormatting sqref="AC8:AC2501">
    <cfRule type="expression" priority="70" dxfId="7">
      <formula>AND($AC$7&lt;&gt;"", AC8="")</formula>
    </cfRule>
  </conditionalFormatting>
  <conditionalFormatting sqref="AD7">
    <cfRule type="notContainsBlanks" priority="71" dxfId="7">
      <formula>LEN(TRIM(AD7))&gt;0</formula>
    </cfRule>
    <cfRule type="containsBlanks" priority="72" dxfId="8">
      <formula>LEN(TRIM(AD7))=0</formula>
    </cfRule>
  </conditionalFormatting>
  <conditionalFormatting sqref="AD8:AD2501">
    <cfRule type="expression" priority="73" dxfId="7">
      <formula>AND($AD$7&lt;&gt;"", AD8="")</formula>
    </cfRule>
  </conditionalFormatting>
  <conditionalFormatting sqref="AE7">
    <cfRule type="notContainsBlanks" priority="74" dxfId="7">
      <formula>LEN(TRIM(AE7))&gt;0</formula>
    </cfRule>
    <cfRule type="containsBlanks" priority="75" dxfId="8">
      <formula>LEN(TRIM(AE7))=0</formula>
    </cfRule>
  </conditionalFormatting>
  <conditionalFormatting sqref="AE8:AE2501">
    <cfRule type="expression" priority="76" dxfId="7">
      <formula>AND($AE$7&lt;&gt;"", AE8="")</formula>
    </cfRule>
  </conditionalFormatting>
  <conditionalFormatting sqref="AF7">
    <cfRule type="notContainsBlanks" priority="77" dxfId="7">
      <formula>LEN(TRIM(AF7))&gt;0</formula>
    </cfRule>
    <cfRule type="containsBlanks" priority="78" dxfId="8">
      <formula>LEN(TRIM(AF7))=0</formula>
    </cfRule>
  </conditionalFormatting>
  <conditionalFormatting sqref="AF8:AF2501">
    <cfRule type="expression" priority="79" dxfId="7">
      <formula>AND($AF$7&lt;&gt;"", AF8="")</formula>
    </cfRule>
  </conditionalFormatting>
  <conditionalFormatting sqref="AG7">
    <cfRule type="notContainsBlanks" priority="80" dxfId="7">
      <formula>LEN(TRIM(AG7))&gt;0</formula>
    </cfRule>
    <cfRule type="containsBlanks" priority="81" dxfId="8">
      <formula>LEN(TRIM(AG7))=0</formula>
    </cfRule>
  </conditionalFormatting>
  <conditionalFormatting sqref="AG8:AG2501">
    <cfRule type="expression" priority="82" dxfId="7">
      <formula>AND($AG$7&lt;&gt;"", AG8="")</formula>
    </cfRule>
  </conditionalFormatting>
  <conditionalFormatting sqref="AH7">
    <cfRule type="notContainsBlanks" priority="83" dxfId="7">
      <formula>LEN(TRIM(AH7))&gt;0</formula>
    </cfRule>
    <cfRule type="containsBlanks" priority="84" dxfId="8">
      <formula>LEN(TRIM(AH7))=0</formula>
    </cfRule>
  </conditionalFormatting>
  <conditionalFormatting sqref="AH8:AH2501">
    <cfRule type="expression" priority="85" dxfId="7">
      <formula>AND($AH$7&lt;&gt;"", AH8="")</formula>
    </cfRule>
  </conditionalFormatting>
  <conditionalFormatting sqref="AI7">
    <cfRule type="notContainsBlanks" priority="86" dxfId="7">
      <formula>LEN(TRIM(AI7))&gt;0</formula>
    </cfRule>
    <cfRule type="containsBlanks" priority="87" dxfId="8">
      <formula>LEN(TRIM(AI7))=0</formula>
    </cfRule>
  </conditionalFormatting>
  <conditionalFormatting sqref="AI8:AI2501">
    <cfRule type="expression" priority="88" dxfId="7">
      <formula>AND($AI$7&lt;&gt;"", AI8="")</formula>
    </cfRule>
  </conditionalFormatting>
  <conditionalFormatting sqref="AJ7">
    <cfRule type="notContainsBlanks" priority="89" dxfId="7">
      <formula>LEN(TRIM(AJ7))&gt;0</formula>
    </cfRule>
    <cfRule type="containsBlanks" priority="90" dxfId="8">
      <formula>LEN(TRIM(AJ7))=0</formula>
    </cfRule>
  </conditionalFormatting>
  <conditionalFormatting sqref="AJ8:AJ2501">
    <cfRule type="expression" priority="91" dxfId="7">
      <formula>AND($AJ$7&lt;&gt;"", AJ8="")</formula>
    </cfRule>
  </conditionalFormatting>
  <conditionalFormatting sqref="AK7">
    <cfRule type="notContainsBlanks" priority="92" dxfId="7">
      <formula>LEN(TRIM(AK7))&gt;0</formula>
    </cfRule>
    <cfRule type="containsBlanks" priority="93" dxfId="8">
      <formula>LEN(TRIM(AK7))=0</formula>
    </cfRule>
  </conditionalFormatting>
  <conditionalFormatting sqref="AK8:AK2501">
    <cfRule type="expression" priority="94" dxfId="7">
      <formula>AND($AK$7&lt;&gt;"", AK8="")</formula>
    </cfRule>
  </conditionalFormatting>
  <conditionalFormatting sqref="AR7">
    <cfRule type="notContainsBlanks" priority="95" dxfId="7">
      <formula>LEN(TRIM(AR7))&gt;0</formula>
    </cfRule>
    <cfRule type="containsBlanks" priority="96" dxfId="8">
      <formula>LEN(TRIM(AR7))=0</formula>
    </cfRule>
  </conditionalFormatting>
  <conditionalFormatting sqref="AR8:AR2501">
    <cfRule type="expression" priority="97" dxfId="7">
      <formula>AND($AR$7&lt;&gt;"", AR8="")</formula>
    </cfRule>
  </conditionalFormatting>
  <conditionalFormatting sqref="AS7">
    <cfRule type="notContainsBlanks" priority="98" dxfId="7">
      <formula>LEN(TRIM(AS7))&gt;0</formula>
    </cfRule>
    <cfRule type="containsBlanks" priority="99" dxfId="8">
      <formula>LEN(TRIM(AS7))=0</formula>
    </cfRule>
  </conditionalFormatting>
  <conditionalFormatting sqref="AS8:AS2501">
    <cfRule type="expression" priority="100" dxfId="7">
      <formula>AND($AS$7&lt;&gt;"", AS8="")</formula>
    </cfRule>
  </conditionalFormatting>
  <conditionalFormatting sqref="AT7">
    <cfRule type="notContainsBlanks" priority="101" dxfId="7">
      <formula>LEN(TRIM(AT7))&gt;0</formula>
    </cfRule>
    <cfRule type="containsBlanks" priority="102" dxfId="8">
      <formula>LEN(TRIM(AT7))=0</formula>
    </cfRule>
  </conditionalFormatting>
  <conditionalFormatting sqref="AT8:AT2501">
    <cfRule type="expression" priority="103" dxfId="7">
      <formula>AND($AT$7&lt;&gt;"", AT8="")</formula>
    </cfRule>
  </conditionalFormatting>
  <conditionalFormatting sqref="AU7">
    <cfRule type="notContainsBlanks" priority="104" dxfId="7">
      <formula>LEN(TRIM(AU7))&gt;0</formula>
    </cfRule>
    <cfRule type="containsBlanks" priority="105" dxfId="8">
      <formula>LEN(TRIM(AU7))=0</formula>
    </cfRule>
  </conditionalFormatting>
  <conditionalFormatting sqref="AU8:AU2501">
    <cfRule type="expression" priority="106" dxfId="7">
      <formula>AND($AU$7&lt;&gt;"", AU8="")</formula>
    </cfRule>
  </conditionalFormatting>
  <conditionalFormatting sqref="AV7">
    <cfRule type="notContainsBlanks" priority="107" dxfId="7">
      <formula>LEN(TRIM(AV7))&gt;0</formula>
    </cfRule>
    <cfRule type="containsBlanks" priority="108" dxfId="8">
      <formula>LEN(TRIM(AV7))=0</formula>
    </cfRule>
  </conditionalFormatting>
  <conditionalFormatting sqref="AV8:AV2501">
    <cfRule type="expression" priority="109" dxfId="7">
      <formula>AND($AV$7&lt;&gt;"", AV8="")</formula>
    </cfRule>
  </conditionalFormatting>
  <conditionalFormatting sqref="AW7">
    <cfRule type="notContainsBlanks" priority="110" dxfId="7">
      <formula>LEN(TRIM(AW7))&gt;0</formula>
    </cfRule>
    <cfRule type="containsBlanks" priority="111" dxfId="8">
      <formula>LEN(TRIM(AW7))=0</formula>
    </cfRule>
  </conditionalFormatting>
  <conditionalFormatting sqref="AW8:AW2501">
    <cfRule type="expression" priority="112" dxfId="7">
      <formula>AND($AW$7&lt;&gt;"", AW8="")</formula>
    </cfRule>
  </conditionalFormatting>
  <conditionalFormatting sqref="AX7">
    <cfRule type="notContainsBlanks" priority="113" dxfId="7">
      <formula>LEN(TRIM(AX7))&gt;0</formula>
    </cfRule>
    <cfRule type="containsBlanks" priority="114" dxfId="8">
      <formula>LEN(TRIM(AX7))=0</formula>
    </cfRule>
  </conditionalFormatting>
  <conditionalFormatting sqref="AX8:AX2501">
    <cfRule type="expression" priority="115" dxfId="7">
      <formula>AND($AX$7&lt;&gt;"", AX8="")</formula>
    </cfRule>
  </conditionalFormatting>
  <conditionalFormatting sqref="AY7">
    <cfRule type="notContainsBlanks" priority="116" dxfId="7">
      <formula>LEN(TRIM(AY7))&gt;0</formula>
    </cfRule>
    <cfRule type="containsBlanks" priority="117" dxfId="8">
      <formula>LEN(TRIM(AY7))=0</formula>
    </cfRule>
  </conditionalFormatting>
  <conditionalFormatting sqref="AY8:AY2501">
    <cfRule type="expression" priority="118" dxfId="7">
      <formula>AND($AY$7&lt;&gt;"", AY8="")</formula>
    </cfRule>
  </conditionalFormatting>
  <conditionalFormatting sqref="AZ7">
    <cfRule type="notContainsBlanks" priority="119" dxfId="7">
      <formula>LEN(TRIM(AZ7))&gt;0</formula>
    </cfRule>
    <cfRule type="containsBlanks" priority="120" dxfId="8">
      <formula>LEN(TRIM(AZ7))=0</formula>
    </cfRule>
  </conditionalFormatting>
  <conditionalFormatting sqref="AZ8:AZ2501">
    <cfRule type="expression" priority="121" dxfId="7">
      <formula>AND($AZ$7&lt;&gt;"", AZ8="")</formula>
    </cfRule>
  </conditionalFormatting>
  <conditionalFormatting sqref="B8:EU22">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122" dxfId="7">
      <formula>LEN(TRIM(BA7))&gt;0</formula>
    </cfRule>
    <cfRule type="containsBlanks" priority="123" dxfId="8">
      <formula>LEN(TRIM(BA7))=0</formula>
    </cfRule>
  </conditionalFormatting>
  <conditionalFormatting sqref="BA8:BA2501">
    <cfRule type="expression" priority="124" dxfId="7">
      <formula>AND($BA$7&lt;&gt;"", BA8="")</formula>
    </cfRule>
  </conditionalFormatting>
  <conditionalFormatting sqref="BB7">
    <cfRule type="notContainsBlanks" priority="125" dxfId="7">
      <formula>LEN(TRIM(BB7))&gt;0</formula>
    </cfRule>
    <cfRule type="containsBlanks" priority="126" dxfId="8">
      <formula>LEN(TRIM(BB7))=0</formula>
    </cfRule>
  </conditionalFormatting>
  <conditionalFormatting sqref="BB8:BB2501">
    <cfRule type="expression" priority="127" dxfId="7">
      <formula>AND($BB$7&lt;&gt;"", BB8="")</formula>
    </cfRule>
  </conditionalFormatting>
  <conditionalFormatting sqref="BC7">
    <cfRule type="notContainsBlanks" priority="128" dxfId="7">
      <formula>LEN(TRIM(BC7))&gt;0</formula>
    </cfRule>
    <cfRule type="containsBlanks" priority="129" dxfId="8">
      <formula>LEN(TRIM(BC7))=0</formula>
    </cfRule>
  </conditionalFormatting>
  <conditionalFormatting sqref="BC8:BC2501">
    <cfRule type="expression" priority="130" dxfId="7">
      <formula>AND($BC$7&lt;&gt;"", BC8="")</formula>
    </cfRule>
  </conditionalFormatting>
  <conditionalFormatting sqref="BD7">
    <cfRule type="notContainsBlanks" priority="131" dxfId="7">
      <formula>LEN(TRIM(BD7))&gt;0</formula>
    </cfRule>
    <cfRule type="containsBlanks" priority="132" dxfId="8">
      <formula>LEN(TRIM(BD7))=0</formula>
    </cfRule>
  </conditionalFormatting>
  <conditionalFormatting sqref="BD8:BD2501">
    <cfRule type="expression" priority="133" dxfId="7">
      <formula>AND($BD$7&lt;&gt;"", BD8="")</formula>
    </cfRule>
  </conditionalFormatting>
  <conditionalFormatting sqref="BE7">
    <cfRule type="notContainsBlanks" priority="134" dxfId="7">
      <formula>LEN(TRIM(BE7))&gt;0</formula>
    </cfRule>
    <cfRule type="containsBlanks" priority="135" dxfId="8">
      <formula>LEN(TRIM(BE7))=0</formula>
    </cfRule>
  </conditionalFormatting>
  <conditionalFormatting sqref="BE8:BE2501">
    <cfRule type="expression" priority="136" dxfId="7">
      <formula>AND($BE$7&lt;&gt;"", BE8="")</formula>
    </cfRule>
  </conditionalFormatting>
  <conditionalFormatting sqref="BF7">
    <cfRule type="notContainsBlanks" priority="137" dxfId="7">
      <formula>LEN(TRIM(BF7))&gt;0</formula>
    </cfRule>
    <cfRule type="containsBlanks" priority="138" dxfId="8">
      <formula>LEN(TRIM(BF7))=0</formula>
    </cfRule>
  </conditionalFormatting>
  <conditionalFormatting sqref="BF8:BF2501">
    <cfRule type="expression" priority="139" dxfId="7">
      <formula>AND($BF$7&lt;&gt;"", BF8="")</formula>
    </cfRule>
  </conditionalFormatting>
  <conditionalFormatting sqref="BG7">
    <cfRule type="notContainsBlanks" priority="140" dxfId="7">
      <formula>LEN(TRIM(BG7))&gt;0</formula>
    </cfRule>
    <cfRule type="containsBlanks" priority="141" dxfId="8">
      <formula>LEN(TRIM(BG7))=0</formula>
    </cfRule>
  </conditionalFormatting>
  <conditionalFormatting sqref="BG8:BG2501">
    <cfRule type="expression" priority="142" dxfId="7">
      <formula>AND($BG$7&lt;&gt;"", BG8="")</formula>
    </cfRule>
  </conditionalFormatting>
  <conditionalFormatting sqref="BH7">
    <cfRule type="notContainsBlanks" priority="143" dxfId="7">
      <formula>LEN(TRIM(BH7))&gt;0</formula>
    </cfRule>
    <cfRule type="containsBlanks" priority="144" dxfId="8">
      <formula>LEN(TRIM(BH7))=0</formula>
    </cfRule>
  </conditionalFormatting>
  <conditionalFormatting sqref="BH8:BH2501">
    <cfRule type="expression" priority="145" dxfId="7">
      <formula>AND($BH$7&lt;&gt;"", BH8="")</formula>
    </cfRule>
  </conditionalFormatting>
  <conditionalFormatting sqref="BI7">
    <cfRule type="notContainsBlanks" priority="146" dxfId="7">
      <formula>LEN(TRIM(BI7))&gt;0</formula>
    </cfRule>
    <cfRule type="containsBlanks" priority="147" dxfId="8">
      <formula>LEN(TRIM(BI7))=0</formula>
    </cfRule>
  </conditionalFormatting>
  <conditionalFormatting sqref="BI8:BI2501">
    <cfRule type="expression" priority="148" dxfId="7">
      <formula>AND($BI$7&lt;&gt;"", BI8="")</formula>
    </cfRule>
  </conditionalFormatting>
  <conditionalFormatting sqref="BJ7">
    <cfRule type="notContainsBlanks" priority="149" dxfId="7">
      <formula>LEN(TRIM(BJ7))&gt;0</formula>
    </cfRule>
    <cfRule type="containsBlanks" priority="150" dxfId="8">
      <formula>LEN(TRIM(BJ7))=0</formula>
    </cfRule>
  </conditionalFormatting>
  <conditionalFormatting sqref="BJ8:BJ2501">
    <cfRule type="expression" priority="151" dxfId="7">
      <formula>AND($BJ$7&lt;&gt;"", BJ8="")</formula>
    </cfRule>
  </conditionalFormatting>
  <conditionalFormatting sqref="BK7">
    <cfRule type="notContainsBlanks" priority="152" dxfId="7">
      <formula>LEN(TRIM(BK7))&gt;0</formula>
    </cfRule>
    <cfRule type="containsBlanks" priority="153" dxfId="8">
      <formula>LEN(TRIM(BK7))=0</formula>
    </cfRule>
  </conditionalFormatting>
  <conditionalFormatting sqref="BK8:BK2501">
    <cfRule type="expression" priority="154" dxfId="7">
      <formula>AND($BK$7&lt;&gt;"", BK8="")</formula>
    </cfRule>
  </conditionalFormatting>
  <conditionalFormatting sqref="BL7">
    <cfRule type="notContainsBlanks" priority="155" dxfId="7">
      <formula>LEN(TRIM(BL7))&gt;0</formula>
    </cfRule>
    <cfRule type="containsBlanks" priority="156" dxfId="8">
      <formula>LEN(TRIM(BL7))=0</formula>
    </cfRule>
  </conditionalFormatting>
  <conditionalFormatting sqref="BL8:BL2501">
    <cfRule type="expression" priority="157" dxfId="7">
      <formula>AND($BL$7&lt;&gt;"", BL8="")</formula>
    </cfRule>
  </conditionalFormatting>
  <conditionalFormatting sqref="BM7">
    <cfRule type="notContainsBlanks" priority="158" dxfId="7">
      <formula>LEN(TRIM(BM7))&gt;0</formula>
    </cfRule>
    <cfRule type="containsBlanks" priority="159" dxfId="8">
      <formula>LEN(TRIM(BM7))=0</formula>
    </cfRule>
  </conditionalFormatting>
  <conditionalFormatting sqref="BM8:BM2501">
    <cfRule type="expression" priority="160" dxfId="7">
      <formula>AND($BM$7&lt;&gt;"", BM8="")</formula>
    </cfRule>
  </conditionalFormatting>
  <conditionalFormatting sqref="BN7">
    <cfRule type="notContainsBlanks" priority="161" dxfId="7">
      <formula>LEN(TRIM(BN7))&gt;0</formula>
    </cfRule>
    <cfRule type="containsBlanks" priority="162" dxfId="8">
      <formula>LEN(TRIM(BN7))=0</formula>
    </cfRule>
  </conditionalFormatting>
  <conditionalFormatting sqref="BN8:BN2501">
    <cfRule type="expression" priority="163" dxfId="7">
      <formula>AND($BN$7&lt;&gt;"", BN8="")</formula>
    </cfRule>
  </conditionalFormatting>
  <conditionalFormatting sqref="BO7">
    <cfRule type="notContainsBlanks" priority="164" dxfId="7">
      <formula>LEN(TRIM(BO7))&gt;0</formula>
    </cfRule>
    <cfRule type="containsBlanks" priority="165" dxfId="8">
      <formula>LEN(TRIM(BO7))=0</formula>
    </cfRule>
  </conditionalFormatting>
  <conditionalFormatting sqref="BO8:BO2501">
    <cfRule type="expression" priority="166" dxfId="7">
      <formula>AND($BO$7&lt;&gt;"", BO8="")</formula>
    </cfRule>
  </conditionalFormatting>
  <conditionalFormatting sqref="BP7">
    <cfRule type="notContainsBlanks" priority="167" dxfId="7">
      <formula>LEN(TRIM(BP7))&gt;0</formula>
    </cfRule>
    <cfRule type="containsBlanks" priority="168" dxfId="8">
      <formula>LEN(TRIM(BP7))=0</formula>
    </cfRule>
  </conditionalFormatting>
  <conditionalFormatting sqref="BP8:BP2501">
    <cfRule type="expression" priority="169" dxfId="7">
      <formula>AND($BP$7&lt;&gt;"", BP8="")</formula>
    </cfRule>
  </conditionalFormatting>
  <conditionalFormatting sqref="BQ7">
    <cfRule type="notContainsBlanks" priority="170" dxfId="7">
      <formula>LEN(TRIM(BQ7))&gt;0</formula>
    </cfRule>
    <cfRule type="containsBlanks" priority="171" dxfId="8">
      <formula>LEN(TRIM(BQ7))=0</formula>
    </cfRule>
  </conditionalFormatting>
  <conditionalFormatting sqref="BQ8:BQ2501">
    <cfRule type="expression" priority="172" dxfId="7">
      <formula>AND($BQ$7&lt;&gt;"", BQ8="")</formula>
    </cfRule>
  </conditionalFormatting>
  <conditionalFormatting sqref="BR7">
    <cfRule type="notContainsBlanks" priority="173" dxfId="7">
      <formula>LEN(TRIM(BR7))&gt;0</formula>
    </cfRule>
    <cfRule type="containsBlanks" priority="174" dxfId="8">
      <formula>LEN(TRIM(BR7))=0</formula>
    </cfRule>
  </conditionalFormatting>
  <conditionalFormatting sqref="BR8:BR2501">
    <cfRule type="expression" priority="175" dxfId="7">
      <formula>AND($BR$7&lt;&gt;"", BR8="")</formula>
    </cfRule>
  </conditionalFormatting>
  <conditionalFormatting sqref="BS7">
    <cfRule type="notContainsBlanks" priority="176" dxfId="7">
      <formula>LEN(TRIM(BS7))&gt;0</formula>
    </cfRule>
    <cfRule type="containsBlanks" priority="177" dxfId="8">
      <formula>LEN(TRIM(BS7))=0</formula>
    </cfRule>
  </conditionalFormatting>
  <conditionalFormatting sqref="BS8:BS2501">
    <cfRule type="expression" priority="178" dxfId="7">
      <formula>AND($BS$7&lt;&gt;"", BS8="")</formula>
    </cfRule>
  </conditionalFormatting>
  <conditionalFormatting sqref="BT7">
    <cfRule type="notContainsBlanks" priority="179" dxfId="7">
      <formula>LEN(TRIM(BT7))&gt;0</formula>
    </cfRule>
    <cfRule type="containsBlanks" priority="180" dxfId="8">
      <formula>LEN(TRIM(BT7))=0</formula>
    </cfRule>
  </conditionalFormatting>
  <conditionalFormatting sqref="BT8:BT2501">
    <cfRule type="expression" priority="181" dxfId="7">
      <formula>AND($BT$7&lt;&gt;"", BT8="")</formula>
    </cfRule>
  </conditionalFormatting>
  <conditionalFormatting sqref="BU7">
    <cfRule type="notContainsBlanks" priority="182" dxfId="7">
      <formula>LEN(TRIM(BU7))&gt;0</formula>
    </cfRule>
    <cfRule type="containsBlanks" priority="183" dxfId="8">
      <formula>LEN(TRIM(BU7))=0</formula>
    </cfRule>
  </conditionalFormatting>
  <conditionalFormatting sqref="BU8:BU2501">
    <cfRule type="expression" priority="184" dxfId="7">
      <formula>AND($BU$7&lt;&gt;"", BU8="")</formula>
    </cfRule>
  </conditionalFormatting>
  <conditionalFormatting sqref="BV7">
    <cfRule type="notContainsBlanks" priority="185" dxfId="7">
      <formula>LEN(TRIM(BV7))&gt;0</formula>
    </cfRule>
    <cfRule type="containsBlanks" priority="186" dxfId="8">
      <formula>LEN(TRIM(BV7))=0</formula>
    </cfRule>
  </conditionalFormatting>
  <conditionalFormatting sqref="BV8:BV2501">
    <cfRule type="expression" priority="187" dxfId="7">
      <formula>AND($BV$7&lt;&gt;"", BV8="")</formula>
    </cfRule>
  </conditionalFormatting>
  <conditionalFormatting sqref="BW7">
    <cfRule type="notContainsBlanks" priority="188" dxfId="7">
      <formula>LEN(TRIM(BW7))&gt;0</formula>
    </cfRule>
    <cfRule type="containsBlanks" priority="189" dxfId="8">
      <formula>LEN(TRIM(BW7))=0</formula>
    </cfRule>
  </conditionalFormatting>
  <conditionalFormatting sqref="BW8:BW2501">
    <cfRule type="expression" priority="190" dxfId="7">
      <formula>AND($BW$7&lt;&gt;"", BW8="")</formula>
    </cfRule>
  </conditionalFormatting>
  <conditionalFormatting sqref="BX7">
    <cfRule type="notContainsBlanks" priority="191" dxfId="7">
      <formula>LEN(TRIM(BX7))&gt;0</formula>
    </cfRule>
    <cfRule type="containsBlanks" priority="192" dxfId="8">
      <formula>LEN(TRIM(BX7))=0</formula>
    </cfRule>
  </conditionalFormatting>
  <conditionalFormatting sqref="BX8:BX2501">
    <cfRule type="expression" priority="193" dxfId="7">
      <formula>AND($BX$7&lt;&gt;"", BX8="")</formula>
    </cfRule>
  </conditionalFormatting>
  <conditionalFormatting sqref="BY7">
    <cfRule type="notContainsBlanks" priority="194" dxfId="7">
      <formula>LEN(TRIM(BY7))&gt;0</formula>
    </cfRule>
    <cfRule type="containsBlanks" priority="195" dxfId="8">
      <formula>LEN(TRIM(BY7))=0</formula>
    </cfRule>
  </conditionalFormatting>
  <conditionalFormatting sqref="BY8:BY2501">
    <cfRule type="expression" priority="196" dxfId="7">
      <formula>AND($BY$7&lt;&gt;"", BY8="")</formula>
    </cfRule>
  </conditionalFormatting>
  <conditionalFormatting sqref="BZ7">
    <cfRule type="notContainsBlanks" priority="197" dxfId="7">
      <formula>LEN(TRIM(BZ7))&gt;0</formula>
    </cfRule>
    <cfRule type="containsBlanks" priority="198" dxfId="8">
      <formula>LEN(TRIM(BZ7))=0</formula>
    </cfRule>
  </conditionalFormatting>
  <conditionalFormatting sqref="BZ8:BZ2501">
    <cfRule type="expression" priority="199" dxfId="7">
      <formula>AND($BZ$7&lt;&gt;"", BZ8="")</formula>
    </cfRule>
  </conditionalFormatting>
  <conditionalFormatting sqref="CA7">
    <cfRule type="notContainsBlanks" priority="200" dxfId="7">
      <formula>LEN(TRIM(CA7))&gt;0</formula>
    </cfRule>
    <cfRule type="containsBlanks" priority="201" dxfId="8">
      <formula>LEN(TRIM(CA7))=0</formula>
    </cfRule>
  </conditionalFormatting>
  <conditionalFormatting sqref="CA8:CA2501">
    <cfRule type="expression" priority="202" dxfId="7">
      <formula>AND($CA$7&lt;&gt;"", CA8="")</formula>
    </cfRule>
  </conditionalFormatting>
  <conditionalFormatting sqref="CB7">
    <cfRule type="notContainsBlanks" priority="203" dxfId="7">
      <formula>LEN(TRIM(CB7))&gt;0</formula>
    </cfRule>
    <cfRule type="containsBlanks" priority="204" dxfId="8">
      <formula>LEN(TRIM(CB7))=0</formula>
    </cfRule>
  </conditionalFormatting>
  <conditionalFormatting sqref="CB8:CB2501">
    <cfRule type="expression" priority="205" dxfId="7">
      <formula>AND($CB$7&lt;&gt;"", CB8="")</formula>
    </cfRule>
  </conditionalFormatting>
  <conditionalFormatting sqref="CC7">
    <cfRule type="notContainsBlanks" priority="206" dxfId="7">
      <formula>LEN(TRIM(CC7))&gt;0</formula>
    </cfRule>
    <cfRule type="containsBlanks" priority="207" dxfId="8">
      <formula>LEN(TRIM(CC7))=0</formula>
    </cfRule>
  </conditionalFormatting>
  <conditionalFormatting sqref="CC8:CC2501">
    <cfRule type="expression" priority="208" dxfId="7">
      <formula>AND($CC$7&lt;&gt;"", CC8="")</formula>
    </cfRule>
  </conditionalFormatting>
  <conditionalFormatting sqref="CD7">
    <cfRule type="notContainsBlanks" priority="209" dxfId="7">
      <formula>LEN(TRIM(CD7))&gt;0</formula>
    </cfRule>
    <cfRule type="containsBlanks" priority="210" dxfId="8">
      <formula>LEN(TRIM(CD7))=0</formula>
    </cfRule>
  </conditionalFormatting>
  <conditionalFormatting sqref="CD8:CD2501">
    <cfRule type="expression" priority="211" dxfId="7">
      <formula>AND($CD$7&lt;&gt;"", CD8="")</formula>
    </cfRule>
  </conditionalFormatting>
  <conditionalFormatting sqref="CE7">
    <cfRule type="notContainsBlanks" priority="212" dxfId="7">
      <formula>LEN(TRIM(CE7))&gt;0</formula>
    </cfRule>
    <cfRule type="containsBlanks" priority="213" dxfId="8">
      <formula>LEN(TRIM(CE7))=0</formula>
    </cfRule>
  </conditionalFormatting>
  <conditionalFormatting sqref="CE8:CE2501">
    <cfRule type="expression" priority="214" dxfId="7">
      <formula>AND($CE$7&lt;&gt;"", CE8="")</formula>
    </cfRule>
  </conditionalFormatting>
  <conditionalFormatting sqref="CF7">
    <cfRule type="notContainsBlanks" priority="215" dxfId="7">
      <formula>LEN(TRIM(CF7))&gt;0</formula>
    </cfRule>
    <cfRule type="containsBlanks" priority="216" dxfId="8">
      <formula>LEN(TRIM(CF7))=0</formula>
    </cfRule>
  </conditionalFormatting>
  <conditionalFormatting sqref="CF8:CF2501">
    <cfRule type="expression" priority="217" dxfId="7">
      <formula>AND($CF$7&lt;&gt;"", CF8="")</formula>
    </cfRule>
  </conditionalFormatting>
  <conditionalFormatting sqref="CG7">
    <cfRule type="notContainsBlanks" priority="218" dxfId="7">
      <formula>LEN(TRIM(CG7))&gt;0</formula>
    </cfRule>
    <cfRule type="containsBlanks" priority="219" dxfId="8">
      <formula>LEN(TRIM(CG7))=0</formula>
    </cfRule>
  </conditionalFormatting>
  <conditionalFormatting sqref="CG8:CG2501">
    <cfRule type="expression" priority="220" dxfId="7">
      <formula>AND($CG$7&lt;&gt;"", CG8="")</formula>
    </cfRule>
  </conditionalFormatting>
  <conditionalFormatting sqref="CH7">
    <cfRule type="notContainsBlanks" priority="221" dxfId="7">
      <formula>LEN(TRIM(CH7))&gt;0</formula>
    </cfRule>
    <cfRule type="containsBlanks" priority="222" dxfId="8">
      <formula>LEN(TRIM(CH7))=0</formula>
    </cfRule>
  </conditionalFormatting>
  <conditionalFormatting sqref="CH8:CH2501">
    <cfRule type="expression" priority="223" dxfId="7">
      <formula>AND($CH$7&lt;&gt;"", CH8="")</formula>
    </cfRule>
  </conditionalFormatting>
  <conditionalFormatting sqref="CI7">
    <cfRule type="notContainsBlanks" priority="224" dxfId="7">
      <formula>LEN(TRIM(CI7))&gt;0</formula>
    </cfRule>
    <cfRule type="containsBlanks" priority="225" dxfId="8">
      <formula>LEN(TRIM(CI7))=0</formula>
    </cfRule>
  </conditionalFormatting>
  <conditionalFormatting sqref="CI8:CI2501">
    <cfRule type="expression" priority="226" dxfId="7">
      <formula>AND($CI$7&lt;&gt;"", CI8="")</formula>
    </cfRule>
  </conditionalFormatting>
  <conditionalFormatting sqref="CJ7">
    <cfRule type="notContainsBlanks" priority="227" dxfId="7">
      <formula>LEN(TRIM(CJ7))&gt;0</formula>
    </cfRule>
    <cfRule type="containsBlanks" priority="228" dxfId="8">
      <formula>LEN(TRIM(CJ7))=0</formula>
    </cfRule>
  </conditionalFormatting>
  <conditionalFormatting sqref="CJ8:CJ2501">
    <cfRule type="expression" priority="229" dxfId="7">
      <formula>AND($CJ$7&lt;&gt;"", CJ8="")</formula>
    </cfRule>
  </conditionalFormatting>
  <conditionalFormatting sqref="CK7">
    <cfRule type="notContainsBlanks" priority="230" dxfId="7">
      <formula>LEN(TRIM(CK7))&gt;0</formula>
    </cfRule>
    <cfRule type="containsBlanks" priority="231" dxfId="8">
      <formula>LEN(TRIM(CK7))=0</formula>
    </cfRule>
  </conditionalFormatting>
  <conditionalFormatting sqref="CK8:CK2501">
    <cfRule type="expression" priority="232" dxfId="7">
      <formula>AND($CK$7&lt;&gt;"", CK8="")</formula>
    </cfRule>
  </conditionalFormatting>
  <conditionalFormatting sqref="CL7">
    <cfRule type="notContainsBlanks" priority="233" dxfId="7">
      <formula>LEN(TRIM(CL7))&gt;0</formula>
    </cfRule>
    <cfRule type="containsBlanks" priority="234" dxfId="8">
      <formula>LEN(TRIM(CL7))=0</formula>
    </cfRule>
  </conditionalFormatting>
  <conditionalFormatting sqref="CL8:CL2501">
    <cfRule type="expression" priority="235" dxfId="7">
      <formula>AND($CL$7&lt;&gt;"", CL8="")</formula>
    </cfRule>
  </conditionalFormatting>
  <conditionalFormatting sqref="CM7">
    <cfRule type="notContainsBlanks" priority="236" dxfId="7">
      <formula>LEN(TRIM(CM7))&gt;0</formula>
    </cfRule>
    <cfRule type="containsBlanks" priority="237" dxfId="8">
      <formula>LEN(TRIM(CM7))=0</formula>
    </cfRule>
  </conditionalFormatting>
  <conditionalFormatting sqref="CM8:CM2501">
    <cfRule type="expression" priority="238" dxfId="7">
      <formula>AND($CM$7&lt;&gt;"", CM8="")</formula>
    </cfRule>
  </conditionalFormatting>
  <conditionalFormatting sqref="CN7">
    <cfRule type="notContainsBlanks" priority="239" dxfId="7">
      <formula>LEN(TRIM(CN7))&gt;0</formula>
    </cfRule>
    <cfRule type="containsBlanks" priority="240" dxfId="8">
      <formula>LEN(TRIM(CN7))=0</formula>
    </cfRule>
  </conditionalFormatting>
  <conditionalFormatting sqref="CN8:CN2501">
    <cfRule type="expression" priority="241" dxfId="7">
      <formula>AND($CN$7&lt;&gt;"", CN8="")</formula>
    </cfRule>
  </conditionalFormatting>
  <conditionalFormatting sqref="CO7">
    <cfRule type="notContainsBlanks" priority="242" dxfId="7">
      <formula>LEN(TRIM(CO7))&gt;0</formula>
    </cfRule>
    <cfRule type="containsBlanks" priority="243" dxfId="8">
      <formula>LEN(TRIM(CO7))=0</formula>
    </cfRule>
  </conditionalFormatting>
  <conditionalFormatting sqref="CO8:CO2501">
    <cfRule type="expression" priority="244" dxfId="7">
      <formula>AND($CO$7&lt;&gt;"", CO8="")</formula>
    </cfRule>
  </conditionalFormatting>
  <conditionalFormatting sqref="CP7">
    <cfRule type="notContainsBlanks" priority="245" dxfId="7">
      <formula>LEN(TRIM(CP7))&gt;0</formula>
    </cfRule>
    <cfRule type="containsBlanks" priority="246" dxfId="8">
      <formula>LEN(TRIM(CP7))=0</formula>
    </cfRule>
  </conditionalFormatting>
  <conditionalFormatting sqref="CP8:CP2501">
    <cfRule type="expression" priority="247" dxfId="7">
      <formula>AND($CP$7&lt;&gt;"", CP8="")</formula>
    </cfRule>
  </conditionalFormatting>
  <conditionalFormatting sqref="CQ7">
    <cfRule type="notContainsBlanks" priority="248" dxfId="7">
      <formula>LEN(TRIM(CQ7))&gt;0</formula>
    </cfRule>
    <cfRule type="containsBlanks" priority="249" dxfId="8">
      <formula>LEN(TRIM(CQ7))=0</formula>
    </cfRule>
  </conditionalFormatting>
  <conditionalFormatting sqref="CQ8:CQ2501">
    <cfRule type="expression" priority="250" dxfId="7">
      <formula>AND($CQ$7&lt;&gt;"", CQ8="")</formula>
    </cfRule>
  </conditionalFormatting>
  <conditionalFormatting sqref="CR7">
    <cfRule type="notContainsBlanks" priority="251" dxfId="7">
      <formula>LEN(TRIM(CR7))&gt;0</formula>
    </cfRule>
    <cfRule type="containsBlanks" priority="252" dxfId="8">
      <formula>LEN(TRIM(CR7))=0</formula>
    </cfRule>
  </conditionalFormatting>
  <conditionalFormatting sqref="CR8:CR2501">
    <cfRule type="expression" priority="253" dxfId="7">
      <formula>AND($CR$7&lt;&gt;"", CR8="")</formula>
    </cfRule>
  </conditionalFormatting>
  <conditionalFormatting sqref="CS7">
    <cfRule type="notContainsBlanks" priority="254" dxfId="7">
      <formula>LEN(TRIM(CS7))&gt;0</formula>
    </cfRule>
    <cfRule type="containsBlanks" priority="255" dxfId="8">
      <formula>LEN(TRIM(CS7))=0</formula>
    </cfRule>
  </conditionalFormatting>
  <conditionalFormatting sqref="CS8:CS2501">
    <cfRule type="expression" priority="256" dxfId="7">
      <formula>AND($CS$7&lt;&gt;"", CS8="")</formula>
    </cfRule>
  </conditionalFormatting>
  <conditionalFormatting sqref="CT7">
    <cfRule type="notContainsBlanks" priority="257" dxfId="7">
      <formula>LEN(TRIM(CT7))&gt;0</formula>
    </cfRule>
    <cfRule type="containsBlanks" priority="258" dxfId="8">
      <formula>LEN(TRIM(CT7))=0</formula>
    </cfRule>
  </conditionalFormatting>
  <conditionalFormatting sqref="CT8:CT2501">
    <cfRule type="expression" priority="259" dxfId="7">
      <formula>AND($CT$7&lt;&gt;"", CT8="")</formula>
    </cfRule>
  </conditionalFormatting>
  <conditionalFormatting sqref="CU7">
    <cfRule type="notContainsBlanks" priority="260" dxfId="7">
      <formula>LEN(TRIM(CU7))&gt;0</formula>
    </cfRule>
    <cfRule type="containsBlanks" priority="261" dxfId="8">
      <formula>LEN(TRIM(CU7))=0</formula>
    </cfRule>
  </conditionalFormatting>
  <conditionalFormatting sqref="CU8:CU2501">
    <cfRule type="expression" priority="262" dxfId="7">
      <formula>AND($CU$7&lt;&gt;"", CU8="")</formula>
    </cfRule>
  </conditionalFormatting>
  <conditionalFormatting sqref="CV7">
    <cfRule type="notContainsBlanks" priority="263" dxfId="7">
      <formula>LEN(TRIM(CV7))&gt;0</formula>
    </cfRule>
    <cfRule type="containsBlanks" priority="264" dxfId="8">
      <formula>LEN(TRIM(CV7))=0</formula>
    </cfRule>
  </conditionalFormatting>
  <conditionalFormatting sqref="CV8:CV2501">
    <cfRule type="expression" priority="265" dxfId="7">
      <formula>AND($CV$7&lt;&gt;"", CV8="")</formula>
    </cfRule>
  </conditionalFormatting>
  <conditionalFormatting sqref="CW7">
    <cfRule type="notContainsBlanks" priority="266" dxfId="7">
      <formula>LEN(TRIM(CW7))&gt;0</formula>
    </cfRule>
    <cfRule type="containsBlanks" priority="267" dxfId="8">
      <formula>LEN(TRIM(CW7))=0</formula>
    </cfRule>
  </conditionalFormatting>
  <conditionalFormatting sqref="CW8:CW2501">
    <cfRule type="expression" priority="268" dxfId="7">
      <formula>AND($CW$7&lt;&gt;"", CW8="")</formula>
    </cfRule>
  </conditionalFormatting>
  <conditionalFormatting sqref="CX7">
    <cfRule type="notContainsBlanks" priority="269" dxfId="7">
      <formula>LEN(TRIM(CX7))&gt;0</formula>
    </cfRule>
    <cfRule type="containsBlanks" priority="270" dxfId="8">
      <formula>LEN(TRIM(CX7))=0</formula>
    </cfRule>
  </conditionalFormatting>
  <conditionalFormatting sqref="CX8:CX2501">
    <cfRule type="expression" priority="271" dxfId="7">
      <formula>AND($CX$7&lt;&gt;"", CX8="")</formula>
    </cfRule>
  </conditionalFormatting>
  <conditionalFormatting sqref="CY7">
    <cfRule type="notContainsBlanks" priority="272" dxfId="7">
      <formula>LEN(TRIM(CY7))&gt;0</formula>
    </cfRule>
    <cfRule type="containsBlanks" priority="273" dxfId="8">
      <formula>LEN(TRIM(CY7))=0</formula>
    </cfRule>
  </conditionalFormatting>
  <conditionalFormatting sqref="CY8:CY2501">
    <cfRule type="expression" priority="274" dxfId="7">
      <formula>AND($CY$7&lt;&gt;"", CY8="")</formula>
    </cfRule>
  </conditionalFormatting>
  <conditionalFormatting sqref="CZ7">
    <cfRule type="notContainsBlanks" priority="275" dxfId="7">
      <formula>LEN(TRIM(CZ7))&gt;0</formula>
    </cfRule>
    <cfRule type="containsBlanks" priority="276" dxfId="8">
      <formula>LEN(TRIM(CZ7))=0</formula>
    </cfRule>
  </conditionalFormatting>
  <conditionalFormatting sqref="CZ8:CZ2501">
    <cfRule type="expression" priority="277"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78" dxfId="7">
      <formula>LEN(TRIM(DA7))&gt;0</formula>
    </cfRule>
    <cfRule type="containsBlanks" priority="279" dxfId="8">
      <formula>LEN(TRIM(DA7))=0</formula>
    </cfRule>
  </conditionalFormatting>
  <conditionalFormatting sqref="DA8:DA2501">
    <cfRule type="expression" priority="280" dxfId="7">
      <formula>AND($DA$7&lt;&gt;"", DA8="")</formula>
    </cfRule>
  </conditionalFormatting>
  <conditionalFormatting sqref="DB7">
    <cfRule type="notContainsBlanks" priority="281" dxfId="7">
      <formula>LEN(TRIM(DB7))&gt;0</formula>
    </cfRule>
    <cfRule type="containsBlanks" priority="282" dxfId="8">
      <formula>LEN(TRIM(DB7))=0</formula>
    </cfRule>
  </conditionalFormatting>
  <conditionalFormatting sqref="DB8:DB2501">
    <cfRule type="expression" priority="283" dxfId="7">
      <formula>AND($DB$7&lt;&gt;"", DB8="")</formula>
    </cfRule>
  </conditionalFormatting>
  <conditionalFormatting sqref="DC7">
    <cfRule type="notContainsBlanks" priority="284" dxfId="7">
      <formula>LEN(TRIM(DC7))&gt;0</formula>
    </cfRule>
    <cfRule type="containsBlanks" priority="285" dxfId="8">
      <formula>LEN(TRIM(DC7))=0</formula>
    </cfRule>
  </conditionalFormatting>
  <conditionalFormatting sqref="DC8:DC2501">
    <cfRule type="expression" priority="286" dxfId="7">
      <formula>AND($DC$7&lt;&gt;"", DC8="")</formula>
    </cfRule>
  </conditionalFormatting>
  <conditionalFormatting sqref="DD7">
    <cfRule type="notContainsBlanks" priority="287" dxfId="7">
      <formula>LEN(TRIM(DD7))&gt;0</formula>
    </cfRule>
    <cfRule type="containsBlanks" priority="288" dxfId="8">
      <formula>LEN(TRIM(DD7))=0</formula>
    </cfRule>
  </conditionalFormatting>
  <conditionalFormatting sqref="DD8:DD2501">
    <cfRule type="expression" priority="289" dxfId="7">
      <formula>AND($DD$7&lt;&gt;"", DD8="")</formula>
    </cfRule>
  </conditionalFormatting>
  <conditionalFormatting sqref="DE7">
    <cfRule type="notContainsBlanks" priority="290" dxfId="7">
      <formula>LEN(TRIM(DE7))&gt;0</formula>
    </cfRule>
    <cfRule type="containsBlanks" priority="291" dxfId="8">
      <formula>LEN(TRIM(DE7))=0</formula>
    </cfRule>
  </conditionalFormatting>
  <conditionalFormatting sqref="DE8:DE2501">
    <cfRule type="expression" priority="292" dxfId="7">
      <formula>AND($DE$7&lt;&gt;"", DE8="")</formula>
    </cfRule>
  </conditionalFormatting>
  <conditionalFormatting sqref="DF7">
    <cfRule type="notContainsBlanks" priority="293" dxfId="7">
      <formula>LEN(TRIM(DF7))&gt;0</formula>
    </cfRule>
    <cfRule type="containsBlanks" priority="294" dxfId="8">
      <formula>LEN(TRIM(DF7))=0</formula>
    </cfRule>
  </conditionalFormatting>
  <conditionalFormatting sqref="DF8:DF2501">
    <cfRule type="expression" priority="295" dxfId="7">
      <formula>AND($DF$7&lt;&gt;"", DF8="")</formula>
    </cfRule>
  </conditionalFormatting>
  <conditionalFormatting sqref="DG7">
    <cfRule type="notContainsBlanks" priority="296" dxfId="7">
      <formula>LEN(TRIM(DG7))&gt;0</formula>
    </cfRule>
    <cfRule type="containsBlanks" priority="297" dxfId="8">
      <formula>LEN(TRIM(DG7))=0</formula>
    </cfRule>
  </conditionalFormatting>
  <conditionalFormatting sqref="DG8:DG2501">
    <cfRule type="expression" priority="298" dxfId="7">
      <formula>AND($DG$7&lt;&gt;"", DG8="")</formula>
    </cfRule>
  </conditionalFormatting>
  <conditionalFormatting sqref="DH7">
    <cfRule type="notContainsBlanks" priority="299" dxfId="7">
      <formula>LEN(TRIM(DH7))&gt;0</formula>
    </cfRule>
    <cfRule type="containsBlanks" priority="300" dxfId="8">
      <formula>LEN(TRIM(DH7))=0</formula>
    </cfRule>
  </conditionalFormatting>
  <conditionalFormatting sqref="DH8:DH2501">
    <cfRule type="expression" priority="301" dxfId="7">
      <formula>AND($DH$7&lt;&gt;"", DH8="")</formula>
    </cfRule>
  </conditionalFormatting>
  <conditionalFormatting sqref="DI7">
    <cfRule type="notContainsBlanks" priority="302" dxfId="7">
      <formula>LEN(TRIM(DI7))&gt;0</formula>
    </cfRule>
    <cfRule type="containsBlanks" priority="303" dxfId="8">
      <formula>LEN(TRIM(DI7))=0</formula>
    </cfRule>
  </conditionalFormatting>
  <conditionalFormatting sqref="DI8:DI2501">
    <cfRule type="expression" priority="304" dxfId="7">
      <formula>AND($DI$7&lt;&gt;"", DI8="")</formula>
    </cfRule>
  </conditionalFormatting>
  <conditionalFormatting sqref="DJ7">
    <cfRule type="notContainsBlanks" priority="305" dxfId="7">
      <formula>LEN(TRIM(DJ7))&gt;0</formula>
    </cfRule>
    <cfRule type="containsBlanks" priority="306" dxfId="8">
      <formula>LEN(TRIM(DJ7))=0</formula>
    </cfRule>
  </conditionalFormatting>
  <conditionalFormatting sqref="DJ8:DJ2501">
    <cfRule type="expression" priority="307" dxfId="7">
      <formula>AND($DJ$7&lt;&gt;"", DJ8="")</formula>
    </cfRule>
  </conditionalFormatting>
  <conditionalFormatting sqref="DK7">
    <cfRule type="notContainsBlanks" priority="308" dxfId="7">
      <formula>LEN(TRIM(DK7))&gt;0</formula>
    </cfRule>
    <cfRule type="containsBlanks" priority="309" dxfId="8">
      <formula>LEN(TRIM(DK7))=0</formula>
    </cfRule>
  </conditionalFormatting>
  <conditionalFormatting sqref="DK8:DK2501">
    <cfRule type="expression" priority="310" dxfId="7">
      <formula>AND($DK$7&lt;&gt;"", DK8="")</formula>
    </cfRule>
  </conditionalFormatting>
  <conditionalFormatting sqref="DL7">
    <cfRule type="notContainsBlanks" priority="311" dxfId="7">
      <formula>LEN(TRIM(DL7))&gt;0</formula>
    </cfRule>
    <cfRule type="containsBlanks" priority="312" dxfId="8">
      <formula>LEN(TRIM(DL7))=0</formula>
    </cfRule>
  </conditionalFormatting>
  <conditionalFormatting sqref="DL8:DL2501">
    <cfRule type="expression" priority="313" dxfId="7">
      <formula>AND($DL$7&lt;&gt;"", DL8="")</formula>
    </cfRule>
  </conditionalFormatting>
  <conditionalFormatting sqref="DM7">
    <cfRule type="notContainsBlanks" priority="314" dxfId="7">
      <formula>LEN(TRIM(DM7))&gt;0</formula>
    </cfRule>
    <cfRule type="containsBlanks" priority="315" dxfId="8">
      <formula>LEN(TRIM(DM7))=0</formula>
    </cfRule>
  </conditionalFormatting>
  <conditionalFormatting sqref="DM8:DM2501">
    <cfRule type="expression" priority="316" dxfId="7">
      <formula>AND($DM$7&lt;&gt;"", DM8="")</formula>
    </cfRule>
  </conditionalFormatting>
  <conditionalFormatting sqref="DN7">
    <cfRule type="notContainsBlanks" priority="317" dxfId="7">
      <formula>LEN(TRIM(DN7))&gt;0</formula>
    </cfRule>
    <cfRule type="containsBlanks" priority="318" dxfId="8">
      <formula>LEN(TRIM(DN7))=0</formula>
    </cfRule>
  </conditionalFormatting>
  <conditionalFormatting sqref="DN8:DN2501">
    <cfRule type="expression" priority="319" dxfId="7">
      <formula>AND($DN$7&lt;&gt;"", DN8="")</formula>
    </cfRule>
  </conditionalFormatting>
  <conditionalFormatting sqref="DO7">
    <cfRule type="notContainsBlanks" priority="320" dxfId="7">
      <formula>LEN(TRIM(DO7))&gt;0</formula>
    </cfRule>
    <cfRule type="containsBlanks" priority="321" dxfId="8">
      <formula>LEN(TRIM(DO7))=0</formula>
    </cfRule>
  </conditionalFormatting>
  <conditionalFormatting sqref="DO8:DO2501">
    <cfRule type="expression" priority="322" dxfId="7">
      <formula>AND($DO$7&lt;&gt;"", DO8="")</formula>
    </cfRule>
  </conditionalFormatting>
  <conditionalFormatting sqref="DP7">
    <cfRule type="notContainsBlanks" priority="323" dxfId="7">
      <formula>LEN(TRIM(DP7))&gt;0</formula>
    </cfRule>
    <cfRule type="containsBlanks" priority="324" dxfId="8">
      <formula>LEN(TRIM(DP7))=0</formula>
    </cfRule>
  </conditionalFormatting>
  <conditionalFormatting sqref="DP8:DP2501">
    <cfRule type="expression" priority="325" dxfId="7">
      <formula>AND($DP$7&lt;&gt;"", DP8="")</formula>
    </cfRule>
  </conditionalFormatting>
  <conditionalFormatting sqref="DQ7">
    <cfRule type="notContainsBlanks" priority="326" dxfId="7">
      <formula>LEN(TRIM(DQ7))&gt;0</formula>
    </cfRule>
    <cfRule type="containsBlanks" priority="327" dxfId="8">
      <formula>LEN(TRIM(DQ7))=0</formula>
    </cfRule>
  </conditionalFormatting>
  <conditionalFormatting sqref="DQ8:DQ2501">
    <cfRule type="expression" priority="328" dxfId="7">
      <formula>AND($DQ$7&lt;&gt;"", DQ8="")</formula>
    </cfRule>
  </conditionalFormatting>
  <conditionalFormatting sqref="DR7">
    <cfRule type="notContainsBlanks" priority="329" dxfId="7">
      <formula>LEN(TRIM(DR7))&gt;0</formula>
    </cfRule>
    <cfRule type="containsBlanks" priority="330" dxfId="8">
      <formula>LEN(TRIM(DR7))=0</formula>
    </cfRule>
  </conditionalFormatting>
  <conditionalFormatting sqref="DR8:DR2501">
    <cfRule type="expression" priority="331" dxfId="7">
      <formula>AND($DR$7&lt;&gt;"", DR8="")</formula>
    </cfRule>
  </conditionalFormatting>
  <conditionalFormatting sqref="DS7">
    <cfRule type="notContainsBlanks" priority="332" dxfId="7">
      <formula>LEN(TRIM(DS7))&gt;0</formula>
    </cfRule>
    <cfRule type="containsBlanks" priority="333" dxfId="8">
      <formula>LEN(TRIM(DS7))=0</formula>
    </cfRule>
  </conditionalFormatting>
  <conditionalFormatting sqref="DS8:DS2501">
    <cfRule type="expression" priority="334" dxfId="7">
      <formula>AND($DS$7&lt;&gt;"", DS8="")</formula>
    </cfRule>
  </conditionalFormatting>
  <conditionalFormatting sqref="DT7">
    <cfRule type="notContainsBlanks" priority="335" dxfId="7">
      <formula>LEN(TRIM(DT7))&gt;0</formula>
    </cfRule>
    <cfRule type="containsBlanks" priority="336" dxfId="8">
      <formula>LEN(TRIM(DT7))=0</formula>
    </cfRule>
  </conditionalFormatting>
  <conditionalFormatting sqref="DT8:DT2501">
    <cfRule type="expression" priority="337" dxfId="7">
      <formula>AND($DT$7&lt;&gt;"", DT8="")</formula>
    </cfRule>
  </conditionalFormatting>
  <conditionalFormatting sqref="DU7">
    <cfRule type="notContainsBlanks" priority="338" dxfId="7">
      <formula>LEN(TRIM(DU7))&gt;0</formula>
    </cfRule>
    <cfRule type="containsBlanks" priority="339" dxfId="8">
      <formula>LEN(TRIM(DU7))=0</formula>
    </cfRule>
  </conditionalFormatting>
  <conditionalFormatting sqref="DU8:DU2501">
    <cfRule type="expression" priority="340" dxfId="7">
      <formula>AND($DU$7&lt;&gt;"", DU8="")</formula>
    </cfRule>
  </conditionalFormatting>
  <conditionalFormatting sqref="DV7">
    <cfRule type="notContainsBlanks" priority="341" dxfId="7">
      <formula>LEN(TRIM(DV7))&gt;0</formula>
    </cfRule>
    <cfRule type="containsBlanks" priority="342" dxfId="8">
      <formula>LEN(TRIM(DV7))=0</formula>
    </cfRule>
  </conditionalFormatting>
  <conditionalFormatting sqref="DV8:DV2501">
    <cfRule type="expression" priority="343" dxfId="7">
      <formula>AND($DV$7&lt;&gt;"", DV8="")</formula>
    </cfRule>
  </conditionalFormatting>
  <conditionalFormatting sqref="DW7">
    <cfRule type="notContainsBlanks" priority="344" dxfId="7">
      <formula>LEN(TRIM(DW7))&gt;0</formula>
    </cfRule>
    <cfRule type="containsBlanks" priority="345" dxfId="8">
      <formula>LEN(TRIM(DW7))=0</formula>
    </cfRule>
  </conditionalFormatting>
  <conditionalFormatting sqref="DW8:DW2501">
    <cfRule type="expression" priority="346" dxfId="7">
      <formula>AND($DW$7&lt;&gt;"", DW8="")</formula>
    </cfRule>
  </conditionalFormatting>
  <conditionalFormatting sqref="DX7">
    <cfRule type="notContainsBlanks" priority="347" dxfId="7">
      <formula>LEN(TRIM(DX7))&gt;0</formula>
    </cfRule>
    <cfRule type="containsBlanks" priority="348" dxfId="8">
      <formula>LEN(TRIM(DX7))=0</formula>
    </cfRule>
  </conditionalFormatting>
  <conditionalFormatting sqref="DX8:DX2501">
    <cfRule type="expression" priority="349" dxfId="7">
      <formula>AND($DX$7&lt;&gt;"", DX8="")</formula>
    </cfRule>
  </conditionalFormatting>
  <conditionalFormatting sqref="DY7">
    <cfRule type="notContainsBlanks" priority="350" dxfId="7">
      <formula>LEN(TRIM(DY7))&gt;0</formula>
    </cfRule>
    <cfRule type="containsBlanks" priority="351" dxfId="8">
      <formula>LEN(TRIM(DY7))=0</formula>
    </cfRule>
  </conditionalFormatting>
  <conditionalFormatting sqref="DY8:DY2501">
    <cfRule type="expression" priority="352" dxfId="7">
      <formula>AND($DY$7&lt;&gt;"", DY8="")</formula>
    </cfRule>
  </conditionalFormatting>
  <conditionalFormatting sqref="DZ7">
    <cfRule type="notContainsBlanks" priority="353" dxfId="7">
      <formula>LEN(TRIM(DZ7))&gt;0</formula>
    </cfRule>
    <cfRule type="containsBlanks" priority="354" dxfId="8">
      <formula>LEN(TRIM(DZ7))=0</formula>
    </cfRule>
  </conditionalFormatting>
  <conditionalFormatting sqref="DZ8:DZ2501">
    <cfRule type="expression" priority="355" dxfId="7">
      <formula>AND($DZ$7&lt;&gt;"", DZ8="")</formula>
    </cfRule>
  </conditionalFormatting>
  <conditionalFormatting sqref="EA7">
    <cfRule type="notContainsBlanks" priority="356" dxfId="7">
      <formula>LEN(TRIM(EA7))&gt;0</formula>
    </cfRule>
    <cfRule type="containsBlanks" priority="357" dxfId="8">
      <formula>LEN(TRIM(EA7))=0</formula>
    </cfRule>
  </conditionalFormatting>
  <conditionalFormatting sqref="EA8:EA2501">
    <cfRule type="expression" priority="358" dxfId="7">
      <formula>AND($EA$7&lt;&gt;"", EA8="")</formula>
    </cfRule>
  </conditionalFormatting>
  <conditionalFormatting sqref="EB7">
    <cfRule type="notContainsBlanks" priority="359" dxfId="7">
      <formula>LEN(TRIM(EB7))&gt;0</formula>
    </cfRule>
    <cfRule type="containsBlanks" priority="360" dxfId="8">
      <formula>LEN(TRIM(EB7))=0</formula>
    </cfRule>
  </conditionalFormatting>
  <conditionalFormatting sqref="EB8:EB2501">
    <cfRule type="expression" priority="361" dxfId="7">
      <formula>AND($EB$7&lt;&gt;"", EB8="")</formula>
    </cfRule>
  </conditionalFormatting>
  <conditionalFormatting sqref="EC7">
    <cfRule type="notContainsBlanks" priority="362" dxfId="7">
      <formula>LEN(TRIM(EC7))&gt;0</formula>
    </cfRule>
    <cfRule type="containsBlanks" priority="363" dxfId="8">
      <formula>LEN(TRIM(EC7))=0</formula>
    </cfRule>
  </conditionalFormatting>
  <conditionalFormatting sqref="EC8:EC2501">
    <cfRule type="expression" priority="364" dxfId="7">
      <formula>AND($EC$7&lt;&gt;"", EC8="")</formula>
    </cfRule>
  </conditionalFormatting>
  <conditionalFormatting sqref="ED7">
    <cfRule type="notContainsBlanks" priority="365" dxfId="7">
      <formula>LEN(TRIM(ED7))&gt;0</formula>
    </cfRule>
    <cfRule type="containsBlanks" priority="366" dxfId="8">
      <formula>LEN(TRIM(ED7))=0</formula>
    </cfRule>
  </conditionalFormatting>
  <conditionalFormatting sqref="ED8:ED2501">
    <cfRule type="expression" priority="367" dxfId="7">
      <formula>AND($ED$7&lt;&gt;"", ED8="")</formula>
    </cfRule>
  </conditionalFormatting>
  <conditionalFormatting sqref="EE7">
    <cfRule type="notContainsBlanks" priority="368" dxfId="7">
      <formula>LEN(TRIM(EE7))&gt;0</formula>
    </cfRule>
    <cfRule type="containsBlanks" priority="369" dxfId="8">
      <formula>LEN(TRIM(EE7))=0</formula>
    </cfRule>
  </conditionalFormatting>
  <conditionalFormatting sqref="EE8:EE2501">
    <cfRule type="expression" priority="370" dxfId="7">
      <formula>AND($EE$7&lt;&gt;"", EE8="")</formula>
    </cfRule>
  </conditionalFormatting>
  <conditionalFormatting sqref="EF7">
    <cfRule type="notContainsBlanks" priority="371" dxfId="7">
      <formula>LEN(TRIM(EF7))&gt;0</formula>
    </cfRule>
    <cfRule type="containsBlanks" priority="372" dxfId="8">
      <formula>LEN(TRIM(EF7))=0</formula>
    </cfRule>
  </conditionalFormatting>
  <conditionalFormatting sqref="EF8:EF2501">
    <cfRule type="expression" priority="373" dxfId="7">
      <formula>AND($EF$7&lt;&gt;"", EF8="")</formula>
    </cfRule>
  </conditionalFormatting>
  <conditionalFormatting sqref="EG7">
    <cfRule type="notContainsBlanks" priority="374" dxfId="7">
      <formula>LEN(TRIM(EG7))&gt;0</formula>
    </cfRule>
    <cfRule type="containsBlanks" priority="375" dxfId="8">
      <formula>LEN(TRIM(EG7))=0</formula>
    </cfRule>
  </conditionalFormatting>
  <conditionalFormatting sqref="EG8:EG2501">
    <cfRule type="expression" priority="376" dxfId="7">
      <formula>AND($EG$7&lt;&gt;"", EG8="")</formula>
    </cfRule>
  </conditionalFormatting>
  <conditionalFormatting sqref="EH7">
    <cfRule type="notContainsBlanks" priority="377" dxfId="7">
      <formula>LEN(TRIM(EH7))&gt;0</formula>
    </cfRule>
    <cfRule type="containsBlanks" priority="378" dxfId="8">
      <formula>LEN(TRIM(EH7))=0</formula>
    </cfRule>
  </conditionalFormatting>
  <conditionalFormatting sqref="EH8:EH2501">
    <cfRule type="expression" priority="379" dxfId="7">
      <formula>AND($EH$7&lt;&gt;"", EH8="")</formula>
    </cfRule>
  </conditionalFormatting>
  <conditionalFormatting sqref="EI7">
    <cfRule type="notContainsBlanks" priority="380" dxfId="7">
      <formula>LEN(TRIM(EI7))&gt;0</formula>
    </cfRule>
    <cfRule type="containsBlanks" priority="381" dxfId="8">
      <formula>LEN(TRIM(EI7))=0</formula>
    </cfRule>
  </conditionalFormatting>
  <conditionalFormatting sqref="EI8:EI2501">
    <cfRule type="expression" priority="382" dxfId="7">
      <formula>AND($EI$7&lt;&gt;"", EI8="")</formula>
    </cfRule>
  </conditionalFormatting>
  <conditionalFormatting sqref="EJ7">
    <cfRule type="notContainsBlanks" priority="383" dxfId="7">
      <formula>LEN(TRIM(EJ7))&gt;0</formula>
    </cfRule>
    <cfRule type="containsBlanks" priority="384" dxfId="8">
      <formula>LEN(TRIM(EJ7))=0</formula>
    </cfRule>
  </conditionalFormatting>
  <conditionalFormatting sqref="EJ8:EJ2501">
    <cfRule type="expression" priority="385" dxfId="7">
      <formula>AND($EJ$7&lt;&gt;"", EJ8="")</formula>
    </cfRule>
  </conditionalFormatting>
  <conditionalFormatting sqref="EK7">
    <cfRule type="notContainsBlanks" priority="386" dxfId="7">
      <formula>LEN(TRIM(EK7))&gt;0</formula>
    </cfRule>
    <cfRule type="containsBlanks" priority="387" dxfId="8">
      <formula>LEN(TRIM(EK7))=0</formula>
    </cfRule>
  </conditionalFormatting>
  <conditionalFormatting sqref="EK8:EK2501">
    <cfRule type="expression" priority="388" dxfId="7">
      <formula>AND($EK$7&lt;&gt;"", EK8="")</formula>
    </cfRule>
  </conditionalFormatting>
  <conditionalFormatting sqref="EL7">
    <cfRule type="notContainsBlanks" priority="389" dxfId="7">
      <formula>LEN(TRIM(EL7))&gt;0</formula>
    </cfRule>
    <cfRule type="containsBlanks" priority="390" dxfId="8">
      <formula>LEN(TRIM(EL7))=0</formula>
    </cfRule>
  </conditionalFormatting>
  <conditionalFormatting sqref="EL8:EL2501">
    <cfRule type="expression" priority="391" dxfId="7">
      <formula>AND($EL$7&lt;&gt;"", EL8="")</formula>
    </cfRule>
  </conditionalFormatting>
  <conditionalFormatting sqref="EM7">
    <cfRule type="notContainsBlanks" priority="392" dxfId="7">
      <formula>LEN(TRIM(EM7))&gt;0</formula>
    </cfRule>
    <cfRule type="containsBlanks" priority="393" dxfId="8">
      <formula>LEN(TRIM(EM7))=0</formula>
    </cfRule>
  </conditionalFormatting>
  <conditionalFormatting sqref="EM8:EM2501">
    <cfRule type="expression" priority="394" dxfId="7">
      <formula>AND($EM$7&lt;&gt;"", EM8="")</formula>
    </cfRule>
  </conditionalFormatting>
  <conditionalFormatting sqref="EN7">
    <cfRule type="notContainsBlanks" priority="395" dxfId="7">
      <formula>LEN(TRIM(EN7))&gt;0</formula>
    </cfRule>
    <cfRule type="containsBlanks" priority="396" dxfId="8">
      <formula>LEN(TRIM(EN7))=0</formula>
    </cfRule>
  </conditionalFormatting>
  <conditionalFormatting sqref="EN8:EN2501">
    <cfRule type="expression" priority="397" dxfId="7">
      <formula>AND($EN$7&lt;&gt;"", EN8="")</formula>
    </cfRule>
  </conditionalFormatting>
  <conditionalFormatting sqref="EO7">
    <cfRule type="notContainsBlanks" priority="398" dxfId="7">
      <formula>LEN(TRIM(EO7))&gt;0</formula>
    </cfRule>
    <cfRule type="containsBlanks" priority="399" dxfId="8">
      <formula>LEN(TRIM(EO7))=0</formula>
    </cfRule>
  </conditionalFormatting>
  <conditionalFormatting sqref="EO8:EO2501">
    <cfRule type="expression" priority="400" dxfId="7">
      <formula>AND($EO$7&lt;&gt;"", EO8="")</formula>
    </cfRule>
  </conditionalFormatting>
  <conditionalFormatting sqref="EP7">
    <cfRule type="notContainsBlanks" priority="401" dxfId="7">
      <formula>LEN(TRIM(EP7))&gt;0</formula>
    </cfRule>
    <cfRule type="containsBlanks" priority="402" dxfId="8">
      <formula>LEN(TRIM(EP7))=0</formula>
    </cfRule>
  </conditionalFormatting>
  <conditionalFormatting sqref="EP8:EP2501">
    <cfRule type="expression" priority="403" dxfId="7">
      <formula>AND($EP$7&lt;&gt;"", EP8="")</formula>
    </cfRule>
  </conditionalFormatting>
  <conditionalFormatting sqref="EQ7">
    <cfRule type="notContainsBlanks" priority="404" dxfId="7">
      <formula>LEN(TRIM(EQ7))&gt;0</formula>
    </cfRule>
    <cfRule type="containsBlanks" priority="405" dxfId="8">
      <formula>LEN(TRIM(EQ7))=0</formula>
    </cfRule>
  </conditionalFormatting>
  <conditionalFormatting sqref="EQ8:EQ2501">
    <cfRule type="expression" priority="406" dxfId="7">
      <formula>AND($EQ$7&lt;&gt;"", EQ8="")</formula>
    </cfRule>
  </conditionalFormatting>
  <conditionalFormatting sqref="ER7">
    <cfRule type="notContainsBlanks" priority="407" dxfId="7">
      <formula>LEN(TRIM(ER7))&gt;0</formula>
    </cfRule>
    <cfRule type="containsBlanks" priority="408" dxfId="8">
      <formula>LEN(TRIM(ER7))=0</formula>
    </cfRule>
  </conditionalFormatting>
  <conditionalFormatting sqref="ER8:ER2501">
    <cfRule type="expression" priority="409" dxfId="7">
      <formula>AND($ER$7&lt;&gt;"", ER8="")</formula>
    </cfRule>
  </conditionalFormatting>
  <conditionalFormatting sqref="ES7">
    <cfRule type="notContainsBlanks" priority="410" dxfId="7">
      <formula>LEN(TRIM(ES7))&gt;0</formula>
    </cfRule>
    <cfRule type="containsBlanks" priority="411" dxfId="8">
      <formula>LEN(TRIM(ES7))=0</formula>
    </cfRule>
  </conditionalFormatting>
  <conditionalFormatting sqref="ES8:ES2501">
    <cfRule type="expression" priority="412" dxfId="7">
      <formula>AND($ES$7&lt;&gt;"", ES8="")</formula>
    </cfRule>
  </conditionalFormatting>
  <conditionalFormatting sqref="ET7">
    <cfRule type="notContainsBlanks" priority="413" dxfId="7">
      <formula>LEN(TRIM(ET7))&gt;0</formula>
    </cfRule>
    <cfRule type="containsBlanks" priority="414" dxfId="8">
      <formula>LEN(TRIM(ET7))=0</formula>
    </cfRule>
  </conditionalFormatting>
  <conditionalFormatting sqref="ET8:ET2501">
    <cfRule type="expression" priority="415" dxfId="7">
      <formula>AND($ET$7&lt;&gt;"", ET8="")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K7">
    <cfRule type="notContainsBlanks" priority="14" dxfId="7">
      <formula>LEN(TRIM(K7))&gt;0</formula>
    </cfRule>
    <cfRule type="containsBlanks" priority="15" dxfId="8">
      <formula>LEN(TRIM(K7))=0</formula>
    </cfRule>
  </conditionalFormatting>
  <conditionalFormatting sqref="K8:K2501">
    <cfRule type="expression" priority="16" dxfId="7">
      <formula>AND($K$7&lt;&gt;"", K8="")</formula>
    </cfRule>
  </conditionalFormatting>
  <conditionalFormatting sqref="L7">
    <cfRule type="notContainsBlanks" priority="17" dxfId="7">
      <formula>LEN(TRIM(L7))&gt;0</formula>
    </cfRule>
    <cfRule type="containsBlanks" priority="18" dxfId="8">
      <formula>LEN(TRIM(L7))=0</formula>
    </cfRule>
  </conditionalFormatting>
  <conditionalFormatting sqref="L8:L2501">
    <cfRule type="expression" priority="19" dxfId="7">
      <formula>AND($L$7&lt;&gt;"", L8="")</formula>
    </cfRule>
  </conditionalFormatting>
  <conditionalFormatting sqref="M7">
    <cfRule type="notContainsBlanks" priority="20" dxfId="7">
      <formula>LEN(TRIM(M7))&gt;0</formula>
    </cfRule>
    <cfRule type="containsBlanks" priority="21" dxfId="8">
      <formula>LEN(TRIM(M7))=0</formula>
    </cfRule>
  </conditionalFormatting>
  <conditionalFormatting sqref="M8:M2501">
    <cfRule type="expression" priority="22" dxfId="7">
      <formula>AND($M$7&lt;&gt;"", M8="")</formula>
    </cfRule>
  </conditionalFormatting>
  <conditionalFormatting sqref="N7">
    <cfRule type="notContainsBlanks" priority="23" dxfId="7">
      <formula>LEN(TRIM(N7))&gt;0</formula>
    </cfRule>
    <cfRule type="containsBlanks" priority="24" dxfId="8">
      <formula>LEN(TRIM(N7))=0</formula>
    </cfRule>
  </conditionalFormatting>
  <conditionalFormatting sqref="N8:N2501">
    <cfRule type="expression" priority="25" dxfId="7">
      <formula>AND($N$7&lt;&gt;"", N8="")</formula>
    </cfRule>
  </conditionalFormatting>
  <conditionalFormatting sqref="O7">
    <cfRule type="notContainsBlanks" priority="26" dxfId="7">
      <formula>LEN(TRIM(O7))&gt;0</formula>
    </cfRule>
    <cfRule type="containsBlanks" priority="27" dxfId="8">
      <formula>LEN(TRIM(O7))=0</formula>
    </cfRule>
  </conditionalFormatting>
  <conditionalFormatting sqref="O8:O2501">
    <cfRule type="expression" priority="28" dxfId="7">
      <formula>AND($O$7&lt;&gt;"", O8="")</formula>
    </cfRule>
  </conditionalFormatting>
  <conditionalFormatting sqref="P7">
    <cfRule type="notContainsBlanks" priority="29" dxfId="7">
      <formula>LEN(TRIM(P7))&gt;0</formula>
    </cfRule>
    <cfRule type="containsBlanks" priority="30" dxfId="8">
      <formula>LEN(TRIM(P7))=0</formula>
    </cfRule>
  </conditionalFormatting>
  <conditionalFormatting sqref="P8:P2501">
    <cfRule type="expression" priority="31" dxfId="7">
      <formula>AND($P$7&lt;&gt;"", P8="")</formula>
    </cfRule>
  </conditionalFormatting>
  <conditionalFormatting sqref="Q7">
    <cfRule type="notContainsBlanks" priority="32" dxfId="7">
      <formula>LEN(TRIM(Q7))&gt;0</formula>
    </cfRule>
    <cfRule type="containsBlanks" priority="33" dxfId="8">
      <formula>LEN(TRIM(Q7))=0</formula>
    </cfRule>
  </conditionalFormatting>
  <conditionalFormatting sqref="Q8:Q2501">
    <cfRule type="expression" priority="34" dxfId="7">
      <formula>AND($Q$7&lt;&gt;"", Q8="")</formula>
    </cfRule>
  </conditionalFormatting>
  <conditionalFormatting sqref="R7">
    <cfRule type="notContainsBlanks" priority="35" dxfId="7">
      <formula>LEN(TRIM(R7))&gt;0</formula>
    </cfRule>
    <cfRule type="containsBlanks" priority="36" dxfId="8">
      <formula>LEN(TRIM(R7))=0</formula>
    </cfRule>
  </conditionalFormatting>
  <conditionalFormatting sqref="R8:R2501">
    <cfRule type="expression" priority="37" dxfId="7">
      <formula>AND($R$7&lt;&gt;"", R8="")</formula>
    </cfRule>
  </conditionalFormatting>
  <conditionalFormatting sqref="S7">
    <cfRule type="notContainsBlanks" priority="38" dxfId="7">
      <formula>LEN(TRIM(S7))&gt;0</formula>
    </cfRule>
    <cfRule type="containsBlanks" priority="39" dxfId="8">
      <formula>LEN(TRIM(S7))=0</formula>
    </cfRule>
  </conditionalFormatting>
  <conditionalFormatting sqref="S8:S2501">
    <cfRule type="expression" priority="40" dxfId="7">
      <formula>AND($S$7&lt;&gt;"", S8="")</formula>
    </cfRule>
  </conditionalFormatting>
  <conditionalFormatting sqref="T7">
    <cfRule type="notContainsBlanks" priority="41" dxfId="7">
      <formula>LEN(TRIM(T7))&gt;0</formula>
    </cfRule>
    <cfRule type="containsBlanks" priority="42" dxfId="8">
      <formula>LEN(TRIM(T7))=0</formula>
    </cfRule>
  </conditionalFormatting>
  <conditionalFormatting sqref="T8:T2501">
    <cfRule type="expression" priority="43" dxfId="7">
      <formula>AND($T$7&lt;&gt;"", T8="")</formula>
    </cfRule>
  </conditionalFormatting>
  <conditionalFormatting sqref="U7">
    <cfRule type="notContainsBlanks" priority="44" dxfId="7">
      <formula>LEN(TRIM(U7))&gt;0</formula>
    </cfRule>
    <cfRule type="containsBlanks" priority="45" dxfId="8">
      <formula>LEN(TRIM(U7))=0</formula>
    </cfRule>
  </conditionalFormatting>
  <conditionalFormatting sqref="U8:U2501">
    <cfRule type="expression" priority="46" dxfId="7">
      <formula>AND($U$7&lt;&gt;"", U8="")</formula>
    </cfRule>
  </conditionalFormatting>
  <conditionalFormatting sqref="V7">
    <cfRule type="notContainsBlanks" priority="47" dxfId="7">
      <formula>LEN(TRIM(V7))&gt;0</formula>
    </cfRule>
    <cfRule type="containsBlanks" priority="48" dxfId="8">
      <formula>LEN(TRIM(V7))=0</formula>
    </cfRule>
  </conditionalFormatting>
  <conditionalFormatting sqref="V8:V2501">
    <cfRule type="expression" priority="49" dxfId="7">
      <formula>AND($V$7&lt;&gt;"", V8="")</formula>
    </cfRule>
  </conditionalFormatting>
  <conditionalFormatting sqref="W7">
    <cfRule type="notContainsBlanks" priority="50" dxfId="7">
      <formula>LEN(TRIM(W7))&gt;0</formula>
    </cfRule>
    <cfRule type="containsBlanks" priority="51" dxfId="8">
      <formula>LEN(TRIM(W7))=0</formula>
    </cfRule>
  </conditionalFormatting>
  <conditionalFormatting sqref="W8:W2501">
    <cfRule type="expression" priority="52" dxfId="7">
      <formula>AND($W$7&lt;&gt;"", W8="")</formula>
    </cfRule>
  </conditionalFormatting>
  <conditionalFormatting sqref="X7">
    <cfRule type="notContainsBlanks" priority="53" dxfId="7">
      <formula>LEN(TRIM(X7))&gt;0</formula>
    </cfRule>
    <cfRule type="containsBlanks" priority="54" dxfId="8">
      <formula>LEN(TRIM(X7))=0</formula>
    </cfRule>
  </conditionalFormatting>
  <conditionalFormatting sqref="X8:X2501">
    <cfRule type="expression" priority="55" dxfId="7">
      <formula>AND($X$7&lt;&gt;"", X8="")</formula>
    </cfRule>
  </conditionalFormatting>
  <conditionalFormatting sqref="Y7">
    <cfRule type="notContainsBlanks" priority="56" dxfId="7">
      <formula>LEN(TRIM(Y7))&gt;0</formula>
    </cfRule>
    <cfRule type="containsBlanks" priority="57" dxfId="8">
      <formula>LEN(TRIM(Y7))=0</formula>
    </cfRule>
  </conditionalFormatting>
  <conditionalFormatting sqref="Y8:Y2501">
    <cfRule type="expression" priority="58" dxfId="7">
      <formula>AND($Y$7&lt;&gt;"", Y8="")</formula>
    </cfRule>
  </conditionalFormatting>
  <conditionalFormatting sqref="Z7">
    <cfRule type="notContainsBlanks" priority="59" dxfId="7">
      <formula>LEN(TRIM(Z7))&gt;0</formula>
    </cfRule>
    <cfRule type="containsBlanks" priority="60" dxfId="8">
      <formula>LEN(TRIM(Z7))=0</formula>
    </cfRule>
  </conditionalFormatting>
  <conditionalFormatting sqref="Z8:Z2501">
    <cfRule type="expression" priority="61" dxfId="7">
      <formula>AND($Z$7&lt;&gt;"", Z8="")</formula>
    </cfRule>
  </conditionalFormatting>
  <dataValidations count="2040">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 showDropDown="0" showInputMessage="1" showErrorMessage="1" allowBlank="1" errorTitle="Invalid Brand" error="The value provided is not a valid Brand." promptTitle="Brand" prompt="Please select value from the list" type="list">
      <formula1>'WAYFAIR_USE_ONLY'!$BK$7:$BK8</formula1>
    </dataValidation>
    <dataValidation sqref="E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AND(LEN(F8)&lt;32767, IF(F8&lt;&gt;"",COUNTIF($F$8:$F$2500,F8)=1,""))</formula1>
    </dataValidation>
    <dataValidation sqref="G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8" showDropDown="0" showInputMessage="1" showErrorMessage="1" allowBlank="1" promptTitle="Legal Document Type" prompt="Based on answers provided in Class Specific Details Section, the following legal document types are RECOMMENDED: CARB Phase II Compliant (formaldehyde emissions), CANFER Compliant, Energy Efficiency Regulations Compliant, Tipover Restraint Device Inc..."/>
    <dataValidation sqref="AU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8" showDropDown="0" showInputMessage="1" showErrorMessage="1" allowBlank="1" errorTitle="Invalid Plug-In" error="The value provided is not a valid Plug-In." promptTitle="Plug-In" prompt="Please select a valid Plug-In" type="list">
      <formula1>'WAYFAIR_USE_ONLY'!$R$7:$R9</formula1>
    </dataValidation>
    <dataValidation sqref="CC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8"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8" showDropDown="0" showInputMessage="1" showErrorMessage="1" allowBlank="1" promptTitle="Pieces Included" prompt="Please select one of the provided options. Custom entries are not allowed for this field."/>
    <dataValidation sqref="DG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AND(LEN(B9)&lt;32767, IF(B9&lt;&gt;"",COUNTIF($B$8:$B$2500,B9)=1,""))</formula1>
    </dataValidation>
    <dataValidation sqref="C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9" showDropDown="0" showInputMessage="1" showErrorMessage="1" allowBlank="1" errorTitle="Invalid Brand" error="The value provided is not a valid Brand." promptTitle="Brand" prompt="Please select value from the list" type="list">
      <formula1>'WAYFAIR_USE_ONLY'!$BK$7:$BK8</formula1>
    </dataValidation>
    <dataValidation sqref="E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AND(LEN(E9)&lt;32767, IF(E9&lt;&gt;"",COUNTIF($E$8:$E$2500,E9)=1,""))</formula1>
    </dataValidation>
    <dataValidation sqref="F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AND(LEN(F9)&lt;32767, IF(F9&lt;&gt;"",COUNTIF($F$8:$F$2500,F9)=1,""))</formula1>
    </dataValidation>
    <dataValidation sqref="G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9" showDropDown="0" showInputMessage="1" showErrorMessage="1" allowBlank="1" promptTitle="Legal Document Type" prompt="Based on answers provided in Class Specific Details Section, the following legal document types are RECOMMENDED: CANFER Compliant, TSCA Title VI Compliant (formaldehyde emissions), CARB Phase II Compliant (formaldehyde emissions), Energy Efficiency R..."/>
    <dataValidation sqref="AU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9" showDropDown="0" showInputMessage="1" showErrorMessage="1" allowBlank="1" errorTitle="Invalid Plug-In" error="The value provided is not a valid Plug-In." promptTitle="Plug-In" prompt="Please select a valid Plug-In" type="list">
      <formula1>'WAYFAIR_USE_ONLY'!$R$7:$R9</formula1>
    </dataValidation>
    <dataValidation sqref="CC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9" showDropDown="0" showInputMessage="1" showErrorMessage="1" allowBlank="1" promptTitle="Fuel Type" prompt="Please select one of the provided options. Custom entries are not allowed for this field.&#10;---&#10;Since 'Fireplace Included' is set to 'No', this value should be 'Does Not Apply'."/>
    <dataValidation sqref="DD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9" showDropDown="0" showInputMessage="1" showErrorMessage="1" allowBlank="1" promptTitle="Pieces Included" prompt="Please select one of the provided options. Custom entries are not allowed for this field."/>
    <dataValidation sqref="DG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AND(LEN(B10)&lt;32767, IF(B10&lt;&gt;"",COUNTIF($B$8:$B$2500,B10)=1,""))</formula1>
    </dataValidation>
    <dataValidation sqref="C1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0" showDropDown="0" showInputMessage="1" showErrorMessage="1" allowBlank="1" errorTitle="Invalid Brand" error="The value provided is not a valid Brand." promptTitle="Brand" prompt="Please select value from the list" type="list">
      <formula1>'WAYFAIR_USE_ONLY'!$BK$7:$BK8</formula1>
    </dataValidation>
    <dataValidation sqref="E1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AND(LEN(E10)&lt;32767, IF(E10&lt;&gt;"",COUNTIF($E$8:$E$2500,E10)=1,""))</formula1>
    </dataValidation>
    <dataValidation sqref="F1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AND(LEN(F10)&lt;32767, IF(F10&lt;&gt;"",COUNTIF($F$8:$F$2500,F10)=1,""))</formula1>
    </dataValidation>
    <dataValidation sqref="G1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0"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CA..."/>
    <dataValidation sqref="AU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0" showDropDown="0" showInputMessage="1" showErrorMessage="1" allowBlank="1" errorTitle="Invalid Plug-In" error="The value provided is not a valid Plug-In." promptTitle="Plug-In" prompt="Please select a valid Plug-In" type="list">
      <formula1>'WAYFAIR_USE_ONLY'!$R$7:$R9</formula1>
    </dataValidation>
    <dataValidation sqref="CC1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0" showDropDown="0" showInputMessage="1" showErrorMessage="1" allowBlank="1" promptTitle="Fuel Type" prompt="Please select one of the provided options. Custom entries are not allowed for this field.&#10;---&#10;Since 'Fireplace Included' is set to 'No', this value should be 'Does Not Apply'."/>
    <dataValidation sqref="DD1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0" showDropDown="0" showInputMessage="1" showErrorMessage="1" allowBlank="1" promptTitle="Pieces Included" prompt="Please select one of the provided options. Custom entries are not allowed for this field."/>
    <dataValidation sqref="DG1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AND(LEN(B11)&lt;32767, IF(B11&lt;&gt;"",COUNTIF($B$8:$B$2500,B11)=1,""))</formula1>
    </dataValidation>
    <dataValidation sqref="C1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1" showDropDown="0" showInputMessage="1" showErrorMessage="1" allowBlank="1" errorTitle="Invalid Brand" error="The value provided is not a valid Brand." promptTitle="Brand" prompt="Please select value from the list" type="list">
      <formula1>'WAYFAIR_USE_ONLY'!$BK$7:$BK8</formula1>
    </dataValidation>
    <dataValidation sqref="E1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AND(LEN(E11)&lt;32767, IF(E11&lt;&gt;"",COUNTIF($E$8:$E$2500,E11)=1,""))</formula1>
    </dataValidation>
    <dataValidation sqref="F1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AND(LEN(F11)&lt;32767, IF(F11&lt;&gt;"",COUNTIF($F$8:$F$2500,F11)=1,""))</formula1>
    </dataValidation>
    <dataValidation sqref="G1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1"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En..."/>
    <dataValidation sqref="AU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1" showDropDown="0" showInputMessage="1" showErrorMessage="1" allowBlank="1" errorTitle="Invalid Plug-In" error="The value provided is not a valid Plug-In." promptTitle="Plug-In" prompt="Please select a valid Plug-In" type="list">
      <formula1>'WAYFAIR_USE_ONLY'!$R$7:$R9</formula1>
    </dataValidation>
    <dataValidation sqref="CC1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1" showDropDown="0" showInputMessage="1" showErrorMessage="1" allowBlank="1" promptTitle="Fuel Type" prompt="Please select one of the provided options. Custom entries are not allowed for this field.&#10;---&#10;Since 'Fireplace Included' is set to 'No', this value should be 'Does Not Apply'."/>
    <dataValidation sqref="DD1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1" showDropDown="0" showInputMessage="1" showErrorMessage="1" allowBlank="1" promptTitle="Pieces Included" prompt="Please select one of the provided options. Custom entries are not allowed for this field."/>
    <dataValidation sqref="DG1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AND(LEN(B12)&lt;32767, IF(B12&lt;&gt;"",COUNTIF($B$8:$B$2500,B12)=1,""))</formula1>
    </dataValidation>
    <dataValidation sqref="C1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2" showDropDown="0" showInputMessage="1" showErrorMessage="1" allowBlank="1" errorTitle="Invalid Brand" error="The value provided is not a valid Brand." promptTitle="Brand" prompt="Please select value from the list" type="list">
      <formula1>'WAYFAIR_USE_ONLY'!$BK$7:$BK8</formula1>
    </dataValidation>
    <dataValidation sqref="E1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AND(LEN(E12)&lt;32767, IF(E12&lt;&gt;"",COUNTIF($E$8:$E$2500,E12)=1,""))</formula1>
    </dataValidation>
    <dataValidation sqref="F1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AND(LEN(F12)&lt;32767, IF(F12&lt;&gt;"",COUNTIF($F$8:$F$2500,F12)=1,""))</formula1>
    </dataValidation>
    <dataValidation sqref="G1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2"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CA..."/>
    <dataValidation sqref="AU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2" showDropDown="0" showInputMessage="1" showErrorMessage="1" allowBlank="1" errorTitle="Invalid Plug-In" error="The value provided is not a valid Plug-In." promptTitle="Plug-In" prompt="Please select a valid Plug-In" type="list">
      <formula1>'WAYFAIR_USE_ONLY'!$R$7:$R9</formula1>
    </dataValidation>
    <dataValidation sqref="CC1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2" showDropDown="0" showInputMessage="1" showErrorMessage="1" allowBlank="1" promptTitle="Fuel Type" prompt="Please select one of the provided options. Custom entries are not allowed for this field.&#10;---&#10;Since 'Fireplace Included' is set to 'No', this value should be 'Does Not Apply'."/>
    <dataValidation sqref="DD1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2" showDropDown="0" showInputMessage="1" showErrorMessage="1" allowBlank="1" promptTitle="Pieces Included" prompt="Please select one of the provided options. Custom entries are not allowed for this field."/>
    <dataValidation sqref="DG1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3"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AND(LEN(B13)&lt;32767, IF(B13&lt;&gt;"",COUNTIF($B$8:$B$2500,B13)=1,""))</formula1>
    </dataValidation>
    <dataValidation sqref="C13"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3" showDropDown="0" showInputMessage="1" showErrorMessage="1" allowBlank="1" errorTitle="Invalid Brand" error="The value provided is not a valid Brand." promptTitle="Brand" prompt="Please select value from the list" type="list">
      <formula1>'WAYFAIR_USE_ONLY'!$BK$7:$BK8</formula1>
    </dataValidation>
    <dataValidation sqref="E13"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AND(LEN(E13)&lt;32767, IF(E13&lt;&gt;"",COUNTIF($E$8:$E$2500,E13)=1,""))</formula1>
    </dataValidation>
    <dataValidation sqref="F13"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AND(LEN(F13)&lt;32767, IF(F13&lt;&gt;"",COUNTIF($F$8:$F$2500,F13)=1,""))</formula1>
    </dataValidation>
    <dataValidation sqref="G13"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3"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3"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3"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3"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3"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3"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3"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3"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3"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3"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3"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3"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3"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3"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3"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3"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3"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3"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3"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3"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3"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3"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3"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3"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3"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3"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3" showDropDown="0" showInputMessage="1" showErrorMessage="1" allowBlank="1" promptTitle="Legal Document Type" prompt="Based on answers provided in Class Specific Details Section, the following legal document types are RECOMMENDED: Tipover Restraint Device Included, CARB Phase II Compliant (formaldehyde emissions), CANFER Compliant, TSCA Title VI Compliant (formaldeh..."/>
    <dataValidation sqref="AU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3"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3"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3"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3"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3"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3"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3"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3"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3"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3"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3"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3"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3"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3"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3"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3"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3"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3" showDropDown="0" showInputMessage="1" showErrorMessage="1" allowBlank="1" errorTitle="Invalid Plug-In" error="The value provided is not a valid Plug-In." promptTitle="Plug-In" prompt="Please select a valid Plug-In" type="list">
      <formula1>'WAYFAIR_USE_ONLY'!$R$7:$R9</formula1>
    </dataValidation>
    <dataValidation sqref="CC13"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3"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3"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3"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3"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3"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3"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3"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3"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3"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3"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3"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3"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3"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3"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3"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3"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3"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3" showDropDown="0" showInputMessage="1" showErrorMessage="1" allowBlank="1" promptTitle="Fuel Type" prompt="Please select one of the provided options. Custom entries are not allowed for this field.&#10;---&#10;Since 'Fireplace Included' is set to 'No', this value should be 'Does Not Apply'."/>
    <dataValidation sqref="DD13"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3"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3" showDropDown="0" showInputMessage="1" showErrorMessage="1" allowBlank="1" promptTitle="Pieces Included" prompt="Please select one of the provided options. Custom entries are not allowed for this field."/>
    <dataValidation sqref="DG13"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3"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3"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3"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3"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3"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3"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3"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3"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3"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3"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3"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3"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3"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3"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3"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3"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3"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3"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3"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3"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3"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3"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3"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3"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3"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3"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3"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3"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3"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3"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3"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3"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3"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3"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4"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AND(LEN(B14)&lt;32767, IF(B14&lt;&gt;"",COUNTIF($B$8:$B$2500,B14)=1,""))</formula1>
    </dataValidation>
    <dataValidation sqref="C14"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4" showDropDown="0" showInputMessage="1" showErrorMessage="1" allowBlank="1" errorTitle="Invalid Brand" error="The value provided is not a valid Brand." promptTitle="Brand" prompt="Please select value from the list" type="list">
      <formula1>'WAYFAIR_USE_ONLY'!$BK$7:$BK8</formula1>
    </dataValidation>
    <dataValidation sqref="E14"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AND(LEN(E14)&lt;32767, IF(E14&lt;&gt;"",COUNTIF($E$8:$E$2500,E14)=1,""))</formula1>
    </dataValidation>
    <dataValidation sqref="F14"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AND(LEN(F14)&lt;32767, IF(F14&lt;&gt;"",COUNTIF($F$8:$F$2500,F14)=1,""))</formula1>
    </dataValidation>
    <dataValidation sqref="G14"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4"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4"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4"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4"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4"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4"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4"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4"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4"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4"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4"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4"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4"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4"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4"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4"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4"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4"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4"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4"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4"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4"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4"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4"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4"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4"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4" showDropDown="0" showInputMessage="1" showErrorMessage="1" allowBlank="1" promptTitle="Legal Document Type" prompt="Based on answers provided in Class Specific Details Section, the following legal document types are RECOMMENDED: CANFER Compliant, Energy Efficiency Regulations Compliant, CARB Phase II Compliant (formaldehyde emissions), Tipover Restraint Device Inc..."/>
    <dataValidation sqref="AU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4"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4"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4"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4"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4"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4"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4"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4"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4"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4"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4"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4"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4"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4"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4"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4"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4"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4" showDropDown="0" showInputMessage="1" showErrorMessage="1" allowBlank="1" errorTitle="Invalid Plug-In" error="The value provided is not a valid Plug-In." promptTitle="Plug-In" prompt="Please select a valid Plug-In" type="list">
      <formula1>'WAYFAIR_USE_ONLY'!$R$7:$R9</formula1>
    </dataValidation>
    <dataValidation sqref="CC14"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4"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4"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4"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4"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4"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4"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4"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4"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4"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4"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4"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4"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4"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4"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4"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4"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4"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4"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4"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4" showDropDown="0" showInputMessage="1" showErrorMessage="1" allowBlank="1" promptTitle="Pieces Included" prompt="Please select one of the provided options. Custom entries are not allowed for this field."/>
    <dataValidation sqref="DG14"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4"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4"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4"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4"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4"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4"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4"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4"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4"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4"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4"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4"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4"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4"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4"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4"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4"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4"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4"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4"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4"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4"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4"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4"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4"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4"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4"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4"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4"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4"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4"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4"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4"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4"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5"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AND(LEN(B15)&lt;32767, IF(B15&lt;&gt;"",COUNTIF($B$8:$B$2500,B15)=1,""))</formula1>
    </dataValidation>
    <dataValidation sqref="C15"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5" showDropDown="0" showInputMessage="1" showErrorMessage="1" allowBlank="1" errorTitle="Invalid Brand" error="The value provided is not a valid Brand." promptTitle="Brand" prompt="Please select value from the list" type="list">
      <formula1>'WAYFAIR_USE_ONLY'!$BK$7:$BK8</formula1>
    </dataValidation>
    <dataValidation sqref="E15"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AND(LEN(E15)&lt;32767, IF(E15&lt;&gt;"",COUNTIF($E$8:$E$2500,E15)=1,""))</formula1>
    </dataValidation>
    <dataValidation sqref="F15"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AND(LEN(F15)&lt;32767, IF(F15&lt;&gt;"",COUNTIF($F$8:$F$2500,F15)=1,""))</formula1>
    </dataValidation>
    <dataValidation sqref="G15"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5"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5"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5"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5"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5"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5"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5"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5"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5"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5"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5"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5"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5"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5"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5"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5"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5"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5"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5"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5"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5"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5"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5"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5"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5"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5"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5" showDropDown="0" showInputMessage="1" showErrorMessage="1" allowBlank="1" promptTitle="Legal Document Type" prompt="Based on answers provided in Class Specific Details Section, the following legal document types are RECOMMENDED: CANFER Compliant, TSCA Title VI Compliant (formaldehyde emissions), Energy Efficiency Regulations Compliant, CARB Phase II Compliant (for..."/>
    <dataValidation sqref="AU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5"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5"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5"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5"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5"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5"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5"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5"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5"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5"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5"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5"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5"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5"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5"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5"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5"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5" showDropDown="0" showInputMessage="1" showErrorMessage="1" allowBlank="1" errorTitle="Invalid Plug-In" error="The value provided is not a valid Plug-In." promptTitle="Plug-In" prompt="Please select a valid Plug-In" type="list">
      <formula1>'WAYFAIR_USE_ONLY'!$R$7:$R9</formula1>
    </dataValidation>
    <dataValidation sqref="CC15"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5"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5"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5"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5"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5"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5"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5"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5"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5"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5"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5"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5"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5"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5"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5"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5"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5"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5" showDropDown="0" showInputMessage="1" showErrorMessage="1" allowBlank="1" promptTitle="Fuel Type" prompt="Please select one of the provided options. Custom entries are not allowed for this field.&#10;---&#10;Since 'Fireplace Included' is set to 'No', this value should be 'Does Not Apply'."/>
    <dataValidation sqref="DD15"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5"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5" showDropDown="0" showInputMessage="1" showErrorMessage="1" allowBlank="1" promptTitle="Pieces Included" prompt="Please select one of the provided options. Custom entries are not allowed for this field."/>
    <dataValidation sqref="DG15"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5"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5"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5"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5"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5"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5"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5"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5"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5"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5"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5"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5"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5"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5"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5"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5"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5"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5"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5"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5"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5"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5"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5"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5"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5"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5"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5"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5"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5"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5"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5"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5"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5"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5"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6"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AND(LEN(B16)&lt;32767, IF(B16&lt;&gt;"",COUNTIF($B$8:$B$2500,B16)=1,""))</formula1>
    </dataValidation>
    <dataValidation sqref="C16"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6" showDropDown="0" showInputMessage="1" showErrorMessage="1" allowBlank="1" errorTitle="Invalid Brand" error="The value provided is not a valid Brand." promptTitle="Brand" prompt="Please select value from the list" type="list">
      <formula1>'WAYFAIR_USE_ONLY'!$BK$7:$BK8</formula1>
    </dataValidation>
    <dataValidation sqref="E16"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AND(LEN(E16)&lt;32767, IF(E16&lt;&gt;"",COUNTIF($E$8:$E$2500,E16)=1,""))</formula1>
    </dataValidation>
    <dataValidation sqref="F16"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AND(LEN(F16)&lt;32767, IF(F16&lt;&gt;"",COUNTIF($F$8:$F$2500,F16)=1,""))</formula1>
    </dataValidation>
    <dataValidation sqref="G16"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6"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6"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6"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6"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6"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6"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6"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6"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6"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6"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6"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6"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6"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6"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6"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6"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6"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6"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6"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6"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6"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6"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6"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6"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6"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6"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6" showDropDown="0" showInputMessage="1" showErrorMessage="1" allowBlank="1" promptTitle="Legal Document Type" prompt="Based on answers provided in Class Specific Details Section, the following legal document types are RECOMMENDED: Tipover Restraint Device Included, CANFER Compliant, Energy Efficiency Regulations Compliant, CARB Phase II Compliant (formaldehyde emiss..."/>
    <dataValidation sqref="AU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6"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6"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6"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6"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6"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6"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6"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6"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6"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6"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6"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6"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6"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6"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6"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6"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6"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6" showDropDown="0" showInputMessage="1" showErrorMessage="1" allowBlank="1" errorTitle="Invalid Plug-In" error="The value provided is not a valid Plug-In." promptTitle="Plug-In" prompt="Please select a valid Plug-In" type="list">
      <formula1>'WAYFAIR_USE_ONLY'!$R$7:$R9</formula1>
    </dataValidation>
    <dataValidation sqref="CC16"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6"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6"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6"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6"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6"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6"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6"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6"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6"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6"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6"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6"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6"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6"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6"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6"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6"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6"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6"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6" showDropDown="0" showInputMessage="1" showErrorMessage="1" allowBlank="1" promptTitle="Pieces Included" prompt="Please select one of the provided options. Custom entries are not allowed for this field."/>
    <dataValidation sqref="DG16"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6"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6"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6"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6"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6"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6"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6"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6"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6"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6"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6"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6"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6"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6"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6"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6"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6"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6"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6"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6"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6"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6"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6"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6"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6"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6"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6"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6"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6"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6"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6"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6"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6"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6"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7"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AND(LEN(B17)&lt;32767, IF(B17&lt;&gt;"",COUNTIF($B$8:$B$2500,B17)=1,""))</formula1>
    </dataValidation>
    <dataValidation sqref="C17"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7" showDropDown="0" showInputMessage="1" showErrorMessage="1" allowBlank="1" errorTitle="Invalid Brand" error="The value provided is not a valid Brand." promptTitle="Brand" prompt="Please select value from the list" type="list">
      <formula1>'WAYFAIR_USE_ONLY'!$BK$7:$BK8</formula1>
    </dataValidation>
    <dataValidation sqref="E17"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AND(LEN(E17)&lt;32767, IF(E17&lt;&gt;"",COUNTIF($E$8:$E$2500,E17)=1,""))</formula1>
    </dataValidation>
    <dataValidation sqref="F17"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AND(LEN(F17)&lt;32767, IF(F17&lt;&gt;"",COUNTIF($F$8:$F$2500,F17)=1,""))</formula1>
    </dataValidation>
    <dataValidation sqref="G17"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7"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7"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7"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7"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7"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7"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7"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7"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7"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7"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7"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7"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7"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7"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7"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7"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7"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7"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7"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7"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7"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7"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7"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7"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7"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7"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7" showDropDown="0" showInputMessage="1" showErrorMessage="1" allowBlank="1" promptTitle="Legal Document Type" prompt="Based on answers provided in Class Specific Details Section, the following legal document types are RECOMMENDED: Energy Efficiency Regulations Compliant, CANFER Compliant, CARB Phase II Compliant (formaldehyde emissions), TSCA Title VI Compliant (for..."/>
    <dataValidation sqref="AU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7"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7"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7"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7"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7"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7"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7"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7"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7"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7"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7"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7"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7"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7"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7"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7"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7"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7" showDropDown="0" showInputMessage="1" showErrorMessage="1" allowBlank="1" errorTitle="Invalid Plug-In" error="The value provided is not a valid Plug-In." promptTitle="Plug-In" prompt="Please select a valid Plug-In" type="list">
      <formula1>'WAYFAIR_USE_ONLY'!$R$7:$R9</formula1>
    </dataValidation>
    <dataValidation sqref="CC17"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7"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7"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7"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7"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7"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7"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7"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7"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7"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7"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7"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7"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7"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7"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7"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7"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7"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7" showDropDown="0" showInputMessage="1" showErrorMessage="1" allowBlank="1" promptTitle="Fuel Type" prompt="Please select one of the provided options. Custom entries are not allowed for this field.&#10;---&#10;Since 'Fireplace Included' is set to 'No', this value should be 'Does Not Apply'."/>
    <dataValidation sqref="DD17"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7"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7" showDropDown="0" showInputMessage="1" showErrorMessage="1" allowBlank="1" promptTitle="Pieces Included" prompt="Please select one of the provided options. Custom entries are not allowed for this field."/>
    <dataValidation sqref="DG17"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7"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7"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7"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7"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7"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7"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7"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7"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7"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7"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7"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7"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7"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7"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7"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7"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7"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7"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7"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7"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7"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7"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7"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7"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7"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7"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7"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7"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7"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7"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7"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7"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7"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7"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AND(LEN(B18)&lt;32767, IF(B18&lt;&gt;"",COUNTIF($B$8:$B$2500,B18)=1,""))</formula1>
    </dataValidation>
    <dataValidation sqref="C1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8" showDropDown="0" showInputMessage="1" showErrorMessage="1" allowBlank="1" errorTitle="Invalid Brand" error="The value provided is not a valid Brand." promptTitle="Brand" prompt="Please select value from the list" type="list">
      <formula1>'WAYFAIR_USE_ONLY'!$BK$7:$BK8</formula1>
    </dataValidation>
    <dataValidation sqref="E1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AND(LEN(E18)&lt;32767, IF(E18&lt;&gt;"",COUNTIF($E$8:$E$2500,E18)=1,""))</formula1>
    </dataValidation>
    <dataValidation sqref="F1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AND(LEN(F18)&lt;32767, IF(F18&lt;&gt;"",COUNTIF($F$8:$F$2500,F18)=1,""))</formula1>
    </dataValidation>
    <dataValidation sqref="G1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8" showDropDown="0" showInputMessage="1" showErrorMessage="1" allowBlank="1" promptTitle="Legal Document Type" prompt="Based on answers provided in Class Specific Details Section, the following legal document types are RECOMMENDED: Energy Efficiency Regulations Compliant, Tipover Restraint Device Included, CANFER Compliant, TSCA Title VI Compliant (formaldehyde emiss..."/>
    <dataValidation sqref="AU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8" showDropDown="0" showInputMessage="1" showErrorMessage="1" allowBlank="1" errorTitle="Invalid Plug-In" error="The value provided is not a valid Plug-In." promptTitle="Plug-In" prompt="Please select a valid Plug-In" type="list">
      <formula1>'WAYFAIR_USE_ONLY'!$R$7:$R9</formula1>
    </dataValidation>
    <dataValidation sqref="CC1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8"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8" showDropDown="0" showInputMessage="1" showErrorMessage="1" allowBlank="1" promptTitle="Fuel Type" prompt="Please select one of the provided options. Custom entries are not allowed for this field.&#10;---&#10;Since 'Fireplace Included' is set to 'No', this value should be 'Does Not Apply'."/>
    <dataValidation sqref="DD1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8" showDropDown="0" showInputMessage="1" showErrorMessage="1" allowBlank="1" promptTitle="Pieces Included" prompt="Please select one of the provided options. Custom entries are not allowed for this field."/>
    <dataValidation sqref="DG1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AND(LEN(B19)&lt;32767, IF(B19&lt;&gt;"",COUNTIF($B$8:$B$2500,B19)=1,""))</formula1>
    </dataValidation>
    <dataValidation sqref="C1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9" showDropDown="0" showInputMessage="1" showErrorMessage="1" allowBlank="1" errorTitle="Invalid Brand" error="The value provided is not a valid Brand." promptTitle="Brand" prompt="Please select value from the list" type="list">
      <formula1>'WAYFAIR_USE_ONLY'!$BK$7:$BK8</formula1>
    </dataValidation>
    <dataValidation sqref="E1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AND(LEN(E19)&lt;32767, IF(E19&lt;&gt;"",COUNTIF($E$8:$E$2500,E19)=1,""))</formula1>
    </dataValidation>
    <dataValidation sqref="F1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AND(LEN(F19)&lt;32767, IF(F19&lt;&gt;"",COUNTIF($F$8:$F$2500,F19)=1,""))</formula1>
    </dataValidation>
    <dataValidation sqref="G1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9" showDropDown="0" showInputMessage="1" showErrorMessage="1" allowBlank="1" promptTitle="Legal Document Type" prompt="Based on answers provided in Class Specific Details Section, the following legal document types are RECOMMENDED: Tipover Restraint Device Included, TSCA Title VI Compliant (formaldehyde emissions), CARB Phase II Compliant (formaldehyde emissions), En..."/>
    <dataValidation sqref="AU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9" showDropDown="0" showInputMessage="1" showErrorMessage="1" allowBlank="1" errorTitle="Invalid Plug-In" error="The value provided is not a valid Plug-In." promptTitle="Plug-In" prompt="Please select a valid Plug-In" type="list">
      <formula1>'WAYFAIR_USE_ONLY'!$R$7:$R9</formula1>
    </dataValidation>
    <dataValidation sqref="CC1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9" showDropDown="0" showInputMessage="1" showErrorMessage="1" allowBlank="1" promptTitle="Fuel Type" prompt="Please select one of the provided options. Custom entries are not allowed for this field.&#10;---&#10;Since 'Fireplace Included' is set to 'No', this value should be 'Does Not Apply'."/>
    <dataValidation sqref="DD1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9" showDropDown="0" showInputMessage="1" showErrorMessage="1" allowBlank="1" promptTitle="Pieces Included" prompt="Please select one of the provided options. Custom entries are not allowed for this field."/>
    <dataValidation sqref="DG1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AND(LEN(B20)&lt;32767, IF(B20&lt;&gt;"",COUNTIF($B$8:$B$2500,B20)=1,""))</formula1>
    </dataValidation>
    <dataValidation sqref="C2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0" showDropDown="0" showInputMessage="1" showErrorMessage="1" allowBlank="1" errorTitle="Invalid Brand" error="The value provided is not a valid Brand." promptTitle="Brand" prompt="Please select value from the list" type="list">
      <formula1>'WAYFAIR_USE_ONLY'!$BK$7:$BK8</formula1>
    </dataValidation>
    <dataValidation sqref="E2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AND(LEN(E20)&lt;32767, IF(E20&lt;&gt;"",COUNTIF($E$8:$E$2500,E20)=1,""))</formula1>
    </dataValidation>
    <dataValidation sqref="F2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AND(LEN(F20)&lt;32767, IF(F20&lt;&gt;"",COUNTIF($F$8:$F$2500,F20)=1,""))</formula1>
    </dataValidation>
    <dataValidation sqref="G2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0" showDropDown="0" showInputMessage="1" showErrorMessage="1" allowBlank="1" promptTitle="Legal Document Type" prompt="Based on answers provided in Class Specific Details Section, the following legal document types are RECOMMENDED: TSCA Title VI Compliant (formaldehyde emissions), CANFER Compliant, Energy Efficiency Regulations Compliant, Tipover Restraint Device Inc..."/>
    <dataValidation sqref="AU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0" showDropDown="0" showInputMessage="1" showErrorMessage="1" allowBlank="1" errorTitle="Invalid Plug-In" error="The value provided is not a valid Plug-In." promptTitle="Plug-In" prompt="Please select a valid Plug-In" type="list">
      <formula1>'WAYFAIR_USE_ONLY'!$R$7:$R9</formula1>
    </dataValidation>
    <dataValidation sqref="CC2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0" showDropDown="0" showInputMessage="1" showErrorMessage="1" allowBlank="1" promptTitle="Fuel Type" prompt="Please select one of the provided options. Custom entries are not allowed for this field.&#10;---&#10;Since 'Fireplace Included' is set to 'No', this value should be 'Does Not Apply'."/>
    <dataValidation sqref="DD2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0" showDropDown="0" showInputMessage="1" showErrorMessage="1" allowBlank="1" promptTitle="Pieces Included" prompt="Please select one of the provided options. Custom entries are not allowed for this field."/>
    <dataValidation sqref="DG2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AND(LEN(B21)&lt;32767, IF(B21&lt;&gt;"",COUNTIF($B$8:$B$2500,B21)=1,""))</formula1>
    </dataValidation>
    <dataValidation sqref="C2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1" showDropDown="0" showInputMessage="1" showErrorMessage="1" allowBlank="1" errorTitle="Invalid Brand" error="The value provided is not a valid Brand." promptTitle="Brand" prompt="Please select value from the list" type="list">
      <formula1>'WAYFAIR_USE_ONLY'!$BK$7:$BK8</formula1>
    </dataValidation>
    <dataValidation sqref="E2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AND(LEN(E21)&lt;32767, IF(E21&lt;&gt;"",COUNTIF($E$8:$E$2500,E21)=1,""))</formula1>
    </dataValidation>
    <dataValidation sqref="F2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AND(LEN(F21)&lt;32767, IF(F21&lt;&gt;"",COUNTIF($F$8:$F$2500,F21)=1,""))</formula1>
    </dataValidation>
    <dataValidation sqref="G2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1" showDropDown="0" showInputMessage="1" showErrorMessage="1" allowBlank="1" promptTitle="Legal Document Type" prompt="Based on answers provided in Class Specific Details Section, the following legal document types are RECOMMENDED: Tipover Restraint Device Included, CANFER Compliant, TSCA Title VI Compliant (formaldehyde emissions), CARB Phase II Compliant (formaldeh..."/>
    <dataValidation sqref="AU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1" showDropDown="0" showInputMessage="1" showErrorMessage="1" allowBlank="1" errorTitle="Invalid Plug-In" error="The value provided is not a valid Plug-In." promptTitle="Plug-In" prompt="Please select a valid Plug-In" type="list">
      <formula1>'WAYFAIR_USE_ONLY'!$R$7:$R9</formula1>
    </dataValidation>
    <dataValidation sqref="CC2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1" showDropDown="0" showInputMessage="1" showErrorMessage="1" allowBlank="1" promptTitle="Fuel Type" prompt="Please select one of the provided options. Custom entries are not allowed for this field.&#10;---&#10;Since 'Fireplace Included' is set to 'No', this value should be 'Does Not Apply'."/>
    <dataValidation sqref="DD2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1" showDropDown="0" showInputMessage="1" showErrorMessage="1" allowBlank="1" promptTitle="Pieces Included" prompt="Please select one of the provided options. Custom entries are not allowed for this field."/>
    <dataValidation sqref="DG2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AND(LEN(B22)&lt;32767, IF(B22&lt;&gt;"",COUNTIF($B$8:$B$2500,B22)=1,""))</formula1>
    </dataValidation>
    <dataValidation sqref="C2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2" showDropDown="0" showInputMessage="1" showErrorMessage="1" allowBlank="1" errorTitle="Invalid Brand" error="The value provided is not a valid Brand." promptTitle="Brand" prompt="Please select value from the list" type="list">
      <formula1>'WAYFAIR_USE_ONLY'!$BK$7:$BK8</formula1>
    </dataValidation>
    <dataValidation sqref="E2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AND(LEN(E22)&lt;32767, IF(E22&lt;&gt;"",COUNTIF($E$8:$E$2500,E22)=1,""))</formula1>
    </dataValidation>
    <dataValidation sqref="F2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AND(LEN(F22)&lt;32767, IF(F22&lt;&gt;"",COUNTIF($F$8:$F$2500,F22)=1,""))</formula1>
    </dataValidation>
    <dataValidation sqref="G2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2" showDropDown="0" showInputMessage="1" showErrorMessage="1" allowBlank="1" promptTitle="Legal Document Type" prompt="Based on answers provided in Class Specific Details Section, the following legal document types are RECOMMENDED: TSCA Title VI Compliant (formaldehyde emissions), Energy Efficiency Regulations Compliant, Tipover Restraint Device Included, CANFER Comp..."/>
    <dataValidation sqref="AU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2" showDropDown="0" showInputMessage="1" showErrorMessage="1" allowBlank="1" errorTitle="Invalid Plug-In" error="The value provided is not a valid Plug-In." promptTitle="Plug-In" prompt="Please select a valid Plug-In" type="list">
      <formula1>'WAYFAIR_USE_ONLY'!$R$7:$R9</formula1>
    </dataValidation>
    <dataValidation sqref="CC2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2" showDropDown="0" showInputMessage="1" showErrorMessage="1" allowBlank="1" promptTitle="Fuel Type" prompt="Please select one of the provided options. Custom entries are not allowed for this field.&#10;---&#10;Since 'Fireplace Included' is set to 'No', this value should be 'Does Not Apply'."/>
    <dataValidation sqref="DD2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2" showDropDown="0" showInputMessage="1" showErrorMessage="1" allowBlank="1" promptTitle="Pieces Included" prompt="Please select one of the provided options. Custom entries are not allowed for this field."/>
    <dataValidation sqref="DG2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 IFERROR(INDEX(_xlpm.r, MATCH(TRUE, (_xlpm.r &lt;&gt; "") * ((LEFT(_xlpm.r, 2) = "1:") + (LEFT(_xlpm.r, 2) = "3:")) &gt; 0, 0)), ""), IF(_xlpm.high_priority &lt;&gt; "", _xlpm.high_priority, IFERROR(INDEX(_xlpm.r, MATCH(TRUE, (_xlpm.r &lt;&gt; "") * (LEFT(_xlpm.r, 2) = "4:") &gt; 0, 0)), "")))))</f>
        <v/>
      </c>
      <c r="B8">
        <f t="array" ref="B8">_xlfn.MAP('6 - TV Stands &amp; Enterta'!B8:B22, '6 - TV Stands &amp; Enterta'!B8:B22, '6 - TV Stands &amp; Enterta-WUO_SER'!B8:B22, '6 - TV Stands &amp; Enterta-WUO_SSV'!B8:B22,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f t="array" ref="C8">_xlfn.MAP('6 - TV Stands &amp; Enterta'!B8:B22, '6 - TV Stands &amp; Enterta'!C8:C22, '6 - TV Stands &amp; Enterta-WUO_SER'!C8:C22, '6 - TV Stands &amp; Enterta-WUO_SSV'!C8:C22, _xlfn.LAMBDA(_xlpm.part, _xlpm.val, _xlpm.servererror, _xlpm.serverval, IF(_xlpm.part = "", "", _xlfn.LET(_xlpm.ssvMsg, IF(AND(LEN(_xlpm.servererror), _xlpm.val = _xlpm.serverval), _xlpm.servererror, ""), IF(LEN(_xlpm.ssvMsg) &gt; 0, _xlpm.ssvMsg, IF(AND(_xlpm.val = "", C$3="Required"), IF(OR('6 - TV Stands &amp; Enterta'!C$7 = "", '6 - TV Stands &amp; Enterta'!C$7 = "N/A"), "3:ASIN or Amazon Seller SKU - Value is required", ""), ""))))))</f>
        <v/>
      </c>
      <c r="D8">
        <f t="array" ref="D8">_xlfn.MAP('6 - TV Stands &amp; Enterta'!B8:B22, '6 - TV Stands &amp; Enterta'!D8:D22, '6 - TV Stands &amp; Enterta-WUO_SER'!D8:D22, '6 - TV Stands &amp; Enterta-WUO_SSV'!D8:D22, _xlfn.LAMBDA(_xlpm.part, _xlpm.val, _xlpm.servererror, _xlpm.serverval, IF(_xlpm.part = "", "", _xlfn.LET(_xlpm.ssvMsg, IF(AND(LEN(_xlpm.servererror), _xlpm.val = _xlpm.serverval), _xlpm.servererror, ""), IF(LEN(_xlpm.ssvMsg) &gt; 0, _xlpm.ssvMsg, IF(AND(_xlpm.val = "", D$3="Required"), IF(OR('6 - TV Stands &amp; Enterta'!D$7 = "", '6 - TV Stands &amp; Enterta'!D$7 = "N/A"), "3:Brand - Value is required", ""), ""))))))</f>
        <v/>
      </c>
      <c r="E8">
        <f t="array" ref="E8">_xlfn.MAP('6 - TV Stands &amp; Enterta'!B8:B22, '6 - TV Stands &amp; Enterta'!E8:E22, '6 - TV Stands &amp; Enterta-WUO_SER'!E8:E22, '6 - TV Stands &amp; Enterta-WUO_SSV'!E8:E22,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f t="array" ref="F8">_xlfn.MAP('6 - TV Stands &amp; Enterta'!B8:B22, '6 - TV Stands &amp; Enterta'!F8:F22, '6 - TV Stands &amp; Enterta-WUO_SER'!F8:F22, '6 - TV Stands &amp; Enterta-WUO_SSV'!F8:F22, _xlfn.LAMBDA(_xlpm.part, _xlpm.val, _xlpm.servererror, _xlpm.serverval, IF(_xlpm.part = "", "", _xlfn.LET(_xlpm.ssvMsg, IF(AND(LEN(_xlpm.servererror), _xlpm.val = _xlpm.serverval), _xlpm.servererror, ""), IF(LEN(_xlpm.ssvMsg) &gt; 0, _xlpm.ssvMsg,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f t="array" ref="G8">_xlfn.MAP('6 - TV Stands &amp; Enterta'!B8:B22, '6 - TV Stands &amp; Enterta'!G8:G22, '6 - TV Stands &amp; Enterta-WUO_SER'!G8:G22, '6 - TV Stands &amp; Enterta-WUO_SSV'!G8:G22, _xlfn.LAMBDA(_xlpm.part, _xlpm.val, _xlpm.servererror, _xlpm.serverval, IF(_xlpm.part = "", "", _xlfn.LET(_xlpm.ssvMsg, IF(AND(LEN(_xlpm.servererror), _xlpm.val = _xlpm.serverval), _xlpm.servererror, ""), IF(LEN(_xlpm.ssvMsg) &gt; 0, _xlpm.ssvMsg,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f t="array" ref="H8">_xlfn.MAP('6 - TV Stands &amp; Enterta'!B8:B22, '6 - TV Stands &amp; Enterta'!H8:H22, '6 - TV Stands &amp; Enterta-WUO_SER'!H8:H22, '6 - TV Stands &amp; Enterta-WUO_SSV'!H8:H22, _xlfn.LAMBDA(_xlpm.part, _xlpm.val, _xlpm.servererror, _xlpm.serverval, IF(_xlpm.part = "", "", _xlfn.LET(_xlpm.ssvMsg, IF(AND(LEN(_xlpm.servererror), _xlpm.val = _xlpm.serverval), _xlpm.servererror, ""), IF(LEN(_xlpm.ssvMsg) &gt; 0, _xlpm.ssvMsg, IF(AND(_xlpm.val = "", H$3="Required"), IF(OR('6 - TV Stands &amp; Enterta'!H$7 = "", '6 - TV Stands &amp; Enterta'!H$7 = "N/A"), "3:Collection Name - Value is required", ""), ""))))))</f>
        <v/>
      </c>
      <c r="I8">
        <f t="array" ref="I8">_xlfn.MAP('6 - TV Stands &amp; Enterta'!B8:B22, '6 - TV Stands &amp; Enterta'!I8:I22, '6 - TV Stands &amp; Enterta-WUO_SER'!I8:I22, '6 - TV Stands &amp; Enterta-WUO_SSV'!I8:I22, _xlfn.LAMBDA(_xlpm.part, _xlpm.val, _xlpm.servererror, _xlpm.serverval, IF(_xlpm.part = "", "", _xlfn.LET(_xlpm.ssvMsg, IF(AND(LEN(_xlpm.servererror), _xlpm.val = _xlpm.serverval), _xlpm.servererror, ""), IF(LEN(_xlpm.ssvMsg) &gt; 0, _xlpm.ssvMsg, IF(AND(_xlpm.val = "", I$3="Required"), IF(OR('6 - TV Stands &amp; Enterta'!I$7 = "", '6 - TV Stands &amp; Enterta'!I$7 = "N/A"), "3:Manufacturer Product URL - Value is required", ""), ""))))))</f>
        <v/>
      </c>
      <c r="J8">
        <f t="array" ref="J8">_xlfn.MAP('6 - TV Stands &amp; Enterta'!B8:B22, '6 - TV Stands &amp; Enterta'!J8:J22, '6 - TV Stands &amp; Enterta-WUO_SER'!J8:J22, '6 - TV Stands &amp; Enterta-WUO_SSV'!J8:J22,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"1:Base Cost - Value should be numeric", ""), IF(LEN(_xlpm.check1) &gt; 0, _xlpm.check1, IF(AND(_xlpm.val = "", J$3="Required"), IF(OR('6 - TV Stands &amp; Enterta'!J$7 = "", '6 - TV Stands &amp; Enterta'!J$7 = "N/A"), "3:Base Cost - Value is required", ""), ""))))))))</f>
        <v/>
      </c>
      <c r="K8">
        <f t="array" ref="K8">_xlfn.MAP('6 - TV Stands &amp; Enterta'!B8:B22, '6 - TV Stands &amp; Enterta'!K8:K22, '6 - TV Stands &amp; Enterta-WUO_SER'!K8:K22, '6 - TV Stands &amp; Enterta-WUO_SSV'!K8:K22,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Advertised Price - Value should be numeric", ""), IF(LEN(_xlpm.check1) &gt; 0, _xlpm.check1, IF(AND(_xlpm.val = "", K$3="Required"), IF(OR('6 - TV Stands &amp; Enterta'!K$7 = "", '6 - TV Stands &amp; Enterta'!K$7 = "N/A"), "3:Minimum Advertised Price - Value is required", ""), ""))))))))</f>
        <v/>
      </c>
      <c r="L8">
        <f t="array" ref="L8">_xlfn.MAP('6 - TV Stands &amp; Enterta'!B8:B22, '6 - TV Stands &amp; Enterta'!L8:L22, '6 - TV Stands &amp; Enterta-WUO_SER'!L8:L22, '6 - TV Stands &amp; Enterta-WUO_SSV'!L8:L22,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"1:Manufacturer Suggested Retail Price - Value should be numeric", ""), IF(LEN(_xlpm.check1) &gt; 0, _xlpm.check1, IF(AND(_xlpm.val = "", L$3="Required"), IF(OR('6 - TV Stands &amp; Enterta'!L$7 = "", '6 - TV Stands &amp; Enterta'!L$7 = "N/A"), "3:Manufacturer Suggested Retail Price - Value is required", ""), ""))))))))</f>
        <v/>
      </c>
      <c r="M8">
        <f t="array" ref="M8">_xlfn.MAP('6 - TV Stands &amp; Enterta'!B8:B22, '6 - TV Stands &amp; Enterta'!M8:M22, '6 - TV Stands &amp; Enterta-WUO_SER'!M8:M22, '6 - TV Stands &amp; Enterta-WUO_SSV'!M8:M22, '6 - TV Stands &amp; Enterta'!N8:N22, '6 - TV Stands &amp; Enterta'!O8:O22, '6 - TV Stands &amp; Enterta'!P8:P22,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"1:Marketing Copy cannot contain special characters ([™Ø⌀•‣◦⁃⁌⁍∙&lt;&gt;])", ""), IF(LEN(_xlpm.check1) &gt; 0, _xlpm.check1, _xlfn.LET(_xlpm.check2, IF(AND(_xlpm.val &lt;&gt; "", LEN(_xlpm.val) &lt; 16), "1:Marketing Copy should be more than 15 characters", ""), IF(LEN(_xlpm.check2) &gt; 0, _xlpm.check2, _xlfn.LET(_xlpm.check3, IF(AND(_xlpm.val = "", M$3="Required"), IF(OR('6 - TV Stands &amp; Enterta'!M$7 = "", '6 - TV Stands &amp; Enterta'!M$7 = "N/A"), "3:Marketing Copy - Value is required", ""), ""), IF(LEN(_xlpm.check3) &gt; 0, _xlpm.check3, IF(OR(_xlpm.dep1 = "", _xlpm.dep2 = "", _xlpm.dep3 = ""), IF(_xlpm.val = "", IF(OR('6 - TV Stands &amp; Enterta'!M$7 = "", '6 - TV Stands &amp; Enterta'!M$7 = "N/A"), "3:Either the Marketing Copy or at least three Feature Bullets are required for this part.", ""), ""), ""))))))))))))</f>
        <v/>
      </c>
      <c r="N8">
        <f t="array" ref="N8">_xlfn.MAP('6 - TV Stands &amp; Enterta'!B8:B22, '6 - TV Stands &amp; Enterta'!N8:N22, '6 - TV Stands &amp; Enterta-WUO_SER'!N8:N22, '6 - TV Stands &amp; Enterta-WUO_SSV'!N8:N22, '6 - TV Stands &amp; Enterta'!O8:O22,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N$3="Required"), IF(OR('6 - TV Stands &amp; Enterta'!N$7 = "", '6 - TV Stands &amp; Enterta'!N$7 = "N/A"), "3:Feature Bullet - Value is required", ""), ""), IF(LEN(_xlpm.check2) &gt; 0, _xlpm.check2, _xlfn.LET(_xlpm.check3, IF(AND(AND(_xlpm.dep1 = "", _xlpm.dep2 = ""), _xlpm.dep3 = ""), IF(_xlpm.val = "", IF(OR('6 - TV Stands &amp; Enterta'!N$7 = "", '6 - TV Stands &amp; Enterta'!N$7 = "N/A"), "3:Either the Marketing Copy or at least three Feature Bullets are required for this part.", ""), ""), ""), IF(LEN(_xlpm.check3) &gt; 0, _xlpm.check3, IF(_xlpm.dep3 = "", IF(_xlpm.val = "", IF(OR('6 - TV Stands &amp; Enterta'!N$7 = "", '6 - TV Stands &amp; Enterta'!N$7 = "N/A"), "3:Three feature bullets must be filled", ""), ""), ""))))))))))))</f>
        <v/>
      </c>
      <c r="O8">
        <f t="array" ref="O8">_xlfn.MAP('6 - TV Stands &amp; Enterta'!B8:B22, '6 - TV Stands &amp; Enterta'!O8:O22, '6 - TV Stands &amp; Enterta-WUO_SER'!O8:O22, '6 - TV Stands &amp; Enterta-WUO_SSV'!O8:O22, '6 - TV Stands &amp; Enterta'!N8:N22,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O$3="Required"), IF(OR('6 - TV Stands &amp; Enterta'!O$7 = "", '6 - TV Stands &amp; Enterta'!O$7 = "N/A"), "3:Feature Bullet - Value is required", ""), ""), IF(LEN(_xlpm.check2) &gt; 0, _xlpm.check2, _xlfn.LET(_xlpm.check3, IF(AND(AND(_xlpm.dep1 = "", _xlpm.dep2 = ""), _xlpm.dep3 = ""), IF(_xlpm.val = "", IF(OR('6 - TV Stands &amp; Enterta'!O$7 = "", '6 - TV Stands &amp; Enterta'!O$7 = "N/A"), "3:Either the Marketing Copy or at least three Feature Bullets are required for this part.", ""), ""), ""), IF(LEN(_xlpm.check3) &gt; 0, _xlpm.check3, IF(_xlpm.dep3 = "", IF(_xlpm.val = "", IF(OR('6 - TV Stands &amp; Enterta'!O$7 = "", '6 - TV Stands &amp; Enterta'!O$7 = "N/A"), "3:Three feature bullets must be filled", ""), ""), ""))))))))))))</f>
        <v/>
      </c>
      <c r="P8">
        <f t="array" ref="P8">_xlfn.MAP('6 - TV Stands &amp; Enterta'!B8:B22, '6 - TV Stands &amp; Enterta'!P8:P22, '6 - TV Stands &amp; Enterta-WUO_SER'!P8:P22, '6 - TV Stands &amp; Enterta-WUO_SSV'!P8:P22, '6 - TV Stands &amp; Enterta'!N8:N22, '6 - TV Stands &amp; Enterta'!O8:O22,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P$3="Required"), IF(OR('6 - TV Stands &amp; Enterta'!P$7 = "", '6 - TV Stands &amp; Enterta'!P$7 = "N/A"), "3:Feature Bullet - Value is required", ""), ""), IF(LEN(_xlpm.check2) &gt; 0, _xlpm.check2, _xlfn.LET(_xlpm.check3, IF(AND(AND(_xlpm.dep1 = "", _xlpm.dep2 = ""), _xlpm.dep3 = ""), IF(_xlpm.val = "", IF(OR('6 - TV Stands &amp; Enterta'!P$7 = "", '6 - TV Stands &amp; Enterta'!P$7 = "N/A"), "3:Either the Marketing Copy or at least three Feature Bullets are required for this part.", ""), ""), ""), IF(LEN(_xlpm.check3) &gt; 0, _xlpm.check3, IF(_xlpm.dep3 = "", IF(_xlpm.val = "", IF(OR('6 - TV Stands &amp; Enterta'!P$7 = "", '6 - TV Stands &amp; Enterta'!P$7 = "N/A"), "3:Three feature bullets must be filled", ""), ""), ""))))))))))))</f>
        <v/>
      </c>
      <c r="Q8">
        <f t="array" ref="Q8">_xlfn.MAP('6 - TV Stands &amp; Enterta'!B8:B22, '6 - TV Stands &amp; Enterta'!Q8:Q22, '6 - TV Stands &amp; Enterta-WUO_SER'!Q8:Q22, '6 - TV Stands &amp; Enterta-WUO_SSV'!Q8:Q22,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Q$3="Required"), IF(OR('6 - TV Stands &amp; Enterta'!Q$7 = "", '6 - TV Stands &amp; Enterta'!Q$7 = "N/A"), "3:Feature Bullet - Value is required", ""), ""))))))))</f>
        <v/>
      </c>
      <c r="R8">
        <f t="array" ref="R8">_xlfn.MAP('6 - TV Stands &amp; Enterta'!B8:B22, '6 - TV Stands &amp; Enterta'!R8:R22, '6 - TV Stands &amp; Enterta-WUO_SER'!R8:R22, '6 - TV Stands &amp; Enterta-WUO_SSV'!R8:R22,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R$3="Required"), IF(OR('6 - TV Stands &amp; Enterta'!R$7 = "", '6 - TV Stands &amp; Enterta'!R$7 = "N/A"), "3:Feature Bullet - Value is required", ""), ""))))))))</f>
        <v/>
      </c>
      <c r="S8">
        <f t="array" ref="S8">_xlfn.MAP('6 - TV Stands &amp; Enterta'!B8:B22, '6 - TV Stands &amp; Enterta'!S8:S22, '6 - TV Stands &amp; Enterta-WUO_SER'!S8:S22, '6 - TV Stands &amp; Enterta-WUO_SSV'!S8:S22,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Order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S$3="Required"), IF(OR('6 - TV Stands &amp; Enterta'!S$7 = "", '6 - TV Stands &amp; Enterta'!S$7 = "N/A"), "3:Minimum Order Quantity - Value is required", ""), ""))))))))))))</f>
        <v/>
      </c>
      <c r="T8">
        <f t="array" ref="T8">_xlfn.MAP('6 - TV Stands &amp; Enterta'!B8:B22, '6 - TV Stands &amp; Enterta'!T8:T22, '6 - TV Stands &amp; Enterta-WUO_SER'!T8:T22, '6 - TV Stands &amp; Enterta-WUO_SSV'!T8:T22,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"1:Force Quantity Multiplier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T$3="Required"), IF(OR('6 - TV Stands &amp; Enterta'!T$7 = "", '6 - TV Stands &amp; Enterta'!T$7 = "N/A"), "3:Force Quantity Multiplier - Value is required", ""), ""))))))))))))</f>
        <v/>
      </c>
      <c r="U8">
        <f t="array" ref="U8">_xlfn.MAP('6 - TV Stands &amp; Enterta'!B8:B22, '6 - TV Stands &amp; Enterta'!U8:U22, '6 - TV Stands &amp; Enterta-WUO_SER'!U8:U22, '6 - TV Stands &amp; Enterta-WUO_SSV'!U8:U22,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"1:Display Set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U$3="Required"), IF(OR('6 - TV Stands &amp; Enterta'!U$7 = "", '6 - TV Stands &amp; Enterta'!U$7 = "N/A"), "3:Display Set Quantity - Value is required", ""), ""))))))))))))</f>
        <v/>
      </c>
      <c r="V8">
        <f t="array" ref="V8">_xlfn.MAP('6 - TV Stands &amp; Enterta'!B8:B22, '6 - TV Stands &amp; Enterta'!V8:V22, '6 - TV Stands &amp; Enterta-WUO_SER'!V8:V22, '6 - TV Stands &amp; Enterta-WUO_SSV'!V8:V22,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"1:Product Weight - Value should be numeric", ""), IF(LEN(_xlpm.check1) &gt; 0, _xlpm.check1, _xlfn.LET(_xlpm.check2, IF(AND(_xlpm.val &lt;&gt; "" ,IFERROR(VALUE(_xlpm.val), _xlpm.val)&lt;0), "1:Product weight must be a positive number", ""), IF(LEN(_xlpm.check2) &gt; 0, _xlpm.check2, IF(AND(_xlpm.val = "", V$3="Required"), IF(OR('6 - TV Stands &amp; Enterta'!V$7 = "", '6 - TV Stands &amp; Enterta'!V$7 = "N/A"), "3:Product Weight - Value is required", ""), ""))))))))))</f>
        <v/>
      </c>
      <c r="W8">
        <f t="array" ref="W8">_xlfn.MAP('6 - TV Stands &amp; Enterta'!B8:B22, '6 - TV Stands &amp; Enterta'!W8:W22, '6 - TV Stands &amp; Enterta-WUO_SER'!W8:W22, '6 - TV Stands &amp; Enterta-WUO_SSV'!W8:W22, _xlfn.LAMBDA(_xlpm.part, _xlpm.val, _xlpm.servererror, _xlpm.serverval, IF(_xlpm.part = "", "", _xlfn.LET(_xlpm.ssvMsg, IF(AND(LEN(_xlpm.servererror), _xlpm.val = _xlpm.serverval), _xlpm.servererror, ""), IF(LEN(_xlpm.ssvMsg) &gt; 0, _xlpm.ssvMsg, IF(AND(_xlpm.val = "", W$3="Required"), IF(OR('6 - TV Stands &amp; Enterta'!W$7 = "", '6 - TV Stands &amp; Enterta'!W$7 = "N/A"), "3:Ship Type - Value is required", ""), ""))))))</f>
        <v/>
      </c>
      <c r="X8">
        <f t="array" ref="X8">_xlfn.MAP('6 - TV Stands &amp; Enterta'!B8:B22, '6 - TV Stands &amp; Enterta'!X8:X22, '6 - TV Stands &amp; Enterta-WUO_SER'!X8:X22, '6 - TV Stands &amp; Enterta-WUO_SSV'!X8:X22, _xlfn.LAMBDA(_xlpm.part, _xlpm.val, _xlpm.servererror, _xlpm.serverval, IF(_xlpm.part = "", "", _xlfn.LET(_xlpm.ssvMsg, IF(AND(LEN(_xlpm.servererror), _xlpm.val = _xlpm.serverval), _xlpm.servererror, ""), IF(LEN(_xlpm.ssvMsg) &gt; 0, _xlpm.ssvMsg, IF(AND(_xlpm.val = "", X$3="Required"), IF(OR('6 - TV Stands &amp; Enterta'!X$7 = "", '6 - TV Stands &amp; Enterta'!X$7 = "N/A"), "3:Freight Class - Value is required", ""), ""))))))</f>
        <v/>
      </c>
      <c r="Y8">
        <f t="array" ref="Y8">_xlfn.MAP('6 - TV Stands &amp; Enterta'!B8:B22, '6 - TV Stands &amp; Enterta'!Y8:Y22, '6 - TV Stands &amp; Enterta-WUO_SER'!Y8:Y22, '6 - TV Stands &amp; Enterta-WUO_SSV'!Y8:Y22, _xlfn.LAMBDA(_xlpm.part, _xlpm.val, _xlpm.servererror, _xlpm.serverval, IF(_xlpm.part = "", "", _xlfn.LET(_xlpm.ssvMsg, IF(AND(LEN(_xlpm.servererror), _xlpm.val = _xlpm.serverval), _xlpm.servererror, ""), IF(LEN(_xlpm.ssvMsg) &gt; 0, _xlpm.ssvMsg, IF(AND(_xlpm.val = "", Y$3="Required"), IF(OR('6 - TV Stands &amp; Enterta'!Y$7 = "", '6 - TV Stands &amp; Enterta'!Y$7 = "N/A"), "3:Lead Time - Value is required", ""), ""))))))</f>
        <v/>
      </c>
      <c r="Z8">
        <f t="array" ref="Z8">_xlfn.MAP('6 - TV Stands &amp; Enterta'!B8:B22, '6 - TV Stands &amp; Enterta'!Z8:Z22, '6 - TV Stands &amp; Enterta-WUO_SER'!Z8:Z22, '6 - TV Stands &amp; Enterta-WUO_SSV'!Z8:Z22, _xlfn.LAMBDA(_xlpm.part, _xlpm.val, _xlpm.servererror, _xlpm.serverval, IF(_xlpm.part = "", "", _xlfn.LET(_xlpm.ssvMsg, IF(AND(LEN(_xlpm.servererror), _xlpm.val = _xlpm.serverval), _xlpm.servererror, ""), IF(LEN(_xlpm.ssvMsg) &gt; 0, _xlpm.ssvMsg, IF(AND(_xlpm.val = "", Z$3="Required"), IF(OR('6 - TV Stands &amp; Enterta'!Z$7 = "", '6 - TV Stands &amp; Enterta'!Z$7 = "N/A"), "3:Replacement Lead Time - Value is required", ""), ""))))))</f>
        <v/>
      </c>
      <c r="AA8">
        <f t="array" ref="AA8">_xlfn.MAP('6 - TV Stands &amp; Enterta'!B8:B22, '6 - TV Stands &amp; Enterta'!AA8:AA22, '6 - TV Stands &amp; Enterta-WUO_SER'!AA8:AA22, '6 - TV Stands &amp; Enterta-WUO_SSV'!AA8:AA22, _xlfn.LAMBDA(_xlpm.part, _xlpm.val, _xlpm.servererror, _xlpm.serverval, IF(_xlpm.part = "", "", _xlfn.LET(_xlpm.ssvMsg, IF(AND(LEN(_xlpm.servererror), _xlpm.val = _xlpm.serverval), _xlpm.servererror, ""), IF(LEN(_xlpm.ssvMsg) &gt; 0, _xlpm.ssvMsg, _xlfn.LET(_xlpm.check1, IF(AND(_xlpm.val &lt;&gt; "", LEN(_xlpm.val) &lt; 5), "1:NMFC must contain at least 5 digits", ""), IF(LEN(_xlpm.check1) &gt; 0, _xlpm.check1, IF(AND(_xlpm.val = "", AA$3="Required"), IF(OR('6 - TV Stands &amp; Enterta'!AA$7 = "", '6 - TV Stands &amp; Enterta'!AA$7 = "N/A"), "3:National Motor Freight Class - Value is required", ""), ""))))))))</f>
        <v/>
      </c>
      <c r="AB8">
        <f t="array" ref="AB8">_xlfn.MAP('6 - TV Stands &amp; Enterta'!B8:B22, '6 - TV Stands &amp; Enterta'!AB8:AB22, '6 - TV Stands &amp; Enterta-WUO_SER'!AB8:AB22, '6 - TV Stands &amp; Enterta-WUO_SSV'!AB8:AB22, _xlfn.LAMBDA(_xlpm.part, _xlpm.val, _xlpm.servererror, _xlpm.serverval, IF(_xlpm.part = "", "", _xlfn.LET(_xlpm.ssvMsg, IF(AND(LEN(_xlpm.servererror), _xlpm.val = _xlpm.serverval), _xlpm.servererror, ""), IF(LEN(_xlpm.ssvMsg) &gt; 0, _xlpm.ssvMsg, IF(AND(_xlpm.val = "", AB$3="Required"), IF(OR('6 - TV Stands &amp; Enterta'!AB$7 = "", '6 - TV Stands &amp; Enterta'!AB$7 = "N/A"), "3:Flat Pack - Value is required", ""), ""))))))</f>
        <v/>
      </c>
      <c r="AC8">
        <f t="array" ref="AC8">_xlfn.MAP('6 - TV Stands &amp; Enterta'!B8:B22, '6 - TV Stands &amp; Enterta'!AC8:AC22, '6 - TV Stands &amp; Enterta-WUO_SER'!AC8:AC22, '6 - TV Stands &amp; Enterta-WUO_SSV'!AC8:AC22, _xlfn.LAMBDA(_xlpm.part, _xlpm.val, _xlpm.servererror, _xlpm.serverval, IF(_xlpm.part = "", "", _xlfn.LET(_xlpm.ssvMsg, IF(AND(LEN(_xlpm.servererror), _xlpm.val = _xlpm.serverval), _xlpm.servererror, ""), IF(LEN(_xlpm.ssvMsg) &gt; 0, _xlpm.ssvMsg, IF(AND(_xlpm.val = "", AC$3="Required"), IF(OR('6 - TV Stands &amp; Enterta'!AC$7 = "", '6 - TV Stands &amp; Enterta'!AC$7 = "N/A"), "3:Ship Palletized - Value is required", ""), ""))))))</f>
        <v/>
      </c>
      <c r="AD8">
        <f t="array" ref="AD8">_xlfn.MAP('6 - TV Stands &amp; Enterta'!B8:B22, '6 - TV Stands &amp; Enterta'!AD8:AD22, '6 - TV Stands &amp; Enterta-WUO_SER'!AD8:AD22, '6 - TV Stands &amp; Enterta-WUO_SSV'!AD8:AD22, '6 - TV Stands &amp; Enterta'!AE8:AE22,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AD$3="Required"), IF(OR('6 - TV Stands &amp; Enterta'!AD$7 = "", '6 - TV Stands &amp; Enterta'!AD$7 = "N/A"), "3:Carton Weight - Value is required", ""), ""), IF(LEN(_xlpm.check3) &gt; 0, _xlpm.check3, _xlfn.LET(_xlpm.check4, IF(OR(_xlpm.dep1 &lt;&gt; "", _xlpm.dep2 &lt;&gt; "", _xlpm.dep3 &lt;&gt; ""), IF(_xlpm.val = "", IF(OR('6 - TV Stands &amp; Enterta'!AD$7 = "", '6 - TV Stands &amp; Enterta'!AD$7 = "N/A"), "3:Shipping weight is required", ""), ""), ""), IF(LEN(_xlpm.check4) &gt; 0, _xlpm.check4, IF(AND(_xlpm.dep3 = "", _xlpm.dep1 = "", _xlpm.dep2 = ""), IF(_xlpm.val = "", IF(OR('6 - TV Stands &amp; Enterta'!AD$7 = "", '6 - TV Stands &amp; Enterta'!AD$7 = "N/A"), "3:Shipping weight is required", ""), ""), ""))))))))))))))</f>
        <v/>
      </c>
      <c r="AE8">
        <f t="array" ref="AE8">_xlfn.MAP('6 - TV Stands &amp; Enterta'!B8:B22, '6 - TV Stands &amp; Enterta'!AE8:AE22, '6 - TV Stands &amp; Enterta-WUO_SER'!AE8:AE22, '6 - TV Stands &amp; Enterta-WUO_SSV'!AE8:AE22, '6 - TV Stands &amp; Enterta'!AD8:AD22,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AE$3="Required"), IF(OR('6 - TV Stands &amp; Enterta'!AE$7 = "", '6 - TV Stands &amp; Enterta'!AE$7 = "N/A"), "3:Carton Height - Value is required", ""), ""), IF(LEN(_xlpm.check3) &gt; 0, _xlpm.check3, _xlfn.LET(_xlpm.check4, IF(OR(_xlpm.dep1 &lt;&gt; "", _xlpm.dep2 &lt;&gt; "", _xlpm.dep3 &lt;&gt; ""), IF(_xlpm.val = "", IF(OR('6 - TV Stands &amp; Enterta'!AE$7 = "", '6 - TV Stands &amp; Enterta'!AE$7 = "N/A"), "3:Carton height is required", ""), ""), ""), IF(LEN(_xlpm.check4) &gt; 0, _xlpm.check4, IF(AND(_xlpm.dep1 = "", _xlpm.dep3 = "", _xlpm.dep2 = ""), IF(_xlpm.val = "", IF(OR('6 - TV Stands &amp; Enterta'!AE$7 = "", '6 - TV Stands &amp; Enterta'!AE$7 = "N/A"), "3:Carton height is required", ""), ""), ""))))))))))))))</f>
        <v/>
      </c>
      <c r="AF8">
        <f t="array" ref="AF8">_xlfn.MAP('6 - TV Stands &amp; Enterta'!B8:B22, '6 - TV Stands &amp; Enterta'!AF8:AF22, '6 - TV Stands &amp; Enterta-WUO_SER'!AF8:AF22, '6 - TV Stands &amp; Enterta-WUO_SSV'!AF8:AF22, '6 - TV Stands &amp; Enterta'!AD8:AD22, '6 - TV Stands &amp; Enterta'!AE8:AE22,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AF$3="Required"), IF(OR('6 - TV Stands &amp; Enterta'!AF$7 = "", '6 - TV Stands &amp; Enterta'!AF$7 = "N/A"), "3:Carton Width - Value is required", ""), ""), IF(LEN(_xlpm.check3) &gt; 0, _xlpm.check3, _xlfn.LET(_xlpm.check4, IF(OR(_xlpm.dep1 &lt;&gt; "", _xlpm.dep2 &lt;&gt; "", _xlpm.dep3 &lt;&gt; ""), IF(_xlpm.val = "", IF(OR('6 - TV Stands &amp; Enterta'!AF$7 = "", '6 - TV Stands &amp; Enterta'!AF$7 = "N/A"), "3:Carton width is required", ""), ""), ""), IF(LEN(_xlpm.check4) &gt; 0, _xlpm.check4, IF(AND(_xlpm.dep1 = "", _xlpm.dep2 = "", _xlpm.dep3 = ""), IF(_xlpm.val = "", IF(OR('6 - TV Stands &amp; Enterta'!AF$7 = "", '6 - TV Stands &amp; Enterta'!AF$7 = "N/A"), "3:Carton width is required", ""), ""), ""))))))))))))))</f>
        <v/>
      </c>
      <c r="AG8">
        <f t="array" ref="AG8">_xlfn.MAP('6 - TV Stands &amp; Enterta'!B8:B22, '6 - TV Stands &amp; Enterta'!AG8:AG22, '6 - TV Stands &amp; Enterta-WUO_SER'!AG8:AG22, '6 - TV Stands &amp; Enterta-WUO_SSV'!AG8:AG22, '6 - TV Stands &amp; Enterta'!AD8:AD22, '6 - TV Stands &amp; Enterta'!AE8:AE22, '6 - TV Stands &amp; Enterta'!AF8:AF22,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AG$3="Required"), IF(OR('6 - TV Stands &amp; Enterta'!AG$7 = "", '6 - TV Stands &amp; Enterta'!AG$7 = "N/A"), "3:Carton Depth - Value is required", ""), ""), IF(LEN(_xlpm.check3) &gt; 0, _xlpm.check3, _xlfn.LET(_xlpm.check4, IF(OR(_xlpm.dep1 &lt;&gt; "", _xlpm.dep2 &lt;&gt; "", _xlpm.dep3 &lt;&gt; ""), IF(_xlpm.val = "", IF(OR('6 - TV Stands &amp; Enterta'!AG$7 = "", '6 - TV Stands &amp; Enterta'!AG$7 = "N/A"), "3:Carton depth is required", ""), ""), ""), IF(LEN(_xlpm.check4) &gt; 0, _xlpm.check4, IF(AND(_xlpm.dep1 = "", _xlpm.dep2 = "", _xlpm.dep3 = ""), IF(_xlpm.val = "", IF(OR('6 - TV Stands &amp; Enterta'!AG$7 = "", '6 - TV Stands &amp; Enterta'!AG$7 = "N/A"), "3:Carton depth is required", ""), ""), ""))))))))))))))</f>
        <v/>
      </c>
      <c r="AH8">
        <f t="array" ref="AH8">_xlfn.MAP('6 - TV Stands &amp; Enterta'!B8:B22, '6 - TV Stands &amp; Enterta'!AH8:AH22, '6 - TV Stands &amp; Enterta-WUO_SER'!AH8:AH22, '6 - TV Stands &amp; Enterta-WUO_SSV'!AH8:AH22, _xlfn.LAMBDA(_xlpm.part, _xlpm.val, _xlpm.servererror, _xlpm.serverval, IF(_xlpm.part = "", "", _xlfn.LET(_xlpm.ssvMsg, IF(AND(LEN(_xlpm.servererror), _xlpm.val = _xlpm.serverval), _xlpm.servererror, ""), IF(LEN(_xlpm.ssvMsg) &gt; 0, _xlpm.ssvMsg, IF(AND(_xlpm.val = "", AH$3="Required"), IF(OR('6 - TV Stands &amp; Enterta'!AH$7 = "", '6 - TV Stands &amp; Enterta'!AH$7 = "N/A"), "3:Warning Required - Value is required", ""), ""))))))</f>
        <v/>
      </c>
      <c r="AI8">
        <f t="array" ref="AI8">_xlfn.MAP('6 - TV Stands &amp; Enterta'!B8:B22, '6 - TV Stands &amp; Enterta'!AI8:AI22, '6 - TV Stands &amp; Enterta-WUO_SER'!AI8:AI22, '6 - TV Stands &amp; Enterta-WUO_SSV'!AI8:AI22, '6 - TV Stands &amp; Enterta'!AJ8:AJ22, '6 - TV Stands &amp; Enterta'!AH8:AH22, _xlfn.LAMBDA(_xlpm.part, _xlpm.val, _xlpm.servererror, _xlpm.serverval, _xlpm.dep1, _xlpm.dep2, IF(_xlpm.part = "", "", _xlfn.LET(_xlpm.ssvMsg, IF(AND(LEN(_xlpm.servererror), _xlpm.val = _xlpm.serverval), _xlpm.servererror, ""), IF(LEN(_xlpm.ssvMsg) &gt; 0, _xlpm.ssvMsg, _xlfn.LET(_xlpm.check1, IF(AND(_xlpm.val = "", AI$3="Required"), IF(OR('6 - TV Stands &amp; Enterta'!AI$7 = "", '6 - TV Stands &amp; Enterta'!AI$7 = "N/A"), "3:Chemical - Value is required", ""), ""), IF(LEN(_xlpm.check1) &gt; 0, _xlpm.check1, _xlfn.LET(_xlpm.check2, IF(_xlpm.dep1 &lt;&gt; "", IF(_xlpm.val = "", IF(OR('6 - TV Stands &amp; Enterta'!AI$7 = "", '6 - TV Stands &amp; Enterta'!AI$7 = "N/A"), "3:Please provide a chemical", ""), ""), ""), IF(LEN(_xlpm.check2) &gt; 0, _xlpm.check2, IF(_xlpm.dep2 = "Yes", IF(_xlpm.val = "", IF(OR('6 - TV Stands &amp; Enterta'!AI$7 = "", '6 - TV Stands &amp; Enterta'!AI$7 = "N/A"), "3:If a warning is required, then a chemical must also be provided", ""), ""), ""))))))))))</f>
        <v/>
      </c>
      <c r="AJ8">
        <f t="array" ref="AJ8">_xlfn.MAP('6 - TV Stands &amp; Enterta'!B8:B22, '6 - TV Stands &amp; Enterta'!AJ8:AJ22, '6 - TV Stands &amp; Enterta-WUO_SER'!AJ8:AJ22, '6 - TV Stands &amp; Enterta-WUO_SSV'!AJ8:AJ22, '6 - TV Stands &amp; Enterta'!AI8:AI22, '6 - TV Stands &amp; Enterta'!AH8:AH22, _xlfn.LAMBDA(_xlpm.part, _xlpm.val, _xlpm.servererror, _xlpm.serverval, _xlpm.dep1, _xlpm.dep2,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AJ$3="Required"), IF(OR('6 - TV Stands &amp; Enterta'!AJ$7 = "", '6 - TV Stands &amp; Enterta'!AJ$7 = "N/A"), "3:Toxicity - Value is required", ""), ""), IF(LEN(_xlpm.check2) &gt; 0, _xlpm.check2, _xlfn.LET(_xlpm.check3, IF(_xlpm.dep1 &lt;&gt; "", IF(_xlpm.val = "", IF(OR('6 - TV Stands &amp; Enterta'!AJ$7 = "", '6 - TV Stands &amp; Enterta'!AJ$7 = "N/A"), "3:Please select a toxicity from the provided dropdown", ""), ""), ""), IF(LEN(_xlpm.check3) &gt; 0, _xlpm.check3, IF(_xlpm.dep2 = "Yes", IF(_xlpm.val = "", IF(OR('6 - TV Stands &amp; Enterta'!AJ$7 = "", '6 - TV Stands &amp; Enterta'!AJ$7 = "N/A"), "3:If a warning is required, then a chemical must also be provided", ""), ""), ""))))))))))))</f>
        <v/>
      </c>
      <c r="AK8">
        <f t="array" ref="AK8">_xlfn.MAP('6 - TV Stands &amp; Enterta'!B8:B22, '6 - TV Stands &amp; Enterta'!AK8:AK22, '6 - TV Stands &amp; Enterta-WUO_SER'!AK8:AK22, '6 - TV Stands &amp; Enterta-WUO_SSV'!AK8:AK22, _xlfn.LAMBDA(_xlpm.part, _xlpm.val, _xlpm.servererror, _xlpm.serverval, IF(_xlpm.part = "", "", _xlfn.LET(_xlpm.ssvMsg, IF(AND(LEN(_xlpm.servererror), _xlpm.val = _xlpm.serverval), _xlpm.servererror, ""), IF(LEN(_xlpm.ssvMsg) &gt; 0, _xlpm.ssvMsg, IF(AND(_xlpm.val = "", AK$3="Required"), IF(OR('6 - TV Stands &amp; Enterta'!AK$7 = "", '6 - TV Stands &amp; Enterta'!AK$7 = "N/A"), "3:Country Of Manufacturer - Value is required", ""), ""))))))</f>
        <v/>
      </c>
      <c r="AL8">
        <f t="array" ref="AL8">_xlfn.MAP('6 - TV Stands &amp; Enterta'!B8:B22, '6 - TV Stands &amp; Enterta'!AL8:AL22, '6 - TV Stands &amp; Enterta-WUO_SER'!AL8:AL22, '6 - TV Stands &amp; Enterta-WUO_SSV'!AL8:AL22, _xlfn.LAMBDA(_xlpm.part, _xlpm.val, _xlpm.servererror, _xlpm.serverval, IF(_xlpm.part = "", "", _xlfn.LET(_xlpm.ssvMsg, IF(AND(LEN(_xlpm.servererror), _xlpm.val = _xlpm.serverval), _xlpm.servererror, ""), IF(LEN(_xlpm.ssvMsg) &gt; 0, _xlpm.ssvMsg, IF(AND(_xlpm.val = "", AL$3="Required"), IF(OR('6 - TV Stands &amp; Enterta'!AL$7 = "", '6 - TV Stands &amp; Enterta'!AL$7 = "N/A"), "3:Image File Name or URL - Value is required", ""), ""))))))</f>
        <v/>
      </c>
      <c r="AM8">
        <f t="array" ref="AM8">_xlfn.MAP('6 - TV Stands &amp; Enterta'!B8:B22, '6 - TV Stands &amp; Enterta'!AM8:AM22, '6 - TV Stands &amp; Enterta-WUO_SER'!AM8:AM22, '6 - TV Stands &amp; Enterta-WUO_SSV'!AM8:AM22, _xlfn.LAMBDA(_xlpm.part, _xlpm.val, _xlpm.servererror, _xlpm.serverval, IF(_xlpm.part = "", "", _xlfn.LET(_xlpm.ssvMsg, IF(AND(LEN(_xlpm.servererror), _xlpm.val = _xlpm.serverval), _xlpm.servererror, ""), IF(LEN(_xlpm.ssvMsg) &gt; 0, _xlpm.ssvMsg, IF(AND(_xlpm.val = "", AM$3="Required"), IF(OR('6 - TV Stands &amp; Enterta'!AM$7 = "", '6 - TV Stands &amp; Enterta'!AM$7 = "N/A"), "3:Image File Name or URL - Value is required", ""), ""))))))</f>
        <v/>
      </c>
      <c r="AN8">
        <f t="array" ref="AN8">_xlfn.MAP('6 - TV Stands &amp; Enterta'!B8:B22, '6 - TV Stands &amp; Enterta'!AN8:AN22, '6 - TV Stands &amp; Enterta-WUO_SER'!AN8:AN22, '6 - TV Stands &amp; Enterta-WUO_SSV'!AN8:AN22, _xlfn.LAMBDA(_xlpm.part, _xlpm.val, _xlpm.servererror, _xlpm.serverval, IF(_xlpm.part = "", "", _xlfn.LET(_xlpm.ssvMsg, IF(AND(LEN(_xlpm.servererror), _xlpm.val = _xlpm.serverval), _xlpm.servererror, ""), IF(LEN(_xlpm.ssvMsg) &gt; 0, _xlpm.ssvMsg, IF(AND(_xlpm.val = "", AN$3="Required"), IF(OR('6 - TV Stands &amp; Enterta'!AN$7 = "", '6 - TV Stands &amp; Enterta'!AN$7 = "N/A"), "3:Image File Name or URL - Value is required", ""), ""))))))</f>
        <v/>
      </c>
      <c r="AO8">
        <f t="array" ref="AO8">_xlfn.MAP('6 - TV Stands &amp; Enterta'!B8:B22, '6 - TV Stands &amp; Enterta'!AO8:AO22, '6 - TV Stands &amp; Enterta-WUO_SER'!AO8:AO22, '6 - TV Stands &amp; Enterta-WUO_SSV'!AO8:AO22, _xlfn.LAMBDA(_xlpm.part, _xlpm.val, _xlpm.servererror, _xlpm.serverval, IF(_xlpm.part = "", "", _xlfn.LET(_xlpm.ssvMsg, IF(AND(LEN(_xlpm.servererror), _xlpm.val = _xlpm.serverval), _xlpm.servererror, ""), IF(LEN(_xlpm.ssvMsg) &gt; 0, _xlpm.ssvMsg, IF(AND(_xlpm.val = "", AO$3="Required"), IF(OR('6 - TV Stands &amp; Enterta'!AO$7 = "", '6 - TV Stands &amp; Enterta'!AO$7 = "N/A"), "3:Image File Name or URL - Value is required", ""), ""))))))</f>
        <v/>
      </c>
      <c r="AP8">
        <f t="array" ref="AP8">_xlfn.MAP('6 - TV Stands &amp; Enterta'!B8:B22, '6 - TV Stands &amp; Enterta'!AP8:AP22, '6 - TV Stands &amp; Enterta-WUO_SER'!AP8:AP22, '6 - TV Stands &amp; Enterta-WUO_SSV'!AP8:AP22, _xlfn.LAMBDA(_xlpm.part, _xlpm.val, _xlpm.servererror, _xlpm.serverval, IF(_xlpm.part = "", "", _xlfn.LET(_xlpm.ssvMsg, IF(AND(LEN(_xlpm.servererror), _xlpm.val = _xlpm.serverval), _xlpm.servererror, ""), IF(LEN(_xlpm.ssvMsg) &gt; 0, _xlpm.ssvMsg, IF(AND(_xlpm.val = "", AP$3="Required"), IF(OR('6 - TV Stands &amp; Enterta'!AP$7 = "", '6 - TV Stands &amp; Enterta'!AP$7 = "N/A"), "3:Image File Name or URL - Value is required", ""), ""))))))</f>
        <v/>
      </c>
      <c r="AQ8">
        <f t="array" ref="AQ8">_xlfn.MAP('6 - TV Stands &amp; Enterta'!B8:B22, '6 - TV Stands &amp; Enterta'!AQ8:AQ22, '6 - TV Stands &amp; Enterta-WUO_SER'!AQ8:AQ22, '6 - TV Stands &amp; Enterta-WUO_SSV'!AQ8:AQ22, _xlfn.LAMBDA(_xlpm.part, _xlpm.val, _xlpm.servererror, _xlpm.serverval, IF(_xlpm.part = "", "", _xlfn.LET(_xlpm.ssvMsg, IF(AND(LEN(_xlpm.servererror), _xlpm.val = _xlpm.serverval), _xlpm.servererror, ""), IF(LEN(_xlpm.ssvMsg) &gt; 0, _xlpm.ssvMsg, IF(AND(_xlpm.val = "", AQ$3="Required"), IF(OR('6 - TV Stands &amp; Enterta'!AQ$7 = "", '6 - TV Stands &amp; Enterta'!AQ$7 = "N/A"), "3:Video File Name or URL - Value is required", ""), ""))))))</f>
        <v/>
      </c>
      <c r="AR8">
        <f t="array" ref="AR8">_xlfn.MAP('6 - TV Stands &amp; Enterta'!B8:B22, '6 - TV Stands &amp; Enterta'!AR8:AR22, '6 - TV Stands &amp; Enterta-WUO_SER'!AR8:AR22, '6 - TV Stands &amp; Enterta-WUO_SSV'!AR8:AR22, '6 - TV Stands &amp; Enterta'!AS8:AS22, '6 - TV Stands &amp; Enterta'!AT8:AT22, '6 - TV Stands &amp; Enterta'!AU8:AU22, '6 - TV Stands &amp; Enterta'!AV8:AV22, _xlfn.LAMBDA(_xlpm.part, _xlpm.val, _xlpm.servererror, _xlpm.serverval, _xlpm.dep1, _xlpm.dep2, _xlpm.dep3, _xlpm.dep4, IF(_xlpm.part = "", "", _xlfn.LET(_xlpm.ssvMsg, IF(AND(LEN(_xlpm.servererror), _xlpm.val = _xlpm.serverval), _xlpm.servererror, ""), IF(LEN(_xlpm.ssvMsg) &gt; 0, _xlpm.ssvMsg, _xlfn.LET(_xlpm.check1, IF(AND(_xlpm.val = "", AR$3="Required"), IF(OR('6 - TV Stands &amp; Enterta'!AR$7 = "", '6 - TV Stands &amp; Enterta'!AR$7 = "N/A"), "3:Document File Name or URL - Value is required", ""), ""), IF(LEN(_xlpm.check1) &gt; 0, _xlpm.check1, IF(OR(_xlpm.dep1 &lt;&gt; "", _xlpm.dep2 &lt;&gt; "", _xlpm.dep3 &lt;&gt; "", _xlpm.dep4 &lt;&gt; ""), IF(_xlpm.val = "", IF(OR('6 - TV Stands &amp; Enterta'!AR$7 = "", '6 - TV Stands &amp; Enterta'!AR$7 = "N/A"), "3:Document value is required", ""), ""), ""))))))))</f>
        <v/>
      </c>
      <c r="AS8">
        <f t="array" ref="AS8">_xlfn.MAP('6 - TV Stands &amp; Enterta'!B8:B22, '6 - TV Stands &amp; Enterta'!AS8:AS22, '6 - TV Stands &amp; Enterta-WUO_SER'!AS8:AS22, '6 - TV Stands &amp; Enterta-WUO_SSV'!AS8:AS22,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AS$3="Required"), IF(OR('6 - TV Stands &amp; Enterta'!AS$7 = "", '6 - TV Stands &amp; Enterta'!AS$7 = "N/A"), "3:Document Type - Value is required", ""), ""))))))))</f>
        <v/>
      </c>
      <c r="AT8">
        <f t="array" ref="AT8">_xlfn.MAP('6 - TV Stands &amp; Enterta'!B8:B22, '6 - TV Stands &amp; Enterta'!AT8:AT22, '6 - TV Stands &amp; Enterta-WUO_SER'!AT8:AT22, '6 - TV Stands &amp; Enterta-WUO_SSV'!AT8:AT22,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AT$3="Required"), IF(OR('6 - TV Stands &amp; Enterta'!AT$7 = "", '6 - TV Stands &amp; Enterta'!AT$7 = "N/A"), "3:Legal Document Type - Value is required", ""), ""))))))))</f>
        <v/>
      </c>
      <c r="AU8">
        <f t="array" ref="AU8">_xlfn.MAP('6 - TV Stands &amp; Enterta'!B8:B22, '6 - TV Stands &amp; Enterta'!AU8:AU22, '6 - TV Stands &amp; Enterta-WUO_SER'!AU8:AU22, '6 - TV Stands &amp; Enterta-WUO_SSV'!AU8:AU22, _xlfn.LAMBDA(_xlpm.part, _xlpm.val, _xlpm.servererror, _xlpm.serverval, IF(_xlpm.part = "", "", _xlfn.LET(_xlpm.ssvMsg, IF(AND(LEN(_xlpm.servererror), _xlpm.val = _xlpm.serverval), _xlpm.servererror, ""), IF(LEN(_xlpm.ssvMsg) &gt; 0, _xlpm.ssvMsg, IF(AND(_xlpm.val = "", AU$3="Required"), IF(OR('6 - TV Stands &amp; Enterta'!AU$7 = "", '6 - TV Stands &amp; Enterta'!AU$7 = "N/A"), "3:Document Region - Value is required", ""), ""))))))</f>
        <v/>
      </c>
      <c r="AV8">
        <f t="array" ref="AV8">_xlfn.MAP('6 - TV Stands &amp; Enterta'!B8:B22, '6 - TV Stands &amp; Enterta'!AV8:AV22, '6 - TV Stands &amp; Enterta-WUO_SER'!AV8:AV22, '6 - TV Stands &amp; Enterta-WUO_SSV'!AV8:AV22, _xlfn.LAMBDA(_xlpm.part, _xlpm.val, _xlpm.servererror, _xlpm.serverval, IF(_xlpm.part = "", "", _xlfn.LET(_xlpm.ssvMsg, IF(AND(LEN(_xlpm.servererror), _xlpm.val = _xlpm.serverval), _xlpm.servererror, ""), IF(LEN(_xlpm.ssvMsg) &gt; 0, _xlpm.ssvMsg, IF(AND(_xlpm.val = "", AV$3="Required"), IF(OR('6 - TV Stands &amp; Enterta'!AV$7 = "", '6 - TV Stands &amp; Enterta'!AV$7 = "N/A"), "3:Document Language - Value is required", ""), ""))))))</f>
        <v/>
      </c>
      <c r="AW8">
        <f t="array" ref="AW8">_xlfn.MAP('6 - TV Stands &amp; Enterta'!B8:B22, '6 - TV Stands &amp; Enterta'!AW8:AW22, '6 - TV Stands &amp; Enterta-WUO_SER'!AW8:AW22, '6 - TV Stands &amp; Enterta-WUO_SSV'!AW8:AW22, '6 - TV Stands &amp; Enterta'!AX8:AX22, '6 - TV Stands &amp; Enterta'!AY8:AY22, '6 - TV Stands &amp; Enterta'!AZ8:AZ22, '6 - TV Stands &amp; Enterta'!BA8:BA22, _xlfn.LAMBDA(_xlpm.part, _xlpm.val, _xlpm.servererror, _xlpm.serverval, _xlpm.dep1, _xlpm.dep2, _xlpm.dep3, _xlpm.dep4, IF(_xlpm.part = "", "", _xlfn.LET(_xlpm.ssvMsg, IF(AND(LEN(_xlpm.servererror), _xlpm.val = _xlpm.serverval), _xlpm.servererror, ""), IF(LEN(_xlpm.ssvMsg) &gt; 0, _xlpm.ssvMsg, _xlfn.LET(_xlpm.check1, IF(AND(_xlpm.val = "", AW$3="Required"), IF(OR('6 - TV Stands &amp; Enterta'!AW$7 = "", '6 - TV Stands &amp; Enterta'!AW$7 = "N/A"), "3:Document File Name or URL - Value is required", ""), ""), IF(LEN(_xlpm.check1) &gt; 0, _xlpm.check1, IF(OR(_xlpm.dep1 &lt;&gt; "", _xlpm.dep2 &lt;&gt; "", _xlpm.dep3 &lt;&gt; "", _xlpm.dep4 &lt;&gt; ""), IF(_xlpm.val = "", IF(OR('6 - TV Stands &amp; Enterta'!AW$7 = "", '6 - TV Stands &amp; Enterta'!AW$7 = "N/A"), "3:Document value is required", ""), ""), ""))))))))</f>
        <v/>
      </c>
      <c r="AX8">
        <f t="array" ref="AX8">_xlfn.MAP('6 - TV Stands &amp; Enterta'!B8:B22, '6 - TV Stands &amp; Enterta'!AX8:AX22, '6 - TV Stands &amp; Enterta-WUO_SER'!AX8:AX22, '6 - TV Stands &amp; Enterta-WUO_SSV'!AX8:AX22,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AX$3="Required"), IF(OR('6 - TV Stands &amp; Enterta'!AX$7 = "", '6 - TV Stands &amp; Enterta'!AX$7 = "N/A"), "3:Document Type - Value is required", ""), ""))))))))</f>
        <v/>
      </c>
      <c r="AY8">
        <f t="array" ref="AY8">_xlfn.MAP('6 - TV Stands &amp; Enterta'!B8:B22, '6 - TV Stands &amp; Enterta'!AY8:AY22, '6 - TV Stands &amp; Enterta-WUO_SER'!AY8:AY22, '6 - TV Stands &amp; Enterta-WUO_SSV'!AY8:AY22,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AY$3="Required"), IF(OR('6 - TV Stands &amp; Enterta'!AY$7 = "", '6 - TV Stands &amp; Enterta'!AY$7 = "N/A"), "3:Legal Document Type - Value is required", ""), ""))))))))</f>
        <v/>
      </c>
      <c r="AZ8">
        <f t="array" ref="AZ8">_xlfn.MAP('6 - TV Stands &amp; Enterta'!B8:B22, '6 - TV Stands &amp; Enterta'!AZ8:AZ22, '6 - TV Stands &amp; Enterta-WUO_SER'!AZ8:AZ22, '6 - TV Stands &amp; Enterta-WUO_SSV'!AZ8:AZ22, _xlfn.LAMBDA(_xlpm.part, _xlpm.val, _xlpm.servererror, _xlpm.serverval, IF(_xlpm.part = "", "", _xlfn.LET(_xlpm.ssvMsg, IF(AND(LEN(_xlpm.servererror), _xlpm.val = _xlpm.serverval), _xlpm.servererror, ""), IF(LEN(_xlpm.ssvMsg) &gt; 0, _xlpm.ssvMsg, IF(AND(_xlpm.val = "", AZ$3="Required"), IF(OR('6 - TV Stands &amp; Enterta'!AZ$7 = "", '6 - TV Stands &amp; Enterta'!AZ$7 = "N/A"), "3:Document Region - Value is required", ""), ""))))))</f>
        <v/>
      </c>
      <c r="BA8">
        <f t="array" ref="BA8">_xlfn.MAP('6 - TV Stands &amp; Enterta'!B8:B22, '6 - TV Stands &amp; Enterta'!BA8:BA22, '6 - TV Stands &amp; Enterta-WUO_SER'!BA8:BA22, '6 - TV Stands &amp; Enterta-WUO_SSV'!BA8:BA22, _xlfn.LAMBDA(_xlpm.part, _xlpm.val, _xlpm.servererror, _xlpm.serverval, IF(_xlpm.part = "", "", _xlfn.LET(_xlpm.ssvMsg, IF(AND(LEN(_xlpm.servererror), _xlpm.val = _xlpm.serverval), _xlpm.servererror, ""), IF(LEN(_xlpm.ssvMsg) &gt; 0, _xlpm.ssvMsg, IF(AND(_xlpm.val = "", BA$3="Required"), IF(OR('6 - TV Stands &amp; Enterta'!BA$7 = "", '6 - TV Stands &amp; Enterta'!BA$7 = "N/A"), "3:Document Language - Value is required", ""), ""))))))</f>
        <v/>
      </c>
      <c r="BB8">
        <f t="array" ref="BB8">_xlfn.MAP('6 - TV Stands &amp; Enterta'!B8:B22, '6 - TV Stands &amp; Enterta'!BB8:BB22, '6 - TV Stands &amp; Enterta-WUO_SER'!BB8:BB22, '6 - TV Stands &amp; Enterta-WUO_SSV'!BB8:BB22, '6 - TV Stands &amp; Enterta'!BC8:BC22, '6 - TV Stands &amp; Enterta'!BD8:BD22, '6 - TV Stands &amp; Enterta'!BE8:BE22, '6 - TV Stands &amp; Enterta'!BF8:BF22, _xlfn.LAMBDA(_xlpm.part, _xlpm.val, _xlpm.servererror, _xlpm.serverval, _xlpm.dep1, _xlpm.dep2, _xlpm.dep3, _xlpm.dep4, IF(_xlpm.part = "", "", _xlfn.LET(_xlpm.ssvMsg, IF(AND(LEN(_xlpm.servererror), _xlpm.val = _xlpm.serverval), _xlpm.servererror, ""), IF(LEN(_xlpm.ssvMsg) &gt; 0, _xlpm.ssvMsg, _xlfn.LET(_xlpm.check1, IF(AND(_xlpm.val = "", BB$3="Required"), IF(OR('6 - TV Stands &amp; Enterta'!BB$7 = "", '6 - TV Stands &amp; Enterta'!BB$7 = "N/A"), "3:Document File Name or URL - Value is required", ""), ""), IF(LEN(_xlpm.check1) &gt; 0, _xlpm.check1, IF(OR(_xlpm.dep1 &lt;&gt; "", _xlpm.dep2 &lt;&gt; "", _xlpm.dep3 &lt;&gt; "", _xlpm.dep4 &lt;&gt; ""), IF(_xlpm.val = "", IF(OR('6 - TV Stands &amp; Enterta'!BB$7 = "", '6 - TV Stands &amp; Enterta'!BB$7 = "N/A"), "3:Document value is required", ""), ""), ""))))))))</f>
        <v/>
      </c>
      <c r="BC8">
        <f t="array" ref="BC8">_xlfn.MAP('6 - TV Stands &amp; Enterta'!B8:B22, '6 - TV Stands &amp; Enterta'!BC8:BC22, '6 - TV Stands &amp; Enterta-WUO_SER'!BC8:BC22, '6 - TV Stands &amp; Enterta-WUO_SSV'!BC8:BC22,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BC$3="Required"), IF(OR('6 - TV Stands &amp; Enterta'!BC$7 = "", '6 - TV Stands &amp; Enterta'!BC$7 = "N/A"), "3:Document Type - Value is required", ""), ""))))))))</f>
        <v/>
      </c>
      <c r="BD8">
        <f t="array" ref="BD8">_xlfn.MAP('6 - TV Stands &amp; Enterta'!B8:B22, '6 - TV Stands &amp; Enterta'!BD8:BD22, '6 - TV Stands &amp; Enterta-WUO_SER'!BD8:BD22, '6 - TV Stands &amp; Enterta-WUO_SSV'!BD8:BD22,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BD$3="Required"), IF(OR('6 - TV Stands &amp; Enterta'!BD$7 = "", '6 - TV Stands &amp; Enterta'!BD$7 = "N/A"), "3:Legal Document Type - Value is required", ""), ""))))))))</f>
        <v/>
      </c>
      <c r="BE8">
        <f t="array" ref="BE8">_xlfn.MAP('6 - TV Stands &amp; Enterta'!B8:B22, '6 - TV Stands &amp; Enterta'!BE8:BE22, '6 - TV Stands &amp; Enterta-WUO_SER'!BE8:BE22, '6 - TV Stands &amp; Enterta-WUO_SSV'!BE8:BE22, _xlfn.LAMBDA(_xlpm.part, _xlpm.val, _xlpm.servererror, _xlpm.serverval, IF(_xlpm.part = "", "", _xlfn.LET(_xlpm.ssvMsg, IF(AND(LEN(_xlpm.servererror), _xlpm.val = _xlpm.serverval), _xlpm.servererror, ""), IF(LEN(_xlpm.ssvMsg) &gt; 0, _xlpm.ssvMsg, IF(AND(_xlpm.val = "", BE$3="Required"), IF(OR('6 - TV Stands &amp; Enterta'!BE$7 = "", '6 - TV Stands &amp; Enterta'!BE$7 = "N/A"), "3:Document Region - Value is required", ""), ""))))))</f>
        <v/>
      </c>
      <c r="BF8">
        <f t="array" ref="BF8">_xlfn.MAP('6 - TV Stands &amp; Enterta'!B8:B22, '6 - TV Stands &amp; Enterta'!BF8:BF22, '6 - TV Stands &amp; Enterta-WUO_SER'!BF8:BF22, '6 - TV Stands &amp; Enterta-WUO_SSV'!BF8:BF22, _xlfn.LAMBDA(_xlpm.part, _xlpm.val, _xlpm.servererror, _xlpm.serverval, IF(_xlpm.part = "", "", _xlfn.LET(_xlpm.ssvMsg, IF(AND(LEN(_xlpm.servererror), _xlpm.val = _xlpm.serverval), _xlpm.servererror, ""), IF(LEN(_xlpm.ssvMsg) &gt; 0, _xlpm.ssvMsg, IF(AND(_xlpm.val = "", BF$3="Required"), IF(OR('6 - TV Stands &amp; Enterta'!BF$7 = "", '6 - TV Stands &amp; Enterta'!BF$7 = "N/A"), "3:Document Language - Value is required", ""), ""))))))</f>
        <v/>
      </c>
      <c r="BG8">
        <f t="array" ref="BG8">_xlfn.MAP('6 - TV Stands &amp; Enterta'!B8:B22, '6 - TV Stands &amp; Enterta'!BG8:BG22, '6 - TV Stands &amp; Enterta-WUO_SER'!BG8:BG22, '6 - TV Stands &amp; Enterta-WUO_SSV'!BG8:BG22, _xlfn.LAMBDA(_xlpm.part, _xlpm.val, _xlpm.servererror, _xlpm.serverval, IF(_xlpm.part = "", "", _xlfn.LET(_xlpm.ssvMsg, IF(AND(LEN(_xlpm.servererror), _xlpm.val = _xlpm.serverval), _xlpm.servererror, ""), IF(LEN(_xlpm.ssvMsg) &gt; 0, _xlpm.ssvMsg, IF(AND(_xlpm.val = "", BG$3="Required"), IF(OR('6 - TV Stands &amp; Enterta'!BG$7 = "", '6 - TV Stands &amp; Enterta'!BG$7 = "N/A"), "3:Product Type - Value is required", ""), ""))))))</f>
        <v/>
      </c>
      <c r="BH8">
        <f t="array" ref="BH8">_xlfn.MAP('6 - TV Stands &amp; Enterta'!B8:B22, '6 - TV Stands &amp; Enterta'!BH8:BH22, '6 - TV Stands &amp; Enterta-WUO_SER'!BH8:BH22, '6 - TV Stands &amp; Enterta-WUO_SSV'!BH8:BH22,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BH$3="Required"), IF(OR('6 - TV Stands &amp; Enterta'!BH$7 = "", '6 - TV Stands &amp; Enterta'!BH$7 = "N/A"), "3:Pier / Bookcase Included - Value is required", ""), ""))))))))</f>
        <v/>
      </c>
      <c r="BI8">
        <f t="array" ref="BI8">_xlfn.MAP('6 - TV Stands &amp; Enterta'!B8:B22, '6 - TV Stands &amp; Enterta'!BI8:BI22, '6 - TV Stands &amp; Enterta-WUO_SER'!BI8:BI22, '6 - TV Stands &amp; Enterta-WUO_SSV'!BI8:BI22, _xlfn.LAMBDA(_xlpm.part, _xlpm.val, _xlpm.servererror, _xlpm.serverval, IF(_xlpm.part = "", "", _xlfn.LET(_xlpm.ssvMsg, IF(AND(LEN(_xlpm.servererror), _xlpm.val = _xlpm.serverval), _xlpm.servererror, ""), IF(LEN(_xlpm.ssvMsg) &gt; 0, _xlpm.ssvMsg, IF(AND(_xlpm.val = "", BI$3="Required"), IF(OR('6 - TV Stands &amp; Enterta'!BI$7 = "", '6 - TV Stands &amp; Enterta'!BI$7 = "N/A"), "3:Drawers Included - Value is required", ""), ""))))))</f>
        <v/>
      </c>
      <c r="BJ8">
        <f t="array" ref="BJ8">_xlfn.MAP('6 - TV Stands &amp; Enterta'!B8:B22, '6 - TV Stands &amp; Enterta'!BJ8:BJ22, '6 - TV Stands &amp; Enterta-WUO_SER'!BJ8:BJ22, '6 - TV Stands &amp; Enterta-WUO_SSV'!BJ8:BJ22,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BJ$3="Required"), IF(OR('6 - TV Stands &amp; Enterta'!BJ$7 = "", '6 - TV Stands &amp; Enterta'!BJ$7 = "N/A"), "3:Number of Drawers - Value is required", ""), ""))))))))</f>
        <v/>
      </c>
      <c r="BK8">
        <f t="array" ref="BK8">_xlfn.MAP('6 - TV Stands &amp; Enterta'!B8:B22, '6 - TV Stands &amp; Enterta'!BK8:BK22, '6 - TV Stands &amp; Enterta-WUO_SER'!BK8:BK22, '6 - TV Stands &amp; Enterta-WUO_SSV'!BK8:BK22, _xlfn.LAMBDA(_xlpm.part, _xlpm.val, _xlpm.servererror, _xlpm.serverval, IF(_xlpm.part = "", "", _xlfn.LET(_xlpm.ssvMsg, IF(AND(LEN(_xlpm.servererror), _xlpm.val = _xlpm.serverval), _xlpm.servererror, ""), IF(LEN(_xlpm.ssvMsg) &gt; 0, _xlpm.ssvMsg, IF(AND(_xlpm.val = "", BK$3="Required"), IF(OR('6 - TV Stands &amp; Enterta'!BK$7 = "", '6 - TV Stands &amp; Enterta'!BK$7 = "N/A"), "3:Cabinets Included - Value is required", ""), ""))))))</f>
        <v/>
      </c>
      <c r="BL8">
        <f t="array" ref="BL8">_xlfn.MAP('6 - TV Stands &amp; Enterta'!B8:B22, '6 - TV Stands &amp; Enterta'!BL8:BL22, '6 - TV Stands &amp; Enterta-WUO_SER'!BL8:BL22, '6 - TV Stands &amp; Enterta-WUO_SSV'!BL8:BL22, _xlfn.LAMBDA(_xlpm.part, _xlpm.val, _xlpm.servererror, _xlpm.serverval, IF(_xlpm.part = "", "", _xlfn.LET(_xlpm.ssvMsg, IF(AND(LEN(_xlpm.servererror), _xlpm.val = _xlpm.serverval), _xlpm.servererror, ""), IF(LEN(_xlpm.ssvMsg) &gt; 0, _xlpm.ssvMsg, IF(AND(_xlpm.val = "", BL$3="Required"), IF(OR('6 - TV Stands &amp; Enterta'!BL$7 = "", '6 - TV Stands &amp; Enterta'!BL$7 = "N/A"), "3:Shelves Included - Value is required", ""), ""))))))</f>
        <v/>
      </c>
      <c r="BM8">
        <f t="array" ref="BM8">_xlfn.MAP('6 - TV Stands &amp; Enterta'!B8:B22, '6 - TV Stands &amp; Enterta'!BM8:BM22, '6 - TV Stands &amp; Enterta-WUO_SER'!BM8:BM22, '6 - TV Stands &amp; Enterta-WUO_SSV'!BM8:BM22,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BM$3="Required"), IF(OR('6 - TV Stands &amp; Enterta'!BM$7 = "", '6 - TV Stands &amp; Enterta'!BM$7 = "N/A"), "3:Exterior Shelves Included - Value is required", ""), ""))))))))))</f>
        <v/>
      </c>
      <c r="BN8">
        <f t="array" ref="BN8">_xlfn.MAP('6 - TV Stands &amp; Enterta'!B8:B22, '6 - TV Stands &amp; Enterta'!BN8:BN22, '6 - TV Stands &amp; Enterta-WUO_SER'!BN8:BN22, '6 - TV Stands &amp; Enterta-WUO_SSV'!BN8:BN22,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BN$3="Required"), IF(OR('6 - TV Stands &amp; Enterta'!BN$7 = "", '6 - TV Stands &amp; Enterta'!BN$7 = "N/A"), "3:Interior Shelves Included - Value is required", ""), ""))))))))))</f>
        <v/>
      </c>
      <c r="BO8">
        <f t="array" ref="BO8">_xlfn.MAP('6 - TV Stands &amp; Enterta'!B8:B22, '6 - TV Stands &amp; Enterta'!BO8:BO22, '6 - TV Stands &amp; Enterta-WUO_SER'!BO8:BO22, '6 - TV Stands &amp; Enterta-WUO_SSV'!BO8:BO22,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BO$3="Required"), IF(OR('6 - TV Stands &amp; Enterta'!BO$7 = "", '6 - TV Stands &amp; Enterta'!BO$7 = "N/A"), "3:Bridge Included - Value is required", ""), ""))))))))</f>
        <v/>
      </c>
      <c r="BP8">
        <f t="array" ref="BP8">_xlfn.MAP('6 - TV Stands &amp; Enterta'!B8:B22, '6 - TV Stands &amp; Enterta'!BP8:BP22, '6 - TV Stands &amp; Enterta-WUO_SER'!BP8:BP22, '6 - TV Stands &amp; Enterta-WUO_SSV'!BP8:BP22, _xlfn.LAMBDA(_xlpm.part, _xlpm.val, _xlpm.servererror, _xlpm.serverval, IF(_xlpm.part = "", "", _xlfn.LET(_xlpm.ssvMsg, IF(AND(LEN(_xlpm.servererror), _xlpm.val = _xlpm.serverval), _xlpm.servererror, ""), IF(LEN(_xlpm.ssvMsg) &gt; 0, _xlpm.ssvMsg, IF(AND(_xlpm.val = "", BP$3="Required"), IF(OR('6 - TV Stands &amp; Enterta'!BP$7 = "", '6 - TV Stands &amp; Enterta'!BP$7 = "N/A"), "3:Furniture Design - Value is required", ""), ""))))))</f>
        <v/>
      </c>
      <c r="BQ8">
        <f t="array" ref="BQ8">_xlfn.MAP('6 - TV Stands &amp; Enterta'!B8:B22, '6 - TV Stands &amp; Enterta'!BQ8:BQ22, '6 - TV Stands &amp; Enterta-WUO_SER'!BQ8:BQ22, '6 - TV Stands &amp; Enterta-WUO_SSV'!BQ8:BQ22, _xlfn.LAMBDA(_xlpm.part, _xlpm.val, _xlpm.servererror, _xlpm.serverval, IF(_xlpm.part = "", "", _xlfn.LET(_xlpm.ssvMsg, IF(AND(LEN(_xlpm.servererror), _xlpm.val = _xlpm.serverval), _xlpm.servererror, ""), IF(LEN(_xlpm.ssvMsg) &gt; 0, _xlpm.ssvMsg, IF(AND(_xlpm.val = "", BQ$3="Required"), IF(OR('6 - TV Stands &amp; Enterta'!BQ$7 = "", '6 - TV Stands &amp; Enterta'!BQ$7 = "N/A"), "3:Material - Value is required", ""), ""))))))</f>
        <v/>
      </c>
      <c r="BR8">
        <f t="array" ref="BR8">_xlfn.MAP('6 - TV Stands &amp; Enterta'!B8:B22, '6 - TV Stands &amp; Enterta'!BR8:BR22, '6 - TV Stands &amp; Enterta-WUO_SER'!BR8:BR22, '6 - TV Stands &amp; Enterta-WUO_SSV'!BR8:BR22, _xlfn.LAMBDA(_xlpm.part, _xlpm.val, _xlpm.servererror, _xlpm.serverval, IF(_xlpm.part = "", "", _xlfn.LET(_xlpm.ssvMsg, IF(AND(LEN(_xlpm.servererror), _xlpm.val = _xlpm.serverval), _xlpm.servererror, ""), IF(LEN(_xlpm.ssvMsg) &gt; 0, _xlpm.ssvMsg, IF(AND(_xlpm.val = "", BR$3="Required"), IF(OR('6 - TV Stands &amp; Enterta'!BR$7 = "", '6 - TV Stands &amp; Enterta'!BR$7 = "N/A"), "3:Purposeful Distressing Type - Value is required", ""), ""))))))</f>
        <v/>
      </c>
      <c r="BS8">
        <f t="array" ref="BS8">_xlfn.MAP('6 - TV Stands &amp; Enterta'!B8:B22, '6 - TV Stands &amp; Enterta'!BS8:BS22, '6 - TV Stands &amp; Enterta-WUO_SER'!BS8:BS22, '6 - TV Stands &amp; Enterta-WUO_SSV'!BS8:BS22,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AND(NOT(OR(ISNUMBER(SEARCH("Metal", _xlpm.dep1)), ISNUMBER(SEARCH("Steel", _xlpm.dep1)))), _xlpm.dep1 &lt;&gt; "")), "2:Autofill", ""), IF(LEN(_xlpm.check1) &gt; 0, _xlpm.check1, IF(AND(_xlpm.val = "", BS$3="Required"), IF(OR('6 - TV Stands &amp; Enterta'!BS$7 = "", '6 - TV Stands &amp; Enterta'!BS$7 = "N/A"), "3:Natural Variation Type - Value is required", ""), ""))))))))</f>
        <v/>
      </c>
      <c r="BT8">
        <f t="array" ref="BT8">_xlfn.MAP('6 - TV Stands &amp; Enterta'!B8:B22, '6 - TV Stands &amp; Enterta'!BT8:BT22, '6 - TV Stands &amp; Enterta-WUO_SER'!BT8:BT22, '6 - TV Stands &amp; Enterta-WUO_SSV'!BT8:BT22, _xlfn.LAMBDA(_xlpm.part, _xlpm.val, _xlpm.servererror, _xlpm.serverval, IF(_xlpm.part = "", "", _xlfn.LET(_xlpm.ssvMsg, IF(AND(LEN(_xlpm.servererror), _xlpm.val = _xlpm.serverval), _xlpm.servererror, ""), IF(LEN(_xlpm.ssvMsg) &gt; 0, _xlpm.ssvMsg, IF(AND(_xlpm.val = "", BT$3="Required"), IF(OR('6 - TV Stands &amp; Enterta'!BT$7 = "", '6 - TV Stands &amp; Enterta'!BT$7 = "N/A"), "3:Gloss Finish - Value is required", ""), ""))))))</f>
        <v/>
      </c>
      <c r="BU8">
        <f t="array" ref="BU8">_xlfn.MAP('6 - TV Stands &amp; Enterta'!B8:B22, '6 - TV Stands &amp; Enterta'!BU8:BU22, '6 - TV Stands &amp; Enterta-WUO_SER'!BU8:BU22, '6 - TV Stands &amp; Enterta-WUO_SSV'!BU8:BU22, _xlfn.LAMBDA(_xlpm.part, _xlpm.val, _xlpm.servererror, _xlpm.serverval, IF(_xlpm.part = "", "", _xlfn.LET(_xlpm.ssvMsg, IF(AND(LEN(_xlpm.servererror), _xlpm.val = _xlpm.serverval), _xlpm.servererror, ""), IF(LEN(_xlpm.ssvMsg) &gt; 0, _xlpm.ssvMsg, IF(AND(_xlpm.val = "", BU$3="Required"), IF(OR('6 - TV Stands &amp; Enterta'!BU$7 = "", '6 - TV Stands &amp; Enterta'!BU$7 = "N/A"), "3:Mirrored - Value is required", ""), ""))))))</f>
        <v/>
      </c>
      <c r="BV8">
        <f t="array" ref="BV8">_xlfn.MAP('6 - TV Stands &amp; Enterta'!B8:B22, '6 - TV Stands &amp; Enterta'!BV8:BV22, '6 - TV Stands &amp; Enterta-WUO_SER'!BV8:BV22, '6 - TV Stands &amp; Enterta-WUO_SSV'!BV8:BV22, _xlfn.LAMBDA(_xlpm.part, _xlpm.val, _xlpm.servererror, _xlpm.serverval, IF(_xlpm.part = "", "", _xlfn.LET(_xlpm.ssvMsg, IF(AND(LEN(_xlpm.servererror), _xlpm.val = _xlpm.serverval), _xlpm.servererror, ""), IF(LEN(_xlpm.ssvMsg) &gt; 0, _xlpm.ssvMsg, IF(AND(_xlpm.val = "", BV$3="Required"), IF(OR('6 - TV Stands &amp; Enterta'!BV$7 = "", '6 - TV Stands &amp; Enterta'!BV$7 = "N/A"), "3:Sound Bar Shelf Included - Value is required", ""), ""))))))</f>
        <v/>
      </c>
      <c r="BW8">
        <f t="array" ref="BW8">_xlfn.MAP('6 - TV Stands &amp; Enterta'!B8:B22, '6 - TV Stands &amp; Enterta'!BW8:BW22, '6 - TV Stands &amp; Enterta-WUO_SER'!BW8:BW22, '6 - TV Stands &amp; Enterta-WUO_SSV'!BW8:BW22,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BW$3="Required"), IF(OR('6 - TV Stands &amp; Enterta'!BW$7 = "", '6 - TV Stands &amp; Enterta'!BW$7 = "N/A"), "3:Adjustable Shelves - Value is required", ""), ""))))))))))</f>
        <v/>
      </c>
      <c r="BX8">
        <f t="array" ref="BX8">_xlfn.MAP('6 - TV Stands &amp; Enterta'!B8:B22, '6 - TV Stands &amp; Enterta'!BX8:BX22, '6 - TV Stands &amp; Enterta-WUO_SER'!BX8:BX22, '6 - TV Stands &amp; Enterta-WUO_SSV'!BX8:BX22, _xlfn.LAMBDA(_xlpm.part, _xlpm.val, _xlpm.servererror, _xlpm.serverval, IF(_xlpm.part = "", "", _xlfn.LET(_xlpm.ssvMsg, IF(AND(LEN(_xlpm.servererror), _xlpm.val = _xlpm.serverval), _xlpm.servererror, ""), IF(LEN(_xlpm.ssvMsg) &gt; 0, _xlpm.ssvMsg, IF(AND(_xlpm.val = "", BX$3="Required"), IF(OR('6 - TV Stands &amp; Enterta'!BX$7 = "", '6 - TV Stands &amp; Enterta'!BX$7 = "N/A"), "3:Media Storage Included - Value is required", ""), ""))))))</f>
        <v/>
      </c>
      <c r="BY8">
        <f t="array" ref="BY8">_xlfn.MAP('6 - TV Stands &amp; Enterta'!B8:B22, '6 - TV Stands &amp; Enterta'!BY8:BY22, '6 - TV Stands &amp; Enterta-WUO_SER'!BY8:BY22, '6 - TV Stands &amp; Enterta-WUO_SSV'!BY8:BY22, _xlfn.LAMBDA(_xlpm.part, _xlpm.val, _xlpm.servererror, _xlpm.serverval, IF(_xlpm.part = "", "", _xlfn.LET(_xlpm.ssvMsg, IF(AND(LEN(_xlpm.servererror), _xlpm.val = _xlpm.serverval), _xlpm.servererror, ""), IF(LEN(_xlpm.ssvMsg) &gt; 0, _xlpm.ssvMsg, IF(AND(_xlpm.val = "", BY$3="Required"), IF(OR('6 - TV Stands &amp; Enterta'!BY$7 = "", '6 - TV Stands &amp; Enterta'!BY$7 = "N/A"), "3:Cable Management - Value is required", ""), ""))))))</f>
        <v/>
      </c>
      <c r="BZ8">
        <f t="array" ref="BZ8">_xlfn.MAP('6 - TV Stands &amp; Enterta'!B8:B22, '6 - TV Stands &amp; Enterta'!BZ8:BZ22, '6 - TV Stands &amp; Enterta-WUO_SER'!BZ8:BZ22, '6 - TV Stands &amp; Enterta-WUO_SSV'!BZ8:BZ22, _xlfn.LAMBDA(_xlpm.part, _xlpm.val, _xlpm.servererror, _xlpm.serverval, IF(_xlpm.part = "", "", _xlfn.LET(_xlpm.ssvMsg, IF(AND(LEN(_xlpm.servererror), _xlpm.val = _xlpm.serverval), _xlpm.servererror, ""), IF(LEN(_xlpm.ssvMsg) &gt; 0, _xlpm.ssvMsg, IF(AND(_xlpm.val = "", BZ$3="Required"), IF(OR('6 - TV Stands &amp; Enterta'!BZ$7 = "", '6 - TV Stands &amp; Enterta'!BZ$7 = "N/A"), "3:Wheels / Casters Included - Value is required", ""), ""))))))</f>
        <v/>
      </c>
      <c r="CA8">
        <f t="array" ref="CA8">_xlfn.MAP('6 - TV Stands &amp; Enterta'!B8:B22, '6 - TV Stands &amp; Enterta'!CA8:CA22, '6 - TV Stands &amp; Enterta-WUO_SER'!CA8:CA22, '6 - TV Stands &amp; Enterta-WUO_SSV'!CA8:CA22, '6 - TV Stands &amp; Enterta'!BP8:BP22, _xlfn.LAMBDA(_xlpm.part, _xlpm.val, _xlpm.servererror, _xlpm.serverval, _xlpm.dep1, IF(_xlpm.part = "", "", _xlfn.LET(_xlpm.ssvMsg, IF(AND(LEN(_xlpm.servererror), _xlpm.val = _xlpm.serverval), _xlpm.servererror, ""), IF(LEN(_xlpm.ssvMsg) &gt; 0, _xlpm.ssvMsg, _xlfn.LET(_xlpm.check1, IF(AND(_xlpm.val = "", OR(ISNUMBER(SEARCH("TV Stand Fireplace", _xlpm.dep1)), AND(NOT(ISNUMBER(SEARCH("TV Stand Fireplace", _xlpm.dep1))), _xlpm.dep1 &lt;&gt; ""))), "2:Autofill", ""), IF(LEN(_xlpm.check1) &gt; 0, _xlpm.check1, IF(AND(_xlpm.val = "", CA$3="Required"), IF(OR('6 - TV Stands &amp; Enterta'!CA$7 = "", '6 - TV Stands &amp; Enterta'!CA$7 = "N/A"), "3:Fireplace Included - Value is required", ""), ""))))))))</f>
        <v/>
      </c>
      <c r="CB8">
        <f t="array" ref="CB8">_xlfn.MAP('6 - TV Stands &amp; Enterta'!B8:B22, '6 - TV Stands &amp; Enterta'!CB8:CB22, '6 - TV Stands &amp; Enterta-WUO_SER'!CB8:CB22, '6 - TV Stands &amp; Enterta-WUO_SSV'!CB8:CB22, _xlfn.LAMBDA(_xlpm.part, _xlpm.val, _xlpm.servererror, _xlpm.serverval, IF(_xlpm.part = "", "", _xlfn.LET(_xlpm.ssvMsg, IF(AND(LEN(_xlpm.servererror), _xlpm.val = _xlpm.serverval), _xlpm.servererror, ""), IF(LEN(_xlpm.ssvMsg) &gt; 0, _xlpm.ssvMsg, IF(AND(_xlpm.val = "", CB$3="Required"), IF(OR('6 - TV Stands &amp; Enterta'!CB$7 = "", '6 - TV Stands &amp; Enterta'!CB$7 = "N/A"), "3:Plug-In - Value is required", ""), ""))))))</f>
        <v/>
      </c>
      <c r="CC8">
        <f t="array" ref="CC8">_xlfn.MAP('6 - TV Stands &amp; Enterta'!B8:B22, '6 - TV Stands &amp; Enterta'!CC8:CC22, '6 - TV Stands &amp; Enterta-WUO_SER'!CC8:CC22, '6 - TV Stands &amp; Enterta-WUO_SSV'!CC8:CC22, _xlfn.LAMBDA(_xlpm.part, _xlpm.val, _xlpm.servererror, _xlpm.serverval, IF(_xlpm.part = "", "", _xlfn.LET(_xlpm.ssvMsg, IF(AND(LEN(_xlpm.servererror), _xlpm.val = _xlpm.serverval), _xlpm.servererror, ""), IF(LEN(_xlpm.ssvMsg) &gt; 0, _xlpm.ssvMsg, IF(AND(_xlpm.val = "", CC$3="Required"), IF(OR('6 - TV Stands &amp; Enterta'!CC$7 = "", '6 - TV Stands &amp; Enterta'!CC$7 = "N/A"), "3:Tipover Restraint Device Included - Value is required", ""), ""))))))</f>
        <v/>
      </c>
      <c r="CD8">
        <f t="array" ref="CD8">_xlfn.MAP('6 - TV Stands &amp; Enterta'!B8:B22, '6 - TV Stands &amp; Enterta'!CD8:CD22, '6 - TV Stands &amp; Enterta-WUO_SER'!CD8:CD22, '6 - TV Stands &amp; Enterta-WUO_SSV'!CD8:CD22, _xlfn.LAMBDA(_xlpm.part, _xlpm.val, _xlpm.servererror, _xlpm.serverval, IF(_xlpm.part = "", "", _xlfn.LET(_xlpm.ssvMsg, IF(AND(LEN(_xlpm.servererror), _xlpm.val = _xlpm.serverval), _xlpm.servererror, ""), IF(LEN(_xlpm.ssvMsg) &gt; 0, _xlpm.ssvMsg, IF(AND(_xlpm.val = "", CD$3="Required"), IF(OR('6 - TV Stands &amp; Enterta'!CD$7 = "", '6 - TV Stands &amp; Enterta'!CD$7 = "N/A"), "3:Integrated TV Mount Included - Value is required", ""), ""))))))</f>
        <v/>
      </c>
      <c r="CE8">
        <f t="array" ref="CE8">_xlfn.MAP('6 - TV Stands &amp; Enterta'!B8:B22, '6 - TV Stands &amp; Enterta'!CE8:CE22, '6 - TV Stands &amp; Enterta-WUO_SER'!CE8:CE22, '6 - TV Stands &amp; Enterta-WUO_SSV'!CE8:CE22, _xlfn.LAMBDA(_xlpm.part, _xlpm.val, _xlpm.servererror, _xlpm.serverval, IF(_xlpm.part = "", "", _xlfn.LET(_xlpm.ssvMsg, IF(AND(LEN(_xlpm.servererror), _xlpm.val = _xlpm.serverval), _xlpm.servererror, ""), IF(LEN(_xlpm.ssvMsg) &gt; 0, _xlpm.ssvMsg, IF(AND(_xlpm.val = "", CE$3="Required"), IF(OR('6 - TV Stands &amp; Enterta'!CE$7 = "", '6 - TV Stands &amp; Enterta'!CE$7 = "N/A"), "3:Adjustable Height - Value is required", ""), ""))))))</f>
        <v/>
      </c>
      <c r="CF8">
        <f t="array" ref="CF8">_xlfn.MAP('6 - TV Stands &amp; Enterta'!B8:B22, '6 - TV Stands &amp; Enterta'!CF8:CF22, '6 - TV Stands &amp; Enterta-WUO_SER'!CF8:CF22, '6 - TV Stands &amp; Enterta-WUO_SSV'!CF8:CF22,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CF$3="Required"), IF(OR('6 - TV Stands &amp; Enterta'!CF$7 = "", '6 - TV Stands &amp; Enterta'!CF$7 = "N/A"), "3:Supplier Intended and Approved Use - Value is required", ""), ""))))))))</f>
        <v/>
      </c>
      <c r="CG8">
        <f t="array" ref="CG8">_xlfn.MAP('6 - TV Stands &amp; Enterta'!B8:B22, '6 - TV Stands &amp; Enterta'!CG8:CG22, '6 - TV Stands &amp; Enterta-WUO_SER'!CG8:CG22, '6 - TV Stands &amp; Enterta-WUO_SSV'!CG8:CG22, _xlfn.LAMBDA(_xlpm.part, _xlpm.val, _xlpm.servererror, _xlpm.serverval, IF(_xlpm.part = "", "", _xlfn.LET(_xlpm.ssvMsg, IF(AND(LEN(_xlpm.servererror), _xlpm.val = _xlpm.serverval), _xlpm.servererror, ""), IF(LEN(_xlpm.ssvMsg) &gt; 0, _xlpm.ssvMsg, IF(AND(_xlpm.val = "", CG$3="Required"), IF(OR('6 - TV Stands &amp; Enterta'!CG$7 = "", '6 - TV Stands &amp; Enterta'!CG$7 = "N/A"), "3:Country of Origin - Additional Details - Value is required", ""), ""))))))</f>
        <v/>
      </c>
      <c r="CH8">
        <f t="array" ref="CH8">_xlfn.MAP('6 - TV Stands &amp; Enterta'!B8:B22, '6 - TV Stands &amp; Enterta'!CH8:CH22, '6 - TV Stands &amp; Enterta-WUO_SER'!CH8:CH22, '6 - TV Stands &amp; Enterta-WUO_SSV'!CH8:CH22,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AND(NOT(ISNUMBER(SEARCH("Teak", _xlpm.dep1))), _xlpm.dep1 &lt;&gt; "")), "2:Autofill", ""), IF(LEN(_xlpm.check1) &gt; 0, _xlpm.check1, IF(AND(_xlpm.val = "", CH$3="Required"), IF(OR('6 - TV Stands &amp; Enterta'!CH$7 = "", '6 - TV Stands &amp; Enterta'!CH$7 = "N/A"), "3:Main Wood Joinery Method - Value is required", ""), ""))))))))</f>
        <v/>
      </c>
      <c r="CI8">
        <f t="array" ref="CI8">_xlfn.MAP('6 - TV Stands &amp; Enterta'!B8:B22, '6 - TV Stands &amp; Enterta'!CI8:CI22, '6 - TV Stands &amp; Enterta-WUO_SER'!CI8:CI22, '6 - TV Stands &amp; Enterta-WUO_SSV'!CI8:CI22, _xlfn.LAMBDA(_xlpm.part, _xlpm.val, _xlpm.servererror, _xlpm.serverval, IF(_xlpm.part = "", "", _xlfn.LET(_xlpm.ssvMsg, IF(AND(LEN(_xlpm.servererror), _xlpm.val = _xlpm.serverval), _xlpm.servererror, ""), IF(LEN(_xlpm.ssvMsg) &gt; 0, _xlpm.ssvMsg, IF(AND(_xlpm.val = "", CI$3="Required"), IF(OR('6 - TV Stands &amp; Enterta'!CI$7 = "", '6 - TV Stands &amp; Enterta'!CI$7 = "N/A"), "3:Kiln-Dried Wood - Value is required", ""), ""))))))</f>
        <v/>
      </c>
      <c r="CJ8">
        <f t="array" ref="CJ8">_xlfn.MAP('6 - TV Stands &amp; Enterta'!B8:B22, '6 - TV Stands &amp; Enterta'!CJ8:CJ22, '6 - TV Stands &amp; Enterta-WUO_SER'!CJ8:CJ22, '6 - TV Stands &amp; Enterta-WUO_SSV'!CJ8:CJ22,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CJ$3="Required"), IF(OR('6 - TV Stands &amp; Enterta'!CJ$7 = "", '6 - TV Stands &amp; Enterta'!CJ$7 = "N/A"), "3:Wood Species - Value is required", ""), ""))))))))</f>
        <v/>
      </c>
      <c r="CK8">
        <f t="array" ref="CK8">_xlfn.MAP('6 - TV Stands &amp; Enterta'!B8:B22, '6 - TV Stands &amp; Enterta'!CK8:CK22, '6 - TV Stands &amp; Enterta-WUO_SER'!CK8:CK22, '6 - TV Stands &amp; Enterta-WUO_SSV'!CK8:CK22, _xlfn.LAMBDA(_xlpm.part, _xlpm.val, _xlpm.servererror, _xlpm.serverval, IF(_xlpm.part = "", "", _xlfn.LET(_xlpm.ssvMsg, IF(AND(LEN(_xlpm.servererror), _xlpm.val = _xlpm.serverval), _xlpm.servererror, ""), IF(LEN(_xlpm.ssvMsg) &gt; 0, _xlpm.ssvMsg, IF(AND(_xlpm.val = "", CK$3="Required"), IF(OR('6 - TV Stands &amp; Enterta'!CK$7 = "", '6 - TV Stands &amp; Enterta'!CK$7 = "N/A"), "3:Battery or Batteries Included - Value is required", ""), ""))))))</f>
        <v/>
      </c>
      <c r="CL8">
        <f t="array" ref="CL8">_xlfn.MAP('6 - TV Stands &amp; Enterta'!B8:B22, '6 - TV Stands &amp; Enterta'!CL8:CL22, '6 - TV Stands &amp; Enterta-WUO_SER'!CL8:CL22, '6 - TV Stands &amp; Enterta-WUO_SSV'!CL8:CL22,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Enterta'!CL$7 = "", '6 - TV Stands &amp; Enterta'!CL$7 = "N/A"), "3:Since Battery or Batteries Included equals 'Yes', this field is required", ""), ""), ""), IF(LEN(_xlpm.check3) &gt; 0, _xlpm.check3, IF(AND(_xlpm.val = "", CL$3="Required"), IF(OR('6 - TV Stands &amp; Enterta'!CL$7 = "", '6 - TV Stands &amp; Enterta'!CL$7 = "N/A"), "3:Battery Composition - Value is required", ""), ""))))))))))))</f>
        <v/>
      </c>
      <c r="CM8">
        <f t="array" ref="CM8">_xlfn.MAP('6 - TV Stands &amp; Enterta'!B8:B22, '6 - TV Stands &amp; Enterta'!CM8:CM22, '6 - TV Stands &amp; Enterta-WUO_SER'!CM8:CM22, '6 - TV Stands &amp; Enterta-WUO_SSV'!CM8:CM22,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Enterta'!CM$7 = "", '6 - TV Stands &amp; Enterta'!CM$7 = "N/A"), "3:Since Battery or Batteries Included equals 'Yes', this field is required", ""), ""), ""), IF(LEN(_xlpm.check3) &gt; 0, _xlpm.check3, IF(AND(_xlpm.val = "", CM$3="Required"), IF(OR('6 - TV Stands &amp; Enterta'!CM$7 = "", '6 - TV Stands &amp; Enterta'!CM$7 = "N/A"), "3:Battery Type - Value is required", ""), ""))))))))))))</f>
        <v/>
      </c>
      <c r="CN8">
        <f t="array" ref="CN8">_xlfn.MAP('6 - TV Stands &amp; Enterta'!B8:B22, '6 - TV Stands &amp; Enterta'!CN8:CN22, '6 - TV Stands &amp; Enterta-WUO_SER'!CN8:CN22, '6 - TV Stands &amp; Enterta-WUO_SSV'!CN8:CN22,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Enterta'!CN$7 = "", '6 - TV Stands &amp; Enterta'!CN$7 = "N/A"), "3:Since Battery or Batteries Included equals 'Yes', this field is required", ""), ""), ""), IF(LEN(_xlpm.check3) &gt; 0, _xlpm.check3, IF(AND(_xlpm.val = "", CN$3="Required"), IF(OR('6 - TV Stands &amp; Enterta'!CN$7 = "", '6 - TV Stands &amp; Enterta'!CN$7 = "N/A"), "3:Number of Batteries - Value is required", ""), ""))))))))))))</f>
        <v/>
      </c>
      <c r="CO8">
        <f t="array" ref="CO8">_xlfn.MAP('6 - TV Stands &amp; Enterta'!B8:B22, '6 - TV Stands &amp; Enterta'!CO8:CO22, '6 - TV Stands &amp; Enterta-WUO_SER'!CO8:CO22, '6 - TV Stands &amp; Enterta-WUO_SSV'!CO8:CO22,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Enterta'!CO$7 = "", '6 - TV Stands &amp; Enterta'!CO$7 = "N/A"), "3:Since Battery or Batteries Included equals 'Yes', this field is required", ""), ""), ""), IF(LEN(_xlpm.check4) &gt; 0, _xlpm.check4, IF(AND(_xlpm.val = "", CO$3="Required"), IF(OR('6 - TV Stands &amp; Enterta'!CO$7 = "", '6 - TV Stands &amp; Enterta'!CO$7 = "N/A"), "3:Battery Shipment - Value is required", ""), ""))))))))))))))</f>
        <v/>
      </c>
      <c r="CP8">
        <f t="array" ref="CP8">_xlfn.MAP('6 - TV Stands &amp; Enterta'!B8:B22, '6 - TV Stands &amp; Enterta'!CP8:CP22, '6 - TV Stands &amp; Enterta-WUO_SER'!CP8:CP22, '6 - TV Stands &amp; Enterta-WUO_SSV'!CP8:CP22,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Enterta'!CP$7 = "", '6 - TV Stands &amp; Enterta'!CP$7 = "N/A"), "3:Since Battery or Batteries Included equals 'Yes', this field is required", ""), ""), ""), IF(LEN(_xlpm.check5) &gt; 0, _xlpm.check5, IF(AND(_xlpm.val = "", CP$3="Required"), IF(OR('6 - TV Stands &amp; Enterta'!CP$7 = "", '6 - TV Stands &amp; Enterta'!CP$7 = "N/A"), "3:Lithium Content - Value is required", ""), ""))))))))))))))))</f>
        <v/>
      </c>
      <c r="CQ8">
        <f t="array" ref="CQ8">_xlfn.MAP('6 - TV Stands &amp; Enterta'!B8:B22, '6 - TV Stands &amp; Enterta'!CQ8:CQ22, '6 - TV Stands &amp; Enterta-WUO_SER'!CQ8:CQ22, '6 - TV Stands &amp; Enterta-WUO_SSV'!CQ8:CQ22, '6 - TV Stands &amp; Enterta'!CK8:CK22, '6 - TV Stands &amp; Enterta'!CM8:CM22, '6 - TV Stands &amp; Enterta'!CL8:CL22, _xlfn.LAMBDA(_xlpm.part, _xlpm.val, _xlpm.servererror, _xlpm.serverval, _xlpm.dep1, _xlpm.dep2, _xlpm.dep3, IF(_xlpm.part = "", "", _xlfn.LET(_xlpm.ssvMsg, IF(AND(LEN(_xlpm.servererror), _xlpm.val = _xlpm.serverval), _xlpm.servererror, ""), IF(LEN(_xlpm.ssvMsg) &gt; 0, _xlpm.ssvMsg,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Enterta'!CQ$7 = "", '6 - TV Stands &amp; Enterta'!CQ$7 = "N/A"), "3:Since Battery or Batteries Included equals 'Yes', this field is required", ""), ""), ""), IF(LEN(_xlpm.check7) &gt; 0, _xlpm.check7, IF(AND(_xlpm.val = "", CQ$3="Required"), IF(OR('6 - TV Stands &amp; Enterta'!CQ$7 = "", '6 - TV Stands &amp; Enterta'!CQ$7 = "N/A"), "3:Watt Rating of Cells / Battery - Value is required", ""), ""))))))))))))))))))))</f>
        <v/>
      </c>
      <c r="CR8">
        <f t="array" ref="CR8">_xlfn.MAP('6 - TV Stands &amp; Enterta'!B8:B22, '6 - TV Stands &amp; Enterta'!CR8:CR22, '6 - TV Stands &amp; Enterta-WUO_SER'!CR8:CR22, '6 - TV Stands &amp; Enterta-WUO_SSV'!CR8:CR22,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Enterta'!CR$7 = "", '6 - TV Stands &amp; Enterta'!CR$7 = "N/A"), "3:Since Battery or Batteries Included equals 'Yes', this field is required", ""), ""), ""), IF(LEN(_xlpm.check4) &gt; 0, _xlpm.check4, IF(AND(_xlpm.val = "", CR$3="Required"), IF(OR('6 - TV Stands &amp; Enterta'!CR$7 = "", '6 - TV Stands &amp; Enterta'!CR$7 = "N/A"), "3:Weight of Cells / Battery - Value is required", ""), ""))))))))))))))</f>
        <v/>
      </c>
      <c r="CS8">
        <f t="array" ref="CS8">_xlfn.MAP('6 - TV Stands &amp; Enterta'!B8:B22, '6 - TV Stands &amp; Enterta'!CS8:CS22, '6 - TV Stands &amp; Enterta-WUO_SER'!CS8:CS22, '6 - TV Stands &amp; Enterta-WUO_SSV'!CS8:CS22,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CS$3="Required"), IF(OR('6 - TV Stands &amp; Enterta'!CS$7 = "", '6 - TV Stands &amp; Enterta'!CS$7 = "N/A"), "3:Adjustable Temperature - Value is required", ""), ""))))))))</f>
        <v/>
      </c>
      <c r="CT8">
        <f t="array" ref="CT8">_xlfn.MAP('6 - TV Stands &amp; Enterta'!B8:B22, '6 - TV Stands &amp; Enterta'!CT8:CT22, '6 - TV Stands &amp; Enterta-WUO_SER'!CT8:CT22, '6 - TV Stands &amp; Enterta-WUO_SSV'!CT8:CT22,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CT$3="Required"), IF(OR('6 - TV Stands &amp; Enterta'!CT$7 = "", '6 - TV Stands &amp; Enterta'!CT$7 = "N/A"), "3:Adjustable Flame - Value is required", ""), ""))))))))</f>
        <v/>
      </c>
      <c r="CU8">
        <f t="array" ref="CU8">_xlfn.MAP('6 - TV Stands &amp; Enterta'!B8:B22, '6 - TV Stands &amp; Enterta'!CU8:CU22, '6 - TV Stands &amp; Enterta-WUO_SER'!CU8:CU22, '6 - TV Stands &amp; Enterta-WUO_SSV'!CU8:CU22, _xlfn.LAMBDA(_xlpm.part, _xlpm.val, _xlpm.servererror, _xlpm.serverval, IF(_xlpm.part = "", "", _xlfn.LET(_xlpm.ssvMsg, IF(AND(LEN(_xlpm.servererror), _xlpm.val = _xlpm.serverval), _xlpm.servererror, ""), IF(LEN(_xlpm.ssvMsg) &gt; 0, _xlpm.ssvMsg, IF(AND(_xlpm.val = "", CU$3="Required"), IF(OR('6 - TV Stands &amp; Enterta'!CU$7 = "", '6 - TV Stands &amp; Enterta'!CU$7 = "N/A"), "3:Weight Capacity - Value is required", ""), ""))))))</f>
        <v/>
      </c>
      <c r="CV8">
        <f t="array" ref="CV8">_xlfn.MAP('6 - TV Stands &amp; Enterta'!B8:B22, '6 - TV Stands &amp; Enterta'!CV8:CV22, '6 - TV Stands &amp; Enterta-WUO_SER'!CV8:CV22, '6 - TV Stands &amp; Enterta-WUO_SSV'!CV8:CV22, _xlfn.LAMBDA(_xlpm.part, _xlpm.val, _xlpm.servererror, _xlpm.serverval, IF(_xlpm.part = "", "", _xlfn.LET(_xlpm.ssvMsg, IF(AND(LEN(_xlpm.servererror), _xlpm.val = _xlpm.serverval), _xlpm.servererror, ""), IF(LEN(_xlpm.ssvMsg) &gt; 0, _xlpm.ssvMsg, IF(AND(_xlpm.val = "", CV$3="Required"), IF(OR('6 - TV Stands &amp; Enterta'!CV$7 = "", '6 - TV Stands &amp; Enterta'!CV$7 = "N/A"), "3:Product Care - Value is required", ""), ""))))))</f>
        <v/>
      </c>
      <c r="CW8">
        <f t="array" ref="CW8">_xlfn.MAP('6 - TV Stands &amp; Enterta'!B8:B22, '6 - TV Stands &amp; Enterta'!CW8:CW22, '6 - TV Stands &amp; Enterta-WUO_SER'!CW8:CW22, '6 - TV Stands &amp; Enterta-WUO_SSV'!CW8:CW22, _xlfn.LAMBDA(_xlpm.part, _xlpm.val, _xlpm.servererror, _xlpm.serverval, IF(_xlpm.part = "", "", _xlfn.LET(_xlpm.ssvMsg, IF(AND(LEN(_xlpm.servererror), _xlpm.val = _xlpm.serverval), _xlpm.servererror, ""), IF(LEN(_xlpm.ssvMsg) &gt; 0, _xlpm.ssvMsg, IF(AND(_xlpm.val = "", CW$3="Required"), IF(OR('6 - TV Stands &amp; Enterta'!CW$7 = "", '6 - TV Stands &amp; Enterta'!CW$7 = "N/A"), "3:Unfinished - Value is required", ""), ""))))))</f>
        <v/>
      </c>
      <c r="CX8">
        <f t="array" ref="CX8">_xlfn.MAP('6 - TV Stands &amp; Enterta'!B8:B22, '6 - TV Stands &amp; Enterta'!CX8:CX22, '6 - TV Stands &amp; Enterta-WUO_SER'!CX8:CX22, '6 - TV Stands &amp; Enterta-WUO_SSV'!CX8:CX22,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Shelves Included, value should be Does Not Apply", ""), ""), IF(LEN(_xlpm.check2) &gt; 0, _xlpm.check2, IF(AND(_xlpm.val = "", CX$3="Required"), IF(OR('6 - TV Stands &amp; Enterta'!CX$7 = "", '6 - TV Stands &amp; Enterta'!CX$7 = "N/A"), "3:Shelf Material - Value is required", ""), ""))))))))))</f>
        <v/>
      </c>
      <c r="CY8">
        <f t="array" ref="CY8">_xlfn.MAP('6 - TV Stands &amp; Enterta'!B8:B22, '6 - TV Stands &amp; Enterta'!CY8:CY22, '6 - TV Stands &amp; Enterta-WUO_SER'!CY8:CY22, '6 - TV Stands &amp; Enterta-WUO_SSV'!CY8:CY22, _xlfn.LAMBDA(_xlpm.part, _xlpm.val, _xlpm.servererror, _xlpm.serverval, IF(_xlpm.part = "", "", _xlfn.LET(_xlpm.ssvMsg, IF(AND(LEN(_xlpm.servererror), _xlpm.val = _xlpm.serverval), _xlpm.servererror, ""), IF(LEN(_xlpm.ssvMsg) &gt; 0, _xlpm.ssvMsg, IF(AND(_xlpm.val = "", CY$3="Required"), IF(OR('6 - TV Stands &amp; Enterta'!CY$7 = "", '6 - TV Stands &amp; Enterta'!CY$7 = "N/A"), "3:Color / Finish - Value is required", ""), ""))))))</f>
        <v/>
      </c>
      <c r="CZ8">
        <f t="array" ref="CZ8">_xlfn.MAP('6 - TV Stands &amp; Enterta'!B8:B22, '6 - TV Stands &amp; Enterta'!CZ8:CZ22, '6 - TV Stands &amp; Enterta-WUO_SER'!CZ8:CZ22, '6 - TV Stands &amp; Enterta-WUO_SSV'!CZ8:CZ22,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CZ$3="Required"), IF(OR('6 - TV Stands &amp; Enterta'!CZ$7 = "", '6 - TV Stands &amp; Enterta'!CZ$7 = "N/A"), "3:Drawer Glide Type &amp; Extension - Value is required", ""), ""))))))))</f>
        <v/>
      </c>
      <c r="DA8">
        <f t="array" ref="DA8">_xlfn.MAP('6 - TV Stands &amp; Enterta'!B8:B22, '6 - TV Stands &amp; Enterta'!DA8:DA22, '6 - TV Stands &amp; Enterta-WUO_SER'!DA8:DA22, '6 - TV Stands &amp; Enterta-WUO_SSV'!DA8:DA22, _xlfn.LAMBDA(_xlpm.part, _xlpm.val, _xlpm.servererror, _xlpm.serverval, IF(_xlpm.part = "", "", _xlfn.LET(_xlpm.ssvMsg, IF(AND(LEN(_xlpm.servererror), _xlpm.val = _xlpm.serverval), _xlpm.servererror, ""), IF(LEN(_xlpm.ssvMsg) &gt; 0, _xlpm.ssvMsg, IF(AND(_xlpm.val = "", DA$3="Required"), IF(OR('6 - TV Stands &amp; Enterta'!DA$7 = "", '6 - TV Stands &amp; Enterta'!DA$7 = "N/A"), "3:Vent Type - Value is required", ""), ""))))))</f>
        <v/>
      </c>
      <c r="DB8">
        <f t="array" ref="DB8">_xlfn.MAP('6 - TV Stands &amp; Enterta'!B8:B22, '6 - TV Stands &amp; Enterta'!DB8:DB22, '6 - TV Stands &amp; Enterta-WUO_SER'!DB8:DB22, '6 - TV Stands &amp; Enterta-WUO_SSV'!DB8:DB22,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DB$3="Required"), IF(OR('6 - TV Stands &amp; Enterta'!DB$7 = "", '6 - TV Stands &amp; Enterta'!DB$7 = "N/A"), "3:Fuel Type - Value is required", ""), ""))))))))))))</f>
        <v/>
      </c>
      <c r="DC8">
        <f t="array" ref="DC8">_xlfn.MAP('6 - TV Stands &amp; Enterta'!B8:B22, '6 - TV Stands &amp; Enterta'!DC8:DC22, '6 - TV Stands &amp; Enterta-WUO_SER'!DC8:DC22, '6 - TV Stands &amp; Enterta-WUO_SSV'!DC8:DC22, _xlfn.LAMBDA(_xlpm.part, _xlpm.val, _xlpm.servererror, _xlpm.serverval, IF(_xlpm.part = "", "", _xlfn.LET(_xlpm.ssvMsg, IF(AND(LEN(_xlpm.servererror), _xlpm.val = _xlpm.serverval), _xlpm.servererror, ""), IF(LEN(_xlpm.ssvMsg) &gt; 0, _xlpm.ssvMsg, IF(AND(_xlpm.val = "", DC$3="Required"), IF(OR('6 - TV Stands &amp; Enterta'!DC$7 = "", '6 - TV Stands &amp; Enterta'!DC$7 = "N/A"), "3:Door Design - Value is required", ""), ""))))))</f>
        <v/>
      </c>
      <c r="DD8">
        <f t="array" ref="DD8">_xlfn.MAP('6 - TV Stands &amp; Enterta'!B8:B22, '6 - TV Stands &amp; Enterta'!DD8:DD22, '6 - TV Stands &amp; Enterta-WUO_SER'!DD8:DD22, '6 - TV Stands &amp; Enterta-WUO_SSV'!DD8:DD22, _xlfn.LAMBDA(_xlpm.part, _xlpm.val, _xlpm.servererror, _xlpm.serverval, IF(_xlpm.part = "", "", _xlfn.LET(_xlpm.ssvMsg, IF(AND(LEN(_xlpm.servererror), _xlpm.val = _xlpm.serverval), _xlpm.servererror, ""), IF(LEN(_xlpm.ssvMsg) &gt; 0, _xlpm.ssvMsg, IF(AND(_xlpm.val = "", DD$3="Required"), IF(OR('6 - TV Stands &amp; Enterta'!DD$7 = "", '6 - TV Stands &amp; Enterta'!DD$7 = "N/A"), "3:Ribbed Detailing - Value is required", ""), ""))))))</f>
        <v/>
      </c>
      <c r="DE8">
        <f t="array" ref="DE8">_xlfn.MAP('6 - TV Stands &amp; Enterta'!B8:B22, '6 - TV Stands &amp; Enterta'!DE8:DE22, '6 - TV Stands &amp; Enterta-WUO_SER'!DE8:DE22, '6 - TV Stands &amp; Enterta-WUO_SSV'!DE8:DE22, _xlfn.LAMBDA(_xlpm.part, _xlpm.val, _xlpm.servererror, _xlpm.serverval, IF(_xlpm.part = "", "", _xlfn.LET(_xlpm.ssvMsg, IF(AND(LEN(_xlpm.servererror), _xlpm.val = _xlpm.serverval), _xlpm.servererror, ""), IF(LEN(_xlpm.ssvMsg) &gt; 0, _xlpm.ssvMsg, IF(AND(_xlpm.val = "", DE$3="Required"), IF(OR('6 - TV Stands &amp; Enterta'!DE$7 = "", '6 - TV Stands &amp; Enterta'!DE$7 = "N/A"), "3:Fluted Detailing - Value is required", ""), ""))))))</f>
        <v/>
      </c>
      <c r="DF8">
        <f t="array" ref="DF8">_xlfn.MAP('6 - TV Stands &amp; Enterta'!B8:B22, '6 - TV Stands &amp; Enterta'!DF8:DF22, '6 - TV Stands &amp; Enterta-WUO_SER'!DF8:DF22, '6 - TV Stands &amp; Enterta-WUO_SSV'!DF8:DF22,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DF$3="Required"), IF(OR('6 - TV Stands &amp; Enterta'!DF$7 = "", '6 - TV Stands &amp; Enterta'!DF$7 = "N/A"), "3:Pieces Included - Value is required", ""), ""))))))))</f>
        <v/>
      </c>
      <c r="DG8">
        <f t="array" ref="DG8">_xlfn.MAP('6 - TV Stands &amp; Enterta'!B8:B22, '6 - TV Stands &amp; Enterta'!DG8:DG22, '6 - TV Stands &amp; Enterta-WUO_SER'!DG8:DG22, '6 - TV Stands &amp; Enterta-WUO_SSV'!DG8:DG22, '6 - TV Stands &amp; Enterta'!BK8:BK22,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Cabinets Included, value should be Does Not Apply", ""), ""), IF(LEN(_xlpm.check2) &gt; 0, _xlpm.check2, IF(AND(_xlpm.val = "", DG$3="Required"), IF(OR('6 - TV Stands &amp; Enterta'!DG$7 = "", '6 - TV Stands &amp; Enterta'!DG$7 = "N/A"), "3:Number of Cabinets - Value is required", ""), ""))))))))))</f>
        <v/>
      </c>
      <c r="DH8">
        <f t="array" ref="DH8">_xlfn.MAP('6 - TV Stands &amp; Enterta'!B8:B22, '6 - TV Stands &amp; Enterta'!DH8:DH22, '6 - TV Stands &amp; Enterta-WUO_SER'!DH8:DH22, '6 - TV Stands &amp; Enterta-WUO_SSV'!DH8:DH22, _xlfn.LAMBDA(_xlpm.part, _xlpm.val, _xlpm.servererror, _xlpm.serverval, IF(_xlpm.part = "", "", _xlfn.LET(_xlpm.ssvMsg, IF(AND(LEN(_xlpm.servererror), _xlpm.val = _xlpm.serverval), _xlpm.servererror, ""), IF(LEN(_xlpm.ssvMsg) &gt; 0, _xlpm.ssvMsg, IF(AND(_xlpm.val = "", DH$3="Required"), IF(OR('6 - TV Stands &amp; Enterta'!DH$7 = "", '6 - TV Stands &amp; Enterta'!DH$7 = "N/A"), "3:Drawer Safety Stop - Value is required", ""), ""))))))</f>
        <v/>
      </c>
      <c r="DI8">
        <f t="array" ref="DI8">_xlfn.MAP('6 - TV Stands &amp; Enterta'!B8:B22, '6 - TV Stands &amp; Enterta'!DI8:DI22, '6 - TV Stands &amp; Enterta-WUO_SER'!DI8:DI22, '6 - TV Stands &amp; Enterta-WUO_SSV'!DI8:DI22, _xlfn.LAMBDA(_xlpm.part, _xlpm.val, _xlpm.servererror, _xlpm.serverval, IF(_xlpm.part = "", "", _xlfn.LET(_xlpm.ssvMsg, IF(AND(LEN(_xlpm.servererror), _xlpm.val = _xlpm.serverval), _xlpm.servererror, ""), IF(LEN(_xlpm.ssvMsg) &gt; 0, _xlpm.ssvMsg, IF(AND(_xlpm.val = "", DI$3="Required"), IF(OR('6 - TV Stands &amp; Enterta'!DI$7 = "", '6 - TV Stands &amp; Enterta'!DI$7 = "N/A"), "3:Fireplace Type - Value is required", ""), ""))))))</f>
        <v/>
      </c>
      <c r="DJ8">
        <f t="array" ref="DJ8">_xlfn.MAP('6 - TV Stands &amp; Enterta'!B8:B22, '6 - TV Stands &amp; Enterta'!DJ8:DJ22, '6 - TV Stands &amp; Enterta-WUO_SER'!DJ8:DJ22, '6 - TV Stands &amp; Enterta-WUO_SSV'!DJ8:DJ22, _xlfn.LAMBDA(_xlpm.part, _xlpm.val, _xlpm.servererror, _xlpm.serverval, IF(_xlpm.part = "", "", _xlfn.LET(_xlpm.ssvMsg, IF(AND(LEN(_xlpm.servererror), _xlpm.val = _xlpm.serverval), _xlpm.servererror, ""), IF(LEN(_xlpm.ssvMsg) &gt; 0, _xlpm.ssvMsg, IF(AND(_xlpm.val = "", DJ$3="Required"), IF(OR('6 - TV Stands &amp; Enterta'!DJ$7 = "", '6 - TV Stands &amp; Enterta'!DJ$7 = "N/A"), "3:General Certificate of Conformity (GCC) - Value is required", ""), ""))))))</f>
        <v/>
      </c>
      <c r="DK8">
        <f t="array" ref="DK8">_xlfn.MAP('6 - TV Stands &amp; Enterta'!B8:B22, '6 - TV Stands &amp; Enterta'!DK8:DK22, '6 - TV Stands &amp; Enterta-WUO_SER'!DK8:DK22, '6 - TV Stands &amp; Enterta-WUO_SSV'!DK8:DK22, _xlfn.LAMBDA(_xlpm.part, _xlpm.val, _xlpm.servererror, _xlpm.serverval, IF(_xlpm.part = "", "", _xlfn.LET(_xlpm.ssvMsg, IF(AND(LEN(_xlpm.servererror), _xlpm.val = _xlpm.serverval), _xlpm.servererror, ""), IF(LEN(_xlpm.ssvMsg) &gt; 0, _xlpm.ssvMsg, IF(AND(_xlpm.val = "", DK$3="Required"), IF(OR('6 - TV Stands &amp; Enterta'!DK$7 = "", '6 - TV Stands &amp; Enterta'!DK$7 = "N/A"), "3:Composite Wood Product (CWP) - Value is required", ""), ""))))))</f>
        <v/>
      </c>
      <c r="DL8">
        <f t="array" ref="DL8">_xlfn.MAP('6 - TV Stands &amp; Enterta'!B8:B22, '6 - TV Stands &amp; Enterta'!DL8:DL22, '6 - TV Stands &amp; Enterta-WUO_SER'!DL8:DL22, '6 - TV Stands &amp; Enterta-WUO_SSV'!DL8:DL22,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Enterta'!DL$7 = "", '6 - TV Stands &amp; Enterta'!DL$7 = "N/A"), "3:Since Composite Wood Product (CWP) equals 'Yes', this field is required", ""), ""), ""), IF(LEN(_xlpm.check4) &gt; 0, _xlpm.check4, IF(AND(_xlpm.val = "", DL$3="Required"), IF(OR('6 - TV Stands &amp; Enterta'!DL$7 = "", '6 - TV Stands &amp; Enterta'!DL$7 = "N/A"), "3:CARB Phase II Compliant (formaldehyde emissions) - Value is required", ""), ""))))))))))))))</f>
        <v/>
      </c>
      <c r="DM8">
        <f t="array" ref="DM8">_xlfn.MAP('6 - TV Stands &amp; Enterta'!B8:B22, '6 - TV Stands &amp; Enterta'!DM8:DM22, '6 - TV Stands &amp; Enterta-WUO_SER'!DM8:DM22, '6 - TV Stands &amp; Enterta-WUO_SSV'!DM8:DM22,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Enterta'!DM$7 = "", '6 - TV Stands &amp; Enterta'!DM$7 = "N/A"), "3:Since Composite Wood Product (CWP) equals 'Yes', this field is required", ""), ""), ""), IF(LEN(_xlpm.check4) &gt; 0, _xlpm.check4, IF(AND(_xlpm.val = "", DM$3="Required"), IF(OR('6 - TV Stands &amp; Enterta'!DM$7 = "", '6 - TV Stands &amp; Enterta'!DM$7 = "N/A"), "3:TSCA Title VI Compliant (formaldehyde emissions) - Value is required", ""), ""))))))))))))))</f>
        <v/>
      </c>
      <c r="DN8">
        <f t="array" ref="DN8">_xlfn.MAP('6 - TV Stands &amp; Enterta'!B8:B22, '6 - TV Stands &amp; Enterta'!DN8:DN22, '6 - TV Stands &amp; Enterta-WUO_SER'!DN8:DN22, '6 - TV Stands &amp; Enterta-WUO_SSV'!DN8:DN22,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Enterta'!DN$7 = "", '6 - TV Stands &amp; Enterta'!DN$7 = "N/A"), "3:Since Composite Wood Product (CWP) equals 'Yes', this field is required", ""), ""), ""), IF(LEN(_xlpm.check4) &gt; 0, _xlpm.check4, IF(AND(_xlpm.val = "", DN$3="Required"), IF(OR('6 - TV Stands &amp; Enterta'!DN$7 = "", '6 - TV Stands &amp; Enterta'!DN$7 = "N/A"), "3:CANFER Compliant - Value is required", ""), ""))))))))))))))</f>
        <v/>
      </c>
      <c r="DO8">
        <f t="array" ref="DO8">_xlfn.MAP('6 - TV Stands &amp; Enterta'!B8:B22, '6 - TV Stands &amp; Enterta'!DO8:DO22, '6 - TV Stands &amp; Enterta-WUO_SER'!DO8:DO22, '6 - TV Stands &amp; Enterta-WUO_SSV'!DO8:DO22, _xlfn.LAMBDA(_xlpm.part, _xlpm.val, _xlpm.servererror, _xlpm.serverval, IF(_xlpm.part = "", "", _xlfn.LET(_xlpm.ssvMsg, IF(AND(LEN(_xlpm.servererror), _xlpm.val = _xlpm.serverval), _xlpm.servererror, ""), IF(LEN(_xlpm.ssvMsg) &gt; 0, _xlpm.ssvMsg, IF(AND(_xlpm.val = "", DO$3="Required"), IF(OR('6 - TV Stands &amp; Enterta'!DO$7 = "", '6 - TV Stands &amp; Enterta'!DO$7 = "N/A"), "3:Uniform Packaging and Labeling Regulations (UPLR) Compliant - Value is required", ""), ""))))))</f>
        <v/>
      </c>
      <c r="DP8">
        <f t="array" ref="DP8">_xlfn.MAP('6 - TV Stands &amp; Enterta'!B8:B22, '6 - TV Stands &amp; Enterta'!DP8:DP22, '6 - TV Stands &amp; Enterta-WUO_SER'!DP8:DP22, '6 - TV Stands &amp; Enterta-WUO_SSV'!DP8:DP22, _xlfn.LAMBDA(_xlpm.part, _xlpm.val, _xlpm.servererror, _xlpm.serverval, IF(_xlpm.part = "", "", _xlfn.LET(_xlpm.ssvMsg, IF(AND(LEN(_xlpm.servererror), _xlpm.val = _xlpm.serverval), _xlpm.servererror, ""), IF(LEN(_xlpm.ssvMsg) &gt; 0, _xlpm.ssvMsg, IF(AND(_xlpm.val = "", DP$3="Required"), IF(OR('6 - TV Stands &amp; Enterta'!DP$7 = "", '6 - TV Stands &amp; Enterta'!DP$7 = "N/A"), "3:Canada Product Restriction - Value is required", ""), ""))))))</f>
        <v/>
      </c>
      <c r="DQ8">
        <f t="array" ref="DQ8">_xlfn.MAP('6 - TV Stands &amp; Enterta'!B8:B22, '6 - TV Stands &amp; Enterta'!DQ8:DQ22, '6 - TV Stands &amp; Enterta-WUO_SER'!DQ8:DQ22, '6 - TV Stands &amp; Enterta-WUO_SSV'!DQ8:DQ22, '6 - TV Stands &amp; Enterta'!DP8:DP22,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Enterta'!DQ$7 = "", '6 - TV Stands &amp; Enterta'!DQ$7 = "N/A"), "3:Since Canada Product Restriction equals 'Yes', this field is required", ""), ""), ""), IF(LEN(_xlpm.check4) &gt; 0, _xlpm.check4, IF(AND(_xlpm.val = "", DQ$3="Required"), IF(OR('6 - TV Stands &amp; Enterta'!DQ$7 = "", '6 - TV Stands &amp; Enterta'!DQ$7 = "N/A"), "3:Reason for Restriction - Value is required", ""), ""))))))))))))))</f>
        <v/>
      </c>
      <c r="DR8">
        <f t="array" ref="DR8">_xlfn.MAP('6 - TV Stands &amp; Enterta'!B8:B22, '6 - TV Stands &amp; Enterta'!DR8:DR22, '6 - TV Stands &amp; Enterta-WUO_SER'!DR8:DR22, '6 - TV Stands &amp; Enterta-WUO_SSV'!DR8:DR22, _xlfn.LAMBDA(_xlpm.part, _xlpm.val, _xlpm.servererror, _xlpm.serverval, IF(_xlpm.part = "", "", _xlfn.LET(_xlpm.ssvMsg, IF(AND(LEN(_xlpm.servererror), _xlpm.val = _xlpm.serverval), _xlpm.servererror, ""), IF(LEN(_xlpm.ssvMsg) &gt; 0, _xlpm.ssvMsg, IF(AND(_xlpm.val = "", DR$3="Required"), IF(OR('6 - TV Stands &amp; Enterta'!DR$7 = "", '6 - TV Stands &amp; Enterta'!DR$7 = "N/A"), "3:UL 1678 Listed - Value is required", ""), ""))))))</f>
        <v/>
      </c>
      <c r="DS8">
        <f t="array" ref="DS8">_xlfn.MAP('6 - TV Stands &amp; Enterta'!B8:B22, '6 - TV Stands &amp; Enterta'!DS8:DS22, '6 - TV Stands &amp; Enterta-WUO_SER'!DS8:DS22, '6 - TV Stands &amp; Enterta-WUO_SSV'!DS8:DS22, '6 - TV Stands &amp; Enterta'!CL8:CL22, _xlfn.LAMBDA(_xlpm.part, _xlpm.val, _xlpm.servererror, _xlpm.serverval, _xlpm.dep1, IF(_xlpm.part = "", "", _xlfn.LET(_xlpm.ssvMsg, IF(AND(LEN(_xlpm.servererror), _xlpm.val = _xlpm.serverval), _xlpm.servererror, ""), IF(LEN(_xlpm.ssvMsg) &gt; 0, _xlpm.ssvMsg,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DS$3="Required"), IF(OR('6 - TV Stands &amp; Enterta'!DS$7 = "", '6 - TV Stands &amp; Enterta'!DS$7 = "N/A"), "3:Hazardous Material / Dangerous Goods - Value is required", ""), ""))))))))))))))</f>
        <v/>
      </c>
      <c r="DT8">
        <f t="array" ref="DT8">_xlfn.MAP('6 - TV Stands &amp; Enterta'!B8:B22, '6 - TV Stands &amp; Enterta'!DT8:DT22, '6 - TV Stands &amp; Enterta-WUO_SER'!DT8:DT22, '6 - TV Stands &amp; Enterta-WUO_SSV'!DT8:DT22,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Enterta'!DT$7 = "", '6 - TV Stands &amp; Enterta'!DT$7 = "N/A"), "3:Since Hazardous Material / Dangerous Goods equals 'Yes', this field is required", ""), ""), ""), IF(LEN(_xlpm.check4) &gt; 0, _xlpm.check4, IF(AND(_xlpm.val = "", DT$3="Required"), IF(OR('6 - TV Stands &amp; Enterta'!DT$7 = "", '6 - TV Stands &amp; Enterta'!DT$7 = "N/A"), "3:UN or ID number - Value is required", ""), ""))))))))))))))</f>
        <v/>
      </c>
      <c r="DU8">
        <f t="array" ref="DU8">_xlfn.MAP('6 - TV Stands &amp; Enterta'!B8:B22, '6 - TV Stands &amp; Enterta'!DU8:DU22, '6 - TV Stands &amp; Enterta-WUO_SER'!DU8:DU22, '6 - TV Stands &amp; Enterta-WUO_SSV'!DU8:DU22,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Enterta'!DU$7 = "", '6 - TV Stands &amp; Enterta'!DU$7 = "N/A"), "3:Since Hazardous Material / Dangerous Goods equals 'Yes', this field is required", ""), ""), ""), IF(LEN(_xlpm.check22) &gt; 0, _xlpm.check22, IF(AND(_xlpm.val = "", DU$3="Required"), IF(OR('6 - TV Stands &amp; Enterta'!DU$7 = "", '6 - TV Stands &amp; Enterta'!DU$7 = "N/A"), "3:Hazard Class(es) - Value is required", ""), ""))))))))))))))))))))))))))))))))))))))))))))))))))</f>
        <v/>
      </c>
      <c r="DV8">
        <f t="array" ref="DV8">_xlfn.MAP('6 - TV Stands &amp; Enterta'!B8:B22, '6 - TV Stands &amp; Enterta'!DV8:DV22, '6 - TV Stands &amp; Enterta-WUO_SER'!DV8:DV22, '6 - TV Stands &amp; Enterta-WUO_SSV'!DV8:DV22,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Enterta'!DV$7 = "", '6 - TV Stands &amp; Enterta'!DV$7 = "N/A"), "3:Since Hazardous Material / Dangerous Goods equals 'Yes', this field is required", ""), ""), ""), IF(LEN(_xlpm.check19) &gt; 0, _xlpm.check19, IF(AND(_xlpm.val = "", DV$3="Required"), IF(OR('6 - TV Stands &amp; Enterta'!DV$7 = "", '6 - TV Stands &amp; Enterta'!DV$7 = "N/A"), "3:Packing Group - Value is required", ""), ""))))))))))))))))))))))))))))))))))))))))))))</f>
        <v/>
      </c>
      <c r="DW8">
        <f t="array" ref="DW8">_xlfn.MAP('6 - TV Stands &amp; Enterta'!B8:B22, '6 - TV Stands &amp; Enterta'!DW8:DW22, '6 - TV Stands &amp; Enterta-WUO_SER'!DW8:DW22, '6 - TV Stands &amp; Enterta-WUO_SSV'!DW8:DW22,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Enterta'!DW$7 = "", '6 - TV Stands &amp; Enterta'!DW$7 = "N/A"), "3:Since Hazardous Material / Dangerous Goods equals 'Yes', this field is required", ""), ""), ""), IF(LEN(_xlpm.check3) &gt; 0, _xlpm.check3, IF(AND(_xlpm.val = "", DW$3="Required"), IF(OR('6 - TV Stands &amp; Enterta'!DW$7 = "", '6 - TV Stands &amp; Enterta'!DW$7 = "N/A"), "3:Hazardous Material Weight - Value is required", ""), ""))))))))))))</f>
        <v/>
      </c>
      <c r="DX8">
        <f t="array" ref="DX8">_xlfn.MAP('6 - TV Stands &amp; Enterta'!B8:B22, '6 - TV Stands &amp; Enterta'!DX8:DX22, '6 - TV Stands &amp; Enterta-WUO_SER'!DX8:DX22, '6 - TV Stands &amp; Enterta-WUO_SSV'!DX8:DX22, _xlfn.LAMBDA(_xlpm.part, _xlpm.val, _xlpm.servererror, _xlpm.serverval, IF(_xlpm.part = "", "", _xlfn.LET(_xlpm.ssvMsg, IF(AND(LEN(_xlpm.servererror), _xlpm.val = _xlpm.serverval), _xlpm.servererror, ""), IF(LEN(_xlpm.ssvMsg) &gt; 0, _xlpm.ssvMsg, IF(AND(_xlpm.val = "", DX$3="Required"), IF(OR('6 - TV Stands &amp; Enterta'!DX$7 = "", '6 - TV Stands &amp; Enterta'!DX$7 = "N/A"), "3:Energy Efficiency Regulations Compliant - Value is required", ""), ""))))))</f>
        <v/>
      </c>
      <c r="DY8">
        <f t="array" ref="DY8">_xlfn.MAP('6 - TV Stands &amp; Enterta'!B8:B22, '6 - TV Stands &amp; Enterta'!DY8:DY22, '6 - TV Stands &amp; Enterta-WUO_SER'!DY8:DY22, '6 - TV Stands &amp; Enterta-WUO_SSV'!DY8:DY22, '6 - TV Stands &amp; Enterta'!DB8:DB22, _xlfn.LAMBDA(_xlpm.part, _xlpm.val, _xlpm.servererror, _xlpm.serverval, _xlpm.dep1, IF(_xlpm.part = "", "", _xlfn.LET(_xlpm.ssvMsg, IF(AND(LEN(_xlpm.servererror), _xlpm.val = _xlpm.serverval), _xlpm.servererror, ""), IF(LEN(_xlpm.ssvMsg) &gt; 0, _xlpm.ssvMsg,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DY$3="Required"), IF(OR('6 - TV Stands &amp; Enterta'!DY$7 = "", '6 - TV Stands &amp; Enterta'!DY$7 = "N/A"), "3:Safety Listing(s) - Value is required", ""), ""))))))))</f>
        <v/>
      </c>
      <c r="DZ8">
        <f t="array" ref="DZ8">_xlfn.MAP('6 - TV Stands &amp; Enterta'!B8:B22, '6 - TV Stands &amp; Enterta'!DZ8:DZ22, '6 - TV Stands &amp; Enterta-WUO_SER'!DZ8:DZ22, '6 - TV Stands &amp; Enterta-WUO_SSV'!DZ8:DZ22, _xlfn.LAMBDA(_xlpm.part, _xlpm.val, _xlpm.servererror, _xlpm.serverval, IF(_xlpm.part = "", "", _xlfn.LET(_xlpm.ssvMsg, IF(AND(LEN(_xlpm.servererror), _xlpm.val = _xlpm.serverval), _xlpm.servererror, ""), IF(LEN(_xlpm.ssvMsg) &gt; 0, _xlpm.ssvMsg, IF(AND(_xlpm.val = "", DZ$3="Required"), IF(OR('6 - TV Stands &amp; Enterta'!DZ$7 = "", '6 - TV Stands &amp; Enterta'!DZ$7 = "N/A"), "3:Safety Listing(s) Registration Number - Value is required", ""), ""))))))</f>
        <v/>
      </c>
      <c r="EA8">
        <f t="array" ref="EA8">_xlfn.MAP('6 - TV Stands &amp; Enterta'!B8:B22, '6 - TV Stands &amp; Enterta'!EA8:EA22, '6 - TV Stands &amp; Enterta-WUO_SER'!EA8:EA22, '6 - TV Stands &amp; Enterta-WUO_SSV'!EA8:EA22, _xlfn.LAMBDA(_xlpm.part, _xlpm.val, _xlpm.servererror, _xlpm.serverval, IF(_xlpm.part = "", "", _xlfn.LET(_xlpm.ssvMsg, IF(AND(LEN(_xlpm.servererror), _xlpm.val = _xlpm.serverval), _xlpm.servererror, ""), IF(LEN(_xlpm.ssvMsg) &gt; 0, _xlpm.ssvMsg, IF(AND(_xlpm.val = "", EA$3="Required"), IF(OR('6 - TV Stands &amp; Enterta'!EA$7 = "", '6 - TV Stands &amp; Enterta'!EA$7 = "N/A"), "3:CPSC - 16 CFR 1263 Compliant (Reese's Law) - Value is required", ""), ""))))))</f>
        <v/>
      </c>
      <c r="EB8">
        <f t="array" ref="EB8">_xlfn.MAP('6 - TV Stands &amp; Enterta'!B8:B22, '6 - TV Stands &amp; Enterta'!EB8:EB22, '6 - TV Stands &amp; Enterta-WUO_SER'!EB8:EB22, '6 - TV Stands &amp; Enterta-WUO_SSV'!EB8:EB22, _xlfn.LAMBDA(_xlpm.part, _xlpm.val, _xlpm.servererror, _xlpm.serverval, IF(_xlpm.part = "", "", _xlfn.LET(_xlpm.ssvMsg, IF(AND(LEN(_xlpm.servererror), _xlpm.val = _xlpm.serverval), _xlpm.servererror, ""), IF(LEN(_xlpm.ssvMsg) &gt; 0, _xlpm.ssvMsg, IF(AND(_xlpm.val = "", EB$3="Required"), IF(OR('6 - TV Stands &amp; Enterta'!EB$7 = "", '6 - TV Stands &amp; Enterta'!EB$7 = "N/A"), "3:ISTA Certified - Value is required", ""), ""))))))</f>
        <v/>
      </c>
      <c r="EC8">
        <f t="array" ref="EC8">_xlfn.MAP('6 - TV Stands &amp; Enterta'!B8:B22, '6 - TV Stands &amp; Enterta'!EC8:EC22, '6 - TV Stands &amp; Enterta-WUO_SER'!EC8:EC22, '6 - TV Stands &amp; Enterta-WUO_SSV'!EC8:EC22, _xlfn.LAMBDA(_xlpm.part, _xlpm.val, _xlpm.servererror, _xlpm.serverval, IF(_xlpm.part = "", "", _xlfn.LET(_xlpm.ssvMsg, IF(AND(LEN(_xlpm.servererror), _xlpm.val = _xlpm.serverval), _xlpm.servererror, ""), IF(LEN(_xlpm.ssvMsg) &gt; 0, _xlpm.ssvMsg, IF(AND(_xlpm.val = "", EC$3="Required"), IF(OR('6 - TV Stands &amp; Enterta'!EC$7 = "", '6 - TV Stands &amp; Enterta'!EC$7 = "N/A"), "3:Sustainability &amp; Social Responsibility Certifications (North America Only) - Value is required", ""), ""))))))</f>
        <v/>
      </c>
      <c r="ED8">
        <f t="array" ref="ED8">_xlfn.MAP('6 - TV Stands &amp; Enterta'!B8:B22, '6 - TV Stands &amp; Enterta'!ED8:ED22, '6 - TV Stands &amp; Enterta-WUO_SER'!ED8:ED22, '6 - TV Stands &amp; Enterta-WUO_SSV'!ED8:ED22, _xlfn.LAMBDA(_xlpm.part, _xlpm.val, _xlpm.servererror, _xlpm.serverval, IF(_xlpm.part = "", "", _xlfn.LET(_xlpm.ssvMsg, IF(AND(LEN(_xlpm.servererror), _xlpm.val = _xlpm.serverval), _xlpm.servererror, ""), IF(LEN(_xlpm.ssvMsg) &gt; 0, _xlpm.ssvMsg, IF(AND(_xlpm.val = "", ED$3="Required"), IF(OR('6 - TV Stands &amp; Enterta'!ED$7 = "", '6 - TV Stands &amp; Enterta'!ED$7 = "N/A"), "3:Commercial Certifications - Value is required", ""), ""))))))</f>
        <v/>
      </c>
      <c r="EE8">
        <f t="array" ref="EE8">_xlfn.MAP('6 - TV Stands &amp; Enterta'!B8:B22, '6 - TV Stands &amp; Enterta'!EE8:EE22, '6 - TV Stands &amp; Enterta-WUO_SER'!EE8:EE22, '6 - TV Stands &amp; Enterta-WUO_SSV'!EE8:EE22,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EE$3="Required"), IF(OR('6 - TV Stands &amp; Enterta'!EE$7 = "", '6 - TV Stands &amp; Enterta'!EE$7 = "N/A"), "3:TV Stand Width - Side to Side - Value is required", ""), ""))))))))</f>
        <v/>
      </c>
      <c r="EF8">
        <f t="array" ref="EF8">_xlfn.MAP('6 - TV Stands &amp; Enterta'!B8:B22, '6 - TV Stands &amp; Enterta'!EF8:EF22, '6 - TV Stands &amp; Enterta-WUO_SER'!EF8:EF22, '6 - TV Stands &amp; Enterta-WUO_SSV'!EF8:EF22,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EF$3="Required"), IF(OR('6 - TV Stands &amp; Enterta'!EF$7 = "", '6 - TV Stands &amp; Enterta'!EF$7 = "N/A"), "3:TV Stand Depth - Front to Back - Value is required", ""), ""))))))))</f>
        <v/>
      </c>
      <c r="EG8">
        <f t="array" ref="EG8">_xlfn.MAP('6 - TV Stands &amp; Enterta'!B8:B22, '6 - TV Stands &amp; Enterta'!EG8:EG22, '6 - TV Stands &amp; Enterta-WUO_SER'!EG8:EG22, '6 - TV Stands &amp; Enterta-WUO_SSV'!EG8:EG22,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EG$3="Required"), IF(OR('6 - TV Stands &amp; Enterta'!EG$7 = "", '6 - TV Stands &amp; Enterta'!EG$7 = "N/A"), "3:Overall Entertainment Center Height - Top to Bottom - Value is required", ""), ""))))))))</f>
        <v/>
      </c>
      <c r="EH8">
        <f t="array" ref="EH8">_xlfn.MAP('6 - TV Stands &amp; Enterta'!B8:B22, '6 - TV Stands &amp; Enterta'!EH8:EH22, '6 - TV Stands &amp; Enterta-WUO_SER'!EH8:EH22, '6 - TV Stands &amp; Enterta-WUO_SSV'!EH8:EH22,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EH$3="Required"), IF(OR('6 - TV Stands &amp; Enterta'!EH$7 = "", '6 - TV Stands &amp; Enterta'!EH$7 = "N/A"), "3:Overall Entertainment Center Width - Side to Side - Value is required", ""), ""))))))))</f>
        <v/>
      </c>
      <c r="EI8">
        <f t="array" ref="EI8">_xlfn.MAP('6 - TV Stands &amp; Enterta'!B8:B22, '6 - TV Stands &amp; Enterta'!EI8:EI22, '6 - TV Stands &amp; Enterta-WUO_SER'!EI8:EI22, '6 - TV Stands &amp; Enterta-WUO_SSV'!EI8:EI22,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EI$3="Required"), IF(OR('6 - TV Stands &amp; Enterta'!EI$7 = "", '6 - TV Stands &amp; Enterta'!EI$7 = "N/A"), "3:Overall Entertainment Center Depth - Front to Back - Value is required", ""), ""))))))))</f>
        <v/>
      </c>
      <c r="EJ8">
        <f t="array" ref="EJ8">_xlfn.MAP('6 - TV Stands &amp; Enterta'!B8:B22, '6 - TV Stands &amp; Enterta'!EJ8:EJ22, '6 - TV Stands &amp; Enterta-WUO_SER'!EJ8:EJ22, '6 - TV Stands &amp; Enterta-WUO_SSV'!EJ8:EJ22, _xlfn.LAMBDA(_xlpm.part, _xlpm.val, _xlpm.servererror, _xlpm.serverval, IF(_xlpm.part = "", "", _xlfn.LET(_xlpm.ssvMsg, IF(AND(LEN(_xlpm.servererror), _xlpm.val = _xlpm.serverval), _xlpm.servererror, ""), IF(LEN(_xlpm.ssvMsg) &gt; 0, _xlpm.ssvMsg, IF(AND(_xlpm.val = "", EJ$3="Required"), IF(OR('6 - TV Stands &amp; Enterta'!EJ$7 = "", '6 - TV Stands &amp; Enterta'!EJ$7 = "N/A"), "3:Overall Product Weight - Value is required", ""), ""))))))</f>
        <v/>
      </c>
      <c r="EK8">
        <f t="array" ref="EK8">_xlfn.MAP('6 - TV Stands &amp; Enterta'!B8:B22, '6 - TV Stands &amp; Enterta'!EK8:EK22, '6 - TV Stands &amp; Enterta-WUO_SER'!EK8:EK22, '6 - TV Stands &amp; Enterta-WUO_SSV'!EK8:EK22, _xlfn.LAMBDA(_xlpm.part, _xlpm.val, _xlpm.servererror, _xlpm.serverval, IF(_xlpm.part = "", "", _xlfn.LET(_xlpm.ssvMsg, IF(AND(LEN(_xlpm.servererror), _xlpm.val = _xlpm.serverval), _xlpm.servererror, ""), IF(LEN(_xlpm.ssvMsg) &gt; 0, _xlpm.ssvMsg, IF(AND(_xlpm.val = "", EK$3="Required"), IF(OR('6 - TV Stands &amp; Enterta'!EK$7 = "", '6 - TV Stands &amp; Enterta'!EK$7 = "N/A"), "3:Maximum TV Screen Size Accommodated - Value is required", ""), ""))))))</f>
        <v/>
      </c>
      <c r="EL8">
        <f t="array" ref="EL8">_xlfn.MAP('6 - TV Stands &amp; Enterta'!B8:B22, '6 - TV Stands &amp; Enterta'!EL8:EL22, '6 - TV Stands &amp; Enterta-WUO_SER'!EL8:EL22, '6 - TV Stands &amp; Enterta-WUO_SSV'!EL8:EL22,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EL$3="Required"), IF(OR('6 - TV Stands &amp; Enterta'!EL$7 = "", '6 - TV Stands &amp; Enterta'!EL$7 = "N/A"), "3:TV Stand Overall Height - Top to Bottom - Value is required", ""), ""))))))))</f>
        <v/>
      </c>
      <c r="EM8">
        <f t="array" ref="EM8">_xlfn.MAP('6 - TV Stands &amp; Enterta'!B8:B22, '6 - TV Stands &amp; Enterta'!EM8:EM22, '6 - TV Stands &amp; Enterta-WUO_SER'!EM8:EM22, '6 - TV Stands &amp; Enterta-WUO_SSV'!EM8:EM22, _xlfn.LAMBDA(_xlpm.part, _xlpm.val, _xlpm.servererror, _xlpm.serverval, IF(_xlpm.part = "", "", _xlfn.LET(_xlpm.ssvMsg, IF(AND(LEN(_xlpm.servererror), _xlpm.val = _xlpm.serverval), _xlpm.servererror, ""), IF(LEN(_xlpm.ssvMsg) &gt; 0, _xlpm.ssvMsg, IF(AND(_xlpm.val = "", EM$3="Required"), IF(OR('6 - TV Stands &amp; Enterta'!EM$7 = "", '6 - TV Stands &amp; Enterta'!EM$7 = "N/A"), "3:Assembly Required - Value is required", ""), ""))))))</f>
        <v/>
      </c>
      <c r="EN8">
        <f t="array" ref="EN8">_xlfn.MAP('6 - TV Stands &amp; Enterta'!B8:B22, '6 - TV Stands &amp; Enterta'!EN8:EN22, '6 - TV Stands &amp; Enterta-WUO_SER'!EN8:EN22, '6 - TV Stands &amp; Enterta-WUO_SSV'!EN8:EN22, '6 - TV Stands &amp; Enterta'!EM8:EM22,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EN$3="Required"), IF(OR('6 - TV Stands &amp; Enterta'!EN$7 = "", '6 - TV Stands &amp; Enterta'!EN$7 = "N/A"), "3:Level of Assembly - Value is required", ""), ""))))))))))</f>
        <v/>
      </c>
      <c r="EO8">
        <f t="array" ref="EO8">_xlfn.MAP('6 - TV Stands &amp; Enterta'!B8:B22, '6 - TV Stands &amp; Enterta'!EO8:EO22, '6 - TV Stands &amp; Enterta-WUO_SER'!EO8:EO22, '6 - TV Stands &amp; Enterta-WUO_SSV'!EO8:EO22,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EO$3="Required"), IF(OR('6 - TV Stands &amp; Enterta'!EO$7 = "", '6 - TV Stands &amp; Enterta'!EO$7 = "N/A"), "3:Additional Tools Required (Not Included) - Value is required", ""), ""))))))))</f>
        <v/>
      </c>
      <c r="EP8">
        <f t="array" ref="EP8">_xlfn.MAP('6 - TV Stands &amp; Enterta'!B8:B22, '6 - TV Stands &amp; Enterta'!EP8:EP22, '6 - TV Stands &amp; Enterta-WUO_SER'!EP8:EP22, '6 - TV Stands &amp; Enterta-WUO_SSV'!EP8:EP22, _xlfn.LAMBDA(_xlpm.part, _xlpm.val, _xlpm.servererror, _xlpm.serverval, IF(_xlpm.part = "", "", _xlfn.LET(_xlpm.ssvMsg, IF(AND(LEN(_xlpm.servererror), _xlpm.val = _xlpm.serverval), _xlpm.servererror, ""), IF(LEN(_xlpm.ssvMsg) &gt; 0, _xlpm.ssvMsg, IF(AND(_xlpm.val = "", EP$3="Required"), IF(OR('6 - TV Stands &amp; Enterta'!EP$7 = "", '6 - TV Stands &amp; Enterta'!EP$7 = "N/A"), "3:Commercial Warranty - Value is required", ""), ""))))))</f>
        <v/>
      </c>
      <c r="EQ8">
        <f t="array" ref="EQ8">_xlfn.MAP('6 - TV Stands &amp; Enterta'!B8:B22, '6 - TV Stands &amp; Enterta'!EQ8:EQ22, '6 - TV Stands &amp; Enterta-WUO_SER'!EQ8:EQ22, '6 - TV Stands &amp; Enterta-WUO_SSV'!EQ8:EQ22, '6 - TV Stands &amp; Enterta'!EP8:EP22,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Enterta'!EQ$7 = "", '6 - TV Stands &amp; Enterta'!EQ$7 = "N/A"), "3:Since Commercial Warranty equals 'Yes', this field is required", ""), ""), ""), IF(LEN(_xlpm.check3) &gt; 0, _xlpm.check3, IF(AND(_xlpm.val = "", EQ$3="Required"), IF(OR('6 - TV Stands &amp; Enterta'!EQ$7 = "", '6 - TV Stands &amp; Enterta'!EQ$7 = "N/A"), "3:Commercial Warranty Length - Value is required", ""), ""))))))))))))</f>
        <v/>
      </c>
      <c r="ER8">
        <f t="array" ref="ER8">_xlfn.MAP('6 - TV Stands &amp; Enterta'!B8:B22, '6 - TV Stands &amp; Enterta'!ER8:ER22, '6 - TV Stands &amp; Enterta-WUO_SER'!ER8:ER22, '6 - TV Stands &amp; Enterta-WUO_SSV'!ER8:ER22, _xlfn.LAMBDA(_xlpm.part, _xlpm.val, _xlpm.servererror, _xlpm.serverval, IF(_xlpm.part = "", "", _xlfn.LET(_xlpm.ssvMsg, IF(AND(LEN(_xlpm.servererror), _xlpm.val = _xlpm.serverval), _xlpm.servererror, ""), IF(LEN(_xlpm.ssvMsg) &gt; 0, _xlpm.ssvMsg, IF(AND(_xlpm.val = "", ER$3="Required"), IF(OR('6 - TV Stands &amp; Enterta'!ER$7 = "", '6 - TV Stands &amp; Enterta'!ER$7 = "N/A"), "3:Product Warranty - Value is required", ""), ""))))))</f>
        <v/>
      </c>
      <c r="ES8">
        <f t="array" ref="ES8">_xlfn.MAP('6 - TV Stands &amp; Enterta'!B8:B22, '6 - TV Stands &amp; Enterta'!ES8:ES22, '6 - TV Stands &amp; Enterta-WUO_SER'!ES8:ES22, '6 - TV Stands &amp; Enterta-WUO_SSV'!ES8:ES22, _xlfn.LAMBDA(_xlpm.part, _xlpm.val, _xlpm.servererror, _xlpm.serverval, IF(_xlpm.part = "", "", _xlfn.LET(_xlpm.ssvMsg, IF(AND(LEN(_xlpm.servererror), _xlpm.val = _xlpm.serverval), _xlpm.servererror, ""), IF(LEN(_xlpm.ssvMsg) &gt; 0, _xlpm.ssvMsg, IF(AND(_xlpm.val = "", ES$3="Required"), IF(OR('6 - TV Stands &amp; Enterta'!ES$7 = "", '6 - TV Stands &amp; Enterta'!ES$7 = "N/A"), "3:Full or Limited Warranty - Value is required", ""), ""))))))</f>
        <v/>
      </c>
      <c r="ET8">
        <f t="array" ref="ET8">_xlfn.MAP('6 - TV Stands &amp; Enterta'!B8:B22, '6 - TV Stands &amp; Enterta'!ET8:ET22, '6 - TV Stands &amp; Enterta-WUO_SER'!ET8:ET22, '6 - TV Stands &amp; Enterta-WUO_SSV'!ET8:ET22, _xlfn.LAMBDA(_xlpm.part, _xlpm.val, _xlpm.servererror, _xlpm.serverval, IF(_xlpm.part = "", "", _xlfn.LET(_xlpm.ssvMsg, IF(AND(LEN(_xlpm.servererror), _xlpm.val = _xlpm.serverval), _xlpm.servererror, ""), IF(LEN(_xlpm.ssvMsg) &gt; 0, _xlpm.ssvMsg, IF(AND(_xlpm.val = "", ET$3="Required"), IF(OR('6 - TV Stands &amp; Enterta'!ET$7 = "", '6 - TV Stands &amp; Enterta'!ET$7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_xlfn.LET(_xlpm.high_priority_idx, IFERROR(MATCH(TRUE, (_xlpm.r = "Error") + (_xlpm.r = "Required") &gt; 0, 0), 0), IF(_xlpm.high_priority_idx &gt; 0, _xlpm.high_priority_idx + 1, IFERROR(MATCH(1, (_xlpm.r = "Warning") * 1, 0) + 1, "")))))</f>
        <v/>
      </c>
      <c r="B8">
        <f t="array" ref="B8">_xlfn.MAP('6 - TV Stands &amp; Enterta'!B8:B22, '6 - TV Stands &amp; Enterta'!B8:B22, '6 - TV Stands &amp; Enterta-WUO_ERR'!B8:B22, _xlfn.LAMBDA(_xlpm.part, _xlpm.val, _xlpm.error, IF(_xlpm.part = "", "", IF(LEN(_xlpm.error), _xlfn.SWITCH(IFERROR(_xlfn.TEXTBEFORE(_xlpm.error,":"), ""), "1", "Error", "2", "Disabled", "3", "Required", "4", "Warning", "Valid"), "Valid"))))</f>
        <v/>
      </c>
      <c r="C8">
        <f t="array" ref="C8">_xlfn.MAP('6 - TV Stands &amp; Enterta'!B8:B22, '6 - TV Stands &amp; Enterta'!C8:C22, '6 - TV Stands &amp; Enterta-WUO_ERR'!C8:C22, _xlfn.LAMBDA(_xlpm.part, _xlpm.val, _xlpm.error, IF(_xlpm.part = "", "", IF(LEN(_xlpm.error), _xlfn.SWITCH(IFERROR(_xlfn.TEXTBEFORE(_xlpm.error,":"), ""), "1", "Error", "2", "Disabled", "3", "Required", "4", "Warning", "Valid"), "Valid"))))</f>
        <v/>
      </c>
      <c r="D8">
        <f t="array" ref="D8">_xlfn.MAP('6 - TV Stands &amp; Enterta'!B8:B22, '6 - TV Stands &amp; Enterta'!D8:D22, '6 - TV Stands &amp; Enterta-WUO_ERR'!D8:D22, _xlfn.LAMBDA(_xlpm.part, _xlpm.val, _xlpm.error, IF(_xlpm.part = "", "", IF(LEN(_xlpm.error), _xlfn.SWITCH(IFERROR(_xlfn.TEXTBEFORE(_xlpm.error,":"), ""), "1", "Error", "2", "Disabled", "3", "Required", "4", "Warning", "Valid"), "Valid"))))</f>
        <v/>
      </c>
      <c r="E8">
        <f t="array" ref="E8">_xlfn.MAP('6 - TV Stands &amp; Enterta'!B8:B22, '6 - TV Stands &amp; Enterta'!E8:E22, '6 - TV Stands &amp; Enterta-WUO_ERR'!E8:E22, _xlfn.LAMBDA(_xlpm.part, _xlpm.val, _xlpm.error, IF(_xlpm.part = "", "", IF(LEN(_xlpm.error), _xlfn.SWITCH(IFERROR(_xlfn.TEXTBEFORE(_xlpm.error,":"), ""), "1", "Error", "2", "Disabled", "3", "Required", "4", "Warning", "Valid"), "Valid"))))</f>
        <v/>
      </c>
      <c r="F8">
        <f t="array" ref="F8">_xlfn.MAP('6 - TV Stands &amp; Enterta'!B8:B22, '6 - TV Stands &amp; Enterta'!F8:F22, '6 - TV Stands &amp; Enterta-WUO_ERR'!F8:F22, _xlfn.LAMBDA(_xlpm.part, _xlpm.val, _xlpm.error, IF(_xlpm.part = "", "", IF(LEN(_xlpm.error), _xlfn.SWITCH(IFERROR(_xlfn.TEXTBEFORE(_xlpm.error,":"), ""), "1", "Error", "2", "Disabled", "3", "Required", "4", "Warning", "Valid"), "Valid"))))</f>
        <v/>
      </c>
      <c r="G8">
        <f t="array" ref="G8">_xlfn.MAP('6 - TV Stands &amp; Enterta'!B8:B22, '6 - TV Stands &amp; Enterta'!G8:G22, '6 - TV Stands &amp; Enterta-WUO_ERR'!G8:G22, _xlfn.LAMBDA(_xlpm.part, _xlpm.val, _xlpm.error, IF(_xlpm.part = "", "", IF(LEN(_xlpm.error), _xlfn.SWITCH(IFERROR(_xlfn.TEXTBEFORE(_xlpm.error,":"), ""), "1", "Error", "2", "Disabled", "3", "Required", "4", "Warning", "Valid"), "Valid"))))</f>
        <v/>
      </c>
      <c r="H8">
        <f t="array" ref="H8">_xlfn.MAP('6 - TV Stands &amp; Enterta'!B8:B22, '6 - TV Stands &amp; Enterta'!H8:H22, '6 - TV Stands &amp; Enterta-WUO_ERR'!H8:H22, _xlfn.LAMBDA(_xlpm.part, _xlpm.val, _xlpm.error, IF(_xlpm.part = "", "", IF(LEN(_xlpm.error), _xlfn.SWITCH(IFERROR(_xlfn.TEXTBEFORE(_xlpm.error,":"), ""), "1", "Error", "2", "Disabled", "3", "Required", "4", "Warning", "Valid"), "Valid"))))</f>
        <v/>
      </c>
      <c r="I8">
        <f t="array" ref="I8">_xlfn.MAP('6 - TV Stands &amp; Enterta'!B8:B22, '6 - TV Stands &amp; Enterta'!I8:I22, '6 - TV Stands &amp; Enterta-WUO_ERR'!I8:I22, _xlfn.LAMBDA(_xlpm.part, _xlpm.val, _xlpm.error, IF(_xlpm.part = "", "", IF(LEN(_xlpm.error), _xlfn.SWITCH(IFERROR(_xlfn.TEXTBEFORE(_xlpm.error,":"), ""), "1", "Error", "2", "Disabled", "3", "Required", "4", "Warning", "Valid"), "Valid"))))</f>
        <v/>
      </c>
      <c r="J8">
        <f t="array" ref="J8">_xlfn.MAP('6 - TV Stands &amp; Enterta'!B8:B22, '6 - TV Stands &amp; Enterta'!J8:J22, '6 - TV Stands &amp; Enterta-WUO_ERR'!J8:J22, _xlfn.LAMBDA(_xlpm.part, _xlpm.val, _xlpm.error, IF(_xlpm.part = "", "", IF(LEN(_xlpm.error), _xlfn.SWITCH(IFERROR(_xlfn.TEXTBEFORE(_xlpm.error,":"), ""), "1", "Error", "2", "Disabled", "3", "Required", "4", "Warning", "Valid"), "Valid"))))</f>
        <v/>
      </c>
      <c r="K8">
        <f t="array" ref="K8">_xlfn.MAP('6 - TV Stands &amp; Enterta'!B8:B22, '6 - TV Stands &amp; Enterta'!K8:K22, '6 - TV Stands &amp; Enterta-WUO_ERR'!K8:K22, _xlfn.LAMBDA(_xlpm.part, _xlpm.val, _xlpm.error, IF(_xlpm.part = "", "", IF(LEN(_xlpm.error), _xlfn.SWITCH(IFERROR(_xlfn.TEXTBEFORE(_xlpm.error,":"), ""), "1", "Error", "2", "Disabled", "3", "Required", "4", "Warning", "Valid"), "Valid"))))</f>
        <v/>
      </c>
      <c r="L8">
        <f t="array" ref="L8">_xlfn.MAP('6 - TV Stands &amp; Enterta'!B8:B22, '6 - TV Stands &amp; Enterta'!L8:L22, '6 - TV Stands &amp; Enterta-WUO_ERR'!L8:L22, _xlfn.LAMBDA(_xlpm.part, _xlpm.val, _xlpm.error, IF(_xlpm.part = "", "", IF(LEN(_xlpm.error), _xlfn.SWITCH(IFERROR(_xlfn.TEXTBEFORE(_xlpm.error,":"), ""), "1", "Error", "2", "Disabled", "3", "Required", "4", "Warning", "Valid"), "Valid"))))</f>
        <v/>
      </c>
      <c r="M8">
        <f t="array" ref="M8">_xlfn.MAP('6 - TV Stands &amp; Enterta'!B8:B22, '6 - TV Stands &amp; Enterta'!M8:M22, '6 - TV Stands &amp; Enterta-WUO_ERR'!M8:M22, _xlfn.LAMBDA(_xlpm.part, _xlpm.val, _xlpm.error, IF(_xlpm.part = "", "", IF(LEN(_xlpm.error), _xlfn.SWITCH(IFERROR(_xlfn.TEXTBEFORE(_xlpm.error,":"), ""), "1", "Error", "2", "Disabled", "3", "Required", "4", "Warning", "Valid"), "Valid"))))</f>
        <v/>
      </c>
      <c r="N8">
        <f t="array" ref="N8">_xlfn.MAP('6 - TV Stands &amp; Enterta'!B8:B22, '6 - TV Stands &amp; Enterta'!N8:N22, '6 - TV Stands &amp; Enterta-WUO_ERR'!N8:N22, _xlfn.LAMBDA(_xlpm.part, _xlpm.val, _xlpm.error, IF(_xlpm.part = "", "", IF(LEN(_xlpm.error), _xlfn.SWITCH(IFERROR(_xlfn.TEXTBEFORE(_xlpm.error,":"), ""), "1", "Error", "2", "Disabled", "3", "Required", "4", "Warning", "Valid"), "Valid"))))</f>
        <v/>
      </c>
      <c r="O8">
        <f t="array" ref="O8">_xlfn.MAP('6 - TV Stands &amp; Enterta'!B8:B22, '6 - TV Stands &amp; Enterta'!O8:O22, '6 - TV Stands &amp; Enterta-WUO_ERR'!O8:O22, _xlfn.LAMBDA(_xlpm.part, _xlpm.val, _xlpm.error, IF(_xlpm.part = "", "", IF(LEN(_xlpm.error), _xlfn.SWITCH(IFERROR(_xlfn.TEXTBEFORE(_xlpm.error,":"), ""), "1", "Error", "2", "Disabled", "3", "Required", "4", "Warning", "Valid"), "Valid"))))</f>
        <v/>
      </c>
      <c r="P8">
        <f t="array" ref="P8">_xlfn.MAP('6 - TV Stands &amp; Enterta'!B8:B22, '6 - TV Stands &amp; Enterta'!P8:P22, '6 - TV Stands &amp; Enterta-WUO_ERR'!P8:P22, _xlfn.LAMBDA(_xlpm.part, _xlpm.val, _xlpm.error, IF(_xlpm.part = "", "", IF(LEN(_xlpm.error), _xlfn.SWITCH(IFERROR(_xlfn.TEXTBEFORE(_xlpm.error,":"), ""), "1", "Error", "2", "Disabled", "3", "Required", "4", "Warning", "Valid"), "Valid"))))</f>
        <v/>
      </c>
      <c r="Q8">
        <f t="array" ref="Q8">_xlfn.MAP('6 - TV Stands &amp; Enterta'!B8:B22, '6 - TV Stands &amp; Enterta'!Q8:Q22, '6 - TV Stands &amp; Enterta-WUO_ERR'!Q8:Q22, _xlfn.LAMBDA(_xlpm.part, _xlpm.val, _xlpm.error, IF(_xlpm.part = "", "", IF(LEN(_xlpm.error), _xlfn.SWITCH(IFERROR(_xlfn.TEXTBEFORE(_xlpm.error,":"), ""), "1", "Error", "2", "Disabled", "3", "Required", "4", "Warning", "Valid"), "Valid"))))</f>
        <v/>
      </c>
      <c r="R8">
        <f t="array" ref="R8">_xlfn.MAP('6 - TV Stands &amp; Enterta'!B8:B22, '6 - TV Stands &amp; Enterta'!R8:R22, '6 - TV Stands &amp; Enterta-WUO_ERR'!R8:R22, _xlfn.LAMBDA(_xlpm.part, _xlpm.val, _xlpm.error, IF(_xlpm.part = "", "", IF(LEN(_xlpm.error), _xlfn.SWITCH(IFERROR(_xlfn.TEXTBEFORE(_xlpm.error,":"), ""), "1", "Error", "2", "Disabled", "3", "Required", "4", "Warning", "Valid"), "Valid"))))</f>
        <v/>
      </c>
      <c r="S8">
        <f t="array" ref="S8">_xlfn.MAP('6 - TV Stands &amp; Enterta'!B8:B22, '6 - TV Stands &amp; Enterta'!S8:S22, '6 - TV Stands &amp; Enterta-WUO_ERR'!S8:S22, _xlfn.LAMBDA(_xlpm.part, _xlpm.val, _xlpm.error, IF(_xlpm.part = "", "", IF(LEN(_xlpm.error), _xlfn.SWITCH(IFERROR(_xlfn.TEXTBEFORE(_xlpm.error,":"), ""), "1", "Error", "2", "Disabled", "3", "Required", "4", "Warning", "Valid"), "Valid"))))</f>
        <v/>
      </c>
      <c r="T8">
        <f t="array" ref="T8">_xlfn.MAP('6 - TV Stands &amp; Enterta'!B8:B22, '6 - TV Stands &amp; Enterta'!T8:T22, '6 - TV Stands &amp; Enterta-WUO_ERR'!T8:T22, _xlfn.LAMBDA(_xlpm.part, _xlpm.val, _xlpm.error, IF(_xlpm.part = "", "", IF(LEN(_xlpm.error), _xlfn.SWITCH(IFERROR(_xlfn.TEXTBEFORE(_xlpm.error,":"), ""), "1", "Error", "2", "Disabled", "3", "Required", "4", "Warning", "Valid"), "Valid"))))</f>
        <v/>
      </c>
      <c r="U8">
        <f t="array" ref="U8">_xlfn.MAP('6 - TV Stands &amp; Enterta'!B8:B22, '6 - TV Stands &amp; Enterta'!U8:U22, '6 - TV Stands &amp; Enterta-WUO_ERR'!U8:U22, _xlfn.LAMBDA(_xlpm.part, _xlpm.val, _xlpm.error, IF(_xlpm.part = "", "", IF(LEN(_xlpm.error), _xlfn.SWITCH(IFERROR(_xlfn.TEXTBEFORE(_xlpm.error,":"), ""), "1", "Error", "2", "Disabled", "3", "Required", "4", "Warning", "Valid"), "Valid"))))</f>
        <v/>
      </c>
      <c r="V8">
        <f t="array" ref="V8">_xlfn.MAP('6 - TV Stands &amp; Enterta'!B8:B22, '6 - TV Stands &amp; Enterta'!V8:V22, '6 - TV Stands &amp; Enterta-WUO_ERR'!V8:V22, _xlfn.LAMBDA(_xlpm.part, _xlpm.val, _xlpm.error, IF(_xlpm.part = "", "", IF(LEN(_xlpm.error), _xlfn.SWITCH(IFERROR(_xlfn.TEXTBEFORE(_xlpm.error,":"), ""), "1", "Error", "2", "Disabled", "3", "Required", "4", "Warning", "Valid"), "Valid"))))</f>
        <v/>
      </c>
      <c r="W8">
        <f t="array" ref="W8">_xlfn.MAP('6 - TV Stands &amp; Enterta'!B8:B22, '6 - TV Stands &amp; Enterta'!W8:W22, '6 - TV Stands &amp; Enterta-WUO_ERR'!W8:W22, _xlfn.LAMBDA(_xlpm.part, _xlpm.val, _xlpm.error, IF(_xlpm.part = "", "", IF(LEN(_xlpm.error), _xlfn.SWITCH(IFERROR(_xlfn.TEXTBEFORE(_xlpm.error,":"), ""), "1", "Error", "2", "Disabled", "3", "Required", "4", "Warning", "Valid"), "Valid"))))</f>
        <v/>
      </c>
      <c r="X8">
        <f t="array" ref="X8">_xlfn.MAP('6 - TV Stands &amp; Enterta'!B8:B22, '6 - TV Stands &amp; Enterta'!X8:X22, '6 - TV Stands &amp; Enterta-WUO_ERR'!X8:X22, _xlfn.LAMBDA(_xlpm.part, _xlpm.val, _xlpm.error, IF(_xlpm.part = "", "", IF(LEN(_xlpm.error), _xlfn.SWITCH(IFERROR(_xlfn.TEXTBEFORE(_xlpm.error,":"), ""), "1", "Error", "2", "Disabled", "3", "Required", "4", "Warning", "Valid"), "Valid"))))</f>
        <v/>
      </c>
      <c r="Y8">
        <f t="array" ref="Y8">_xlfn.MAP('6 - TV Stands &amp; Enterta'!B8:B22, '6 - TV Stands &amp; Enterta'!Y8:Y22, '6 - TV Stands &amp; Enterta-WUO_ERR'!Y8:Y22, _xlfn.LAMBDA(_xlpm.part, _xlpm.val, _xlpm.error, IF(_xlpm.part = "", "", IF(LEN(_xlpm.error), _xlfn.SWITCH(IFERROR(_xlfn.TEXTBEFORE(_xlpm.error,":"), ""), "1", "Error", "2", "Disabled", "3", "Required", "4", "Warning", "Valid"), "Valid"))))</f>
        <v/>
      </c>
      <c r="Z8">
        <f t="array" ref="Z8">_xlfn.MAP('6 - TV Stands &amp; Enterta'!B8:B22, '6 - TV Stands &amp; Enterta'!Z8:Z22, '6 - TV Stands &amp; Enterta-WUO_ERR'!Z8:Z22, _xlfn.LAMBDA(_xlpm.part, _xlpm.val, _xlpm.error, IF(_xlpm.part = "", "", IF(LEN(_xlpm.error), _xlfn.SWITCH(IFERROR(_xlfn.TEXTBEFORE(_xlpm.error,":"), ""), "1", "Error", "2", "Disabled", "3", "Required", "4", "Warning", "Valid"), "Valid"))))</f>
        <v/>
      </c>
      <c r="AA8">
        <f t="array" ref="AA8">_xlfn.MAP('6 - TV Stands &amp; Enterta'!B8:B22, '6 - TV Stands &amp; Enterta'!AA8:AA22, '6 - TV Stands &amp; Enterta-WUO_ERR'!AA8:AA22, _xlfn.LAMBDA(_xlpm.part, _xlpm.val, _xlpm.error, IF(_xlpm.part = "", "", IF(LEN(_xlpm.error), _xlfn.SWITCH(IFERROR(_xlfn.TEXTBEFORE(_xlpm.error,":"), ""), "1", "Error", "2", "Disabled", "3", "Required", "4", "Warning", "Valid"), "Valid"))))</f>
        <v/>
      </c>
      <c r="AB8">
        <f t="array" ref="AB8">_xlfn.MAP('6 - TV Stands &amp; Enterta'!B8:B22, '6 - TV Stands &amp; Enterta'!AB8:AB22, '6 - TV Stands &amp; Enterta-WUO_ERR'!AB8:AB22, _xlfn.LAMBDA(_xlpm.part, _xlpm.val, _xlpm.error, IF(_xlpm.part = "", "", IF(LEN(_xlpm.error), _xlfn.SWITCH(IFERROR(_xlfn.TEXTBEFORE(_xlpm.error,":"), ""), "1", "Error", "2", "Disabled", "3", "Required", "4", "Warning", "Valid"), "Valid"))))</f>
        <v/>
      </c>
      <c r="AC8">
        <f t="array" ref="AC8">_xlfn.MAP('6 - TV Stands &amp; Enterta'!B8:B22, '6 - TV Stands &amp; Enterta'!AC8:AC22, '6 - TV Stands &amp; Enterta-WUO_ERR'!AC8:AC22, _xlfn.LAMBDA(_xlpm.part, _xlpm.val, _xlpm.error, IF(_xlpm.part = "", "", IF(LEN(_xlpm.error), _xlfn.SWITCH(IFERROR(_xlfn.TEXTBEFORE(_xlpm.error,":"), ""), "1", "Error", "2", "Disabled", "3", "Required", "4", "Warning", "Valid"), "Valid"))))</f>
        <v/>
      </c>
      <c r="AD8">
        <f t="array" ref="AD8">_xlfn.MAP('6 - TV Stands &amp; Enterta'!B8:B22, '6 - TV Stands &amp; Enterta'!AD8:AD22, '6 - TV Stands &amp; Enterta-WUO_ERR'!AD8:AD22, _xlfn.LAMBDA(_xlpm.part, _xlpm.val, _xlpm.error, IF(_xlpm.part = "", "", IF(LEN(_xlpm.error), _xlfn.SWITCH(IFERROR(_xlfn.TEXTBEFORE(_xlpm.error,":"), ""), "1", "Error", "2", "Disabled", "3", "Required", "4", "Warning", "Valid"), "Valid"))))</f>
        <v/>
      </c>
      <c r="AE8">
        <f t="array" ref="AE8">_xlfn.MAP('6 - TV Stands &amp; Enterta'!B8:B22, '6 - TV Stands &amp; Enterta'!AE8:AE22, '6 - TV Stands &amp; Enterta-WUO_ERR'!AE8:AE22, _xlfn.LAMBDA(_xlpm.part, _xlpm.val, _xlpm.error, IF(_xlpm.part = "", "", IF(LEN(_xlpm.error), _xlfn.SWITCH(IFERROR(_xlfn.TEXTBEFORE(_xlpm.error,":"), ""), "1", "Error", "2", "Disabled", "3", "Required", "4", "Warning", "Valid"), "Valid"))))</f>
        <v/>
      </c>
      <c r="AF8">
        <f t="array" ref="AF8">_xlfn.MAP('6 - TV Stands &amp; Enterta'!B8:B22, '6 - TV Stands &amp; Enterta'!AF8:AF22, '6 - TV Stands &amp; Enterta-WUO_ERR'!AF8:AF22, _xlfn.LAMBDA(_xlpm.part, _xlpm.val, _xlpm.error, IF(_xlpm.part = "", "", IF(LEN(_xlpm.error), _xlfn.SWITCH(IFERROR(_xlfn.TEXTBEFORE(_xlpm.error,":"), ""), "1", "Error", "2", "Disabled", "3", "Required", "4", "Warning", "Valid"), "Valid"))))</f>
        <v/>
      </c>
      <c r="AG8">
        <f t="array" ref="AG8">_xlfn.MAP('6 - TV Stands &amp; Enterta'!B8:B22, '6 - TV Stands &amp; Enterta'!AG8:AG22, '6 - TV Stands &amp; Enterta-WUO_ERR'!AG8:AG22, _xlfn.LAMBDA(_xlpm.part, _xlpm.val, _xlpm.error, IF(_xlpm.part = "", "", IF(LEN(_xlpm.error), _xlfn.SWITCH(IFERROR(_xlfn.TEXTBEFORE(_xlpm.error,":"), ""), "1", "Error", "2", "Disabled", "3", "Required", "4", "Warning", "Valid"), "Valid"))))</f>
        <v/>
      </c>
      <c r="AH8">
        <f t="array" ref="AH8">_xlfn.MAP('6 - TV Stands &amp; Enterta'!B8:B22, '6 - TV Stands &amp; Enterta'!AH8:AH22, '6 - TV Stands &amp; Enterta-WUO_ERR'!AH8:AH22, _xlfn.LAMBDA(_xlpm.part, _xlpm.val, _xlpm.error, IF(_xlpm.part = "", "", IF(LEN(_xlpm.error), _xlfn.SWITCH(IFERROR(_xlfn.TEXTBEFORE(_xlpm.error,":"), ""), "1", "Error", "2", "Disabled", "3", "Required", "4", "Warning", "Valid"), "Valid"))))</f>
        <v/>
      </c>
      <c r="AI8">
        <f t="array" ref="AI8">_xlfn.MAP('6 - TV Stands &amp; Enterta'!B8:B22, '6 - TV Stands &amp; Enterta'!AI8:AI22, '6 - TV Stands &amp; Enterta-WUO_ERR'!AI8:AI22, _xlfn.LAMBDA(_xlpm.part, _xlpm.val, _xlpm.error, IF(_xlpm.part = "", "", IF(LEN(_xlpm.error), _xlfn.SWITCH(IFERROR(_xlfn.TEXTBEFORE(_xlpm.error,":"), ""), "1", "Error", "2", "Disabled", "3", "Required", "4", "Warning", "Valid"), "Valid"))))</f>
        <v/>
      </c>
      <c r="AJ8">
        <f t="array" ref="AJ8">_xlfn.MAP('6 - TV Stands &amp; Enterta'!B8:B22, '6 - TV Stands &amp; Enterta'!AJ8:AJ22, '6 - TV Stands &amp; Enterta-WUO_ERR'!AJ8:AJ22, _xlfn.LAMBDA(_xlpm.part, _xlpm.val, _xlpm.error, IF(_xlpm.part = "", "", IF(LEN(_xlpm.error), _xlfn.SWITCH(IFERROR(_xlfn.TEXTBEFORE(_xlpm.error,":"), ""), "1", "Error", "2", "Disabled", "3", "Required", "4", "Warning", "Valid"), "Valid"))))</f>
        <v/>
      </c>
      <c r="AK8">
        <f t="array" ref="AK8">_xlfn.MAP('6 - TV Stands &amp; Enterta'!B8:B22, '6 - TV Stands &amp; Enterta'!AK8:AK22, '6 - TV Stands &amp; Enterta-WUO_ERR'!AK8:AK22, _xlfn.LAMBDA(_xlpm.part, _xlpm.val, _xlpm.error, IF(_xlpm.part = "", "", IF(LEN(_xlpm.error), _xlfn.SWITCH(IFERROR(_xlfn.TEXTBEFORE(_xlpm.error,":"), ""), "1", "Error", "2", "Disabled", "3", "Required", "4", "Warning", "Valid"), "Valid"))))</f>
        <v/>
      </c>
      <c r="AL8">
        <f t="array" ref="AL8">_xlfn.MAP('6 - TV Stands &amp; Enterta'!B8:B22, '6 - TV Stands &amp; Enterta'!AL8:AL22, '6 - TV Stands &amp; Enterta-WUO_ERR'!AL8:AL22, _xlfn.LAMBDA(_xlpm.part, _xlpm.val, _xlpm.error, IF(_xlpm.part = "", "", IF(LEN(_xlpm.error), _xlfn.SWITCH(IFERROR(_xlfn.TEXTBEFORE(_xlpm.error,":"), ""), "1", "Error", "2", "Disabled", "3", "Required", "4", "Warning", "Valid"), "Valid"))))</f>
        <v/>
      </c>
      <c r="AM8">
        <f t="array" ref="AM8">_xlfn.MAP('6 - TV Stands &amp; Enterta'!B8:B22, '6 - TV Stands &amp; Enterta'!AM8:AM22, '6 - TV Stands &amp; Enterta-WUO_ERR'!AM8:AM22, _xlfn.LAMBDA(_xlpm.part, _xlpm.val, _xlpm.error, IF(_xlpm.part = "", "", IF(LEN(_xlpm.error), _xlfn.SWITCH(IFERROR(_xlfn.TEXTBEFORE(_xlpm.error,":"), ""), "1", "Error", "2", "Disabled", "3", "Required", "4", "Warning", "Valid"), "Valid"))))</f>
        <v/>
      </c>
      <c r="AN8">
        <f t="array" ref="AN8">_xlfn.MAP('6 - TV Stands &amp; Enterta'!B8:B22, '6 - TV Stands &amp; Enterta'!AN8:AN22, '6 - TV Stands &amp; Enterta-WUO_ERR'!AN8:AN22, _xlfn.LAMBDA(_xlpm.part, _xlpm.val, _xlpm.error, IF(_xlpm.part = "", "", IF(LEN(_xlpm.error), _xlfn.SWITCH(IFERROR(_xlfn.TEXTBEFORE(_xlpm.error,":"), ""), "1", "Error", "2", "Disabled", "3", "Required", "4", "Warning", "Valid"), "Valid"))))</f>
        <v/>
      </c>
      <c r="AO8">
        <f t="array" ref="AO8">_xlfn.MAP('6 - TV Stands &amp; Enterta'!B8:B22, '6 - TV Stands &amp; Enterta'!AO8:AO22, '6 - TV Stands &amp; Enterta-WUO_ERR'!AO8:AO22, _xlfn.LAMBDA(_xlpm.part, _xlpm.val, _xlpm.error, IF(_xlpm.part = "", "", IF(LEN(_xlpm.error), _xlfn.SWITCH(IFERROR(_xlfn.TEXTBEFORE(_xlpm.error,":"), ""), "1", "Error", "2", "Disabled", "3", "Required", "4", "Warning", "Valid"), "Valid"))))</f>
        <v/>
      </c>
      <c r="AP8">
        <f t="array" ref="AP8">_xlfn.MAP('6 - TV Stands &amp; Enterta'!B8:B22, '6 - TV Stands &amp; Enterta'!AP8:AP22, '6 - TV Stands &amp; Enterta-WUO_ERR'!AP8:AP22, _xlfn.LAMBDA(_xlpm.part, _xlpm.val, _xlpm.error, IF(_xlpm.part = "", "", IF(LEN(_xlpm.error), _xlfn.SWITCH(IFERROR(_xlfn.TEXTBEFORE(_xlpm.error,":"), ""), "1", "Error", "2", "Disabled", "3", "Required", "4", "Warning", "Valid"), "Valid"))))</f>
        <v/>
      </c>
      <c r="AQ8">
        <f t="array" ref="AQ8">_xlfn.MAP('6 - TV Stands &amp; Enterta'!B8:B22, '6 - TV Stands &amp; Enterta'!AQ8:AQ22, '6 - TV Stands &amp; Enterta-WUO_ERR'!AQ8:AQ22, _xlfn.LAMBDA(_xlpm.part, _xlpm.val, _xlpm.error, IF(_xlpm.part = "", "", IF(LEN(_xlpm.error), _xlfn.SWITCH(IFERROR(_xlfn.TEXTBEFORE(_xlpm.error,":"), ""), "1", "Error", "2", "Disabled", "3", "Required", "4", "Warning", "Valid"), "Valid"))))</f>
        <v/>
      </c>
      <c r="AR8">
        <f t="array" ref="AR8">_xlfn.MAP('6 - TV Stands &amp; Enterta'!B8:B22, '6 - TV Stands &amp; Enterta'!AR8:AR22, '6 - TV Stands &amp; Enterta-WUO_ERR'!AR8:AR22, _xlfn.LAMBDA(_xlpm.part, _xlpm.val, _xlpm.error, IF(_xlpm.part = "", "", IF(LEN(_xlpm.error), _xlfn.SWITCH(IFERROR(_xlfn.TEXTBEFORE(_xlpm.error,":"), ""), "1", "Error", "2", "Disabled", "3", "Required", "4", "Warning", "Valid"), "Valid"))))</f>
        <v/>
      </c>
      <c r="AS8">
        <f t="array" ref="AS8">_xlfn.MAP('6 - TV Stands &amp; Enterta'!B8:B22, '6 - TV Stands &amp; Enterta'!AS8:AS22, '6 - TV Stands &amp; Enterta-WUO_ERR'!AS8:AS22, _xlfn.LAMBDA(_xlpm.part, _xlpm.val, _xlpm.error, IF(_xlpm.part = "", "", IF(LEN(_xlpm.error), _xlfn.SWITCH(IFERROR(_xlfn.TEXTBEFORE(_xlpm.error,":"), ""), "1", "Error", "2", "Disabled", "3", "Required", "4", "Warning", "Valid"), "Valid"))))</f>
        <v/>
      </c>
      <c r="AT8">
        <f t="array" ref="AT8">_xlfn.MAP('6 - TV Stands &amp; Enterta'!B8:B22, '6 - TV Stands &amp; Enterta'!AT8:AT22, '6 - TV Stands &amp; Enterta-WUO_ERR'!AT8:AT22, _xlfn.LAMBDA(_xlpm.part, _xlpm.val, _xlpm.error, IF(_xlpm.part = "", "", IF(LEN(_xlpm.error), _xlfn.SWITCH(IFERROR(_xlfn.TEXTBEFORE(_xlpm.error,":"), ""), "1", "Error", "2", "Disabled", "3", "Required", "4", "Warning", "Valid"), "Valid"))))</f>
        <v/>
      </c>
      <c r="AU8">
        <f t="array" ref="AU8">_xlfn.MAP('6 - TV Stands &amp; Enterta'!B8:B22, '6 - TV Stands &amp; Enterta'!AU8:AU22, '6 - TV Stands &amp; Enterta-WUO_ERR'!AU8:AU22, _xlfn.LAMBDA(_xlpm.part, _xlpm.val, _xlpm.error, IF(_xlpm.part = "", "", IF(LEN(_xlpm.error), _xlfn.SWITCH(IFERROR(_xlfn.TEXTBEFORE(_xlpm.error,":"), ""), "1", "Error", "2", "Disabled", "3", "Required", "4", "Warning", "Valid"), "Valid"))))</f>
        <v/>
      </c>
      <c r="AV8">
        <f t="array" ref="AV8">_xlfn.MAP('6 - TV Stands &amp; Enterta'!B8:B22, '6 - TV Stands &amp; Enterta'!AV8:AV22, '6 - TV Stands &amp; Enterta-WUO_ERR'!AV8:AV22, _xlfn.LAMBDA(_xlpm.part, _xlpm.val, _xlpm.error, IF(_xlpm.part = "", "", IF(LEN(_xlpm.error), _xlfn.SWITCH(IFERROR(_xlfn.TEXTBEFORE(_xlpm.error,":"), ""), "1", "Error", "2", "Disabled", "3", "Required", "4", "Warning", "Valid"), "Valid"))))</f>
        <v/>
      </c>
      <c r="AW8">
        <f t="array" ref="AW8">_xlfn.MAP('6 - TV Stands &amp; Enterta'!B8:B22, '6 - TV Stands &amp; Enterta'!AW8:AW22, '6 - TV Stands &amp; Enterta-WUO_ERR'!AW8:AW22, _xlfn.LAMBDA(_xlpm.part, _xlpm.val, _xlpm.error, IF(_xlpm.part = "", "", IF(LEN(_xlpm.error), _xlfn.SWITCH(IFERROR(_xlfn.TEXTBEFORE(_xlpm.error,":"), ""), "1", "Error", "2", "Disabled", "3", "Required", "4", "Warning", "Valid"), "Valid"))))</f>
        <v/>
      </c>
      <c r="AX8">
        <f t="array" ref="AX8">_xlfn.MAP('6 - TV Stands &amp; Enterta'!B8:B22, '6 - TV Stands &amp; Enterta'!AX8:AX22, '6 - TV Stands &amp; Enterta-WUO_ERR'!AX8:AX22, _xlfn.LAMBDA(_xlpm.part, _xlpm.val, _xlpm.error, IF(_xlpm.part = "", "", IF(LEN(_xlpm.error), _xlfn.SWITCH(IFERROR(_xlfn.TEXTBEFORE(_xlpm.error,":"), ""), "1", "Error", "2", "Disabled", "3", "Required", "4", "Warning", "Valid"), "Valid"))))</f>
        <v/>
      </c>
      <c r="AY8">
        <f t="array" ref="AY8">_xlfn.MAP('6 - TV Stands &amp; Enterta'!B8:B22, '6 - TV Stands &amp; Enterta'!AY8:AY22, '6 - TV Stands &amp; Enterta-WUO_ERR'!AY8:AY22, _xlfn.LAMBDA(_xlpm.part, _xlpm.val, _xlpm.error, IF(_xlpm.part = "", "", IF(LEN(_xlpm.error), _xlfn.SWITCH(IFERROR(_xlfn.TEXTBEFORE(_xlpm.error,":"), ""), "1", "Error", "2", "Disabled", "3", "Required", "4", "Warning", "Valid"), "Valid"))))</f>
        <v/>
      </c>
      <c r="AZ8">
        <f t="array" ref="AZ8">_xlfn.MAP('6 - TV Stands &amp; Enterta'!B8:B22, '6 - TV Stands &amp; Enterta'!AZ8:AZ22, '6 - TV Stands &amp; Enterta-WUO_ERR'!AZ8:AZ22, _xlfn.LAMBDA(_xlpm.part, _xlpm.val, _xlpm.error, IF(_xlpm.part = "", "", IF(LEN(_xlpm.error), _xlfn.SWITCH(IFERROR(_xlfn.TEXTBEFORE(_xlpm.error,":"), ""), "1", "Error", "2", "Disabled", "3", "Required", "4", "Warning", "Valid"), "Valid"))))</f>
        <v/>
      </c>
      <c r="BA8">
        <f t="array" ref="BA8">_xlfn.MAP('6 - TV Stands &amp; Enterta'!B8:B22, '6 - TV Stands &amp; Enterta'!BA8:BA22, '6 - TV Stands &amp; Enterta-WUO_ERR'!BA8:BA22, _xlfn.LAMBDA(_xlpm.part, _xlpm.val, _xlpm.error, IF(_xlpm.part = "", "", IF(LEN(_xlpm.error), _xlfn.SWITCH(IFERROR(_xlfn.TEXTBEFORE(_xlpm.error,":"), ""), "1", "Error", "2", "Disabled", "3", "Required", "4", "Warning", "Valid"), "Valid"))))</f>
        <v/>
      </c>
      <c r="BB8">
        <f t="array" ref="BB8">_xlfn.MAP('6 - TV Stands &amp; Enterta'!B8:B22, '6 - TV Stands &amp; Enterta'!BB8:BB22, '6 - TV Stands &amp; Enterta-WUO_ERR'!BB8:BB22, _xlfn.LAMBDA(_xlpm.part, _xlpm.val, _xlpm.error, IF(_xlpm.part = "", "", IF(LEN(_xlpm.error), _xlfn.SWITCH(IFERROR(_xlfn.TEXTBEFORE(_xlpm.error,":"), ""), "1", "Error", "2", "Disabled", "3", "Required", "4", "Warning", "Valid"), "Valid"))))</f>
        <v/>
      </c>
      <c r="BC8">
        <f t="array" ref="BC8">_xlfn.MAP('6 - TV Stands &amp; Enterta'!B8:B22, '6 - TV Stands &amp; Enterta'!BC8:BC22, '6 - TV Stands &amp; Enterta-WUO_ERR'!BC8:BC22, _xlfn.LAMBDA(_xlpm.part, _xlpm.val, _xlpm.error, IF(_xlpm.part = "", "", IF(LEN(_xlpm.error), _xlfn.SWITCH(IFERROR(_xlfn.TEXTBEFORE(_xlpm.error,":"), ""), "1", "Error", "2", "Disabled", "3", "Required", "4", "Warning", "Valid"), "Valid"))))</f>
        <v/>
      </c>
      <c r="BD8">
        <f t="array" ref="BD8">_xlfn.MAP('6 - TV Stands &amp; Enterta'!B8:B22, '6 - TV Stands &amp; Enterta'!BD8:BD22, '6 - TV Stands &amp; Enterta-WUO_ERR'!BD8:BD22, _xlfn.LAMBDA(_xlpm.part, _xlpm.val, _xlpm.error, IF(_xlpm.part = "", "", IF(LEN(_xlpm.error), _xlfn.SWITCH(IFERROR(_xlfn.TEXTBEFORE(_xlpm.error,":"), ""), "1", "Error", "2", "Disabled", "3", "Required", "4", "Warning", "Valid"), "Valid"))))</f>
        <v/>
      </c>
      <c r="BE8">
        <f t="array" ref="BE8">_xlfn.MAP('6 - TV Stands &amp; Enterta'!B8:B22, '6 - TV Stands &amp; Enterta'!BE8:BE22, '6 - TV Stands &amp; Enterta-WUO_ERR'!BE8:BE22, _xlfn.LAMBDA(_xlpm.part, _xlpm.val, _xlpm.error, IF(_xlpm.part = "", "", IF(LEN(_xlpm.error), _xlfn.SWITCH(IFERROR(_xlfn.TEXTBEFORE(_xlpm.error,":"), ""), "1", "Error", "2", "Disabled", "3", "Required", "4", "Warning", "Valid"), "Valid"))))</f>
        <v/>
      </c>
      <c r="BF8">
        <f t="array" ref="BF8">_xlfn.MAP('6 - TV Stands &amp; Enterta'!B8:B22, '6 - TV Stands &amp; Enterta'!BF8:BF22, '6 - TV Stands &amp; Enterta-WUO_ERR'!BF8:BF22, _xlfn.LAMBDA(_xlpm.part, _xlpm.val, _xlpm.error, IF(_xlpm.part = "", "", IF(LEN(_xlpm.error), _xlfn.SWITCH(IFERROR(_xlfn.TEXTBEFORE(_xlpm.error,":"), ""), "1", "Error", "2", "Disabled", "3", "Required", "4", "Warning", "Valid"), "Valid"))))</f>
        <v/>
      </c>
      <c r="BG8">
        <f t="array" ref="BG8">_xlfn.MAP('6 - TV Stands &amp; Enterta'!B8:B22, '6 - TV Stands &amp; Enterta'!BG8:BG22, '6 - TV Stands &amp; Enterta-WUO_ERR'!BG8:BG22, _xlfn.LAMBDA(_xlpm.part, _xlpm.val, _xlpm.error, IF(_xlpm.part = "", "", IF(LEN(_xlpm.error), _xlfn.SWITCH(IFERROR(_xlfn.TEXTBEFORE(_xlpm.error,":"), ""), "1", "Error", "2", "Disabled", "3", "Required", "4", "Warning", "Valid"), "Valid"))))</f>
        <v/>
      </c>
      <c r="BH8">
        <f t="array" ref="BH8">_xlfn.MAP('6 - TV Stands &amp; Enterta'!B8:B22, '6 - TV Stands &amp; Enterta'!BH8:BH22, '6 - TV Stands &amp; Enterta-WUO_ERR'!BH8:BH22, _xlfn.LAMBDA(_xlpm.part, _xlpm.val, _xlpm.error, IF(_xlpm.part = "", "", IF(LEN(_xlpm.error), _xlfn.SWITCH(IFERROR(_xlfn.TEXTBEFORE(_xlpm.error,":"), ""), "1", "Error", "2", "Disabled", "3", "Required", "4", "Warning", "Valid"), "Valid"))))</f>
        <v/>
      </c>
      <c r="BI8">
        <f t="array" ref="BI8">_xlfn.MAP('6 - TV Stands &amp; Enterta'!B8:B22, '6 - TV Stands &amp; Enterta'!BI8:BI22, '6 - TV Stands &amp; Enterta-WUO_ERR'!BI8:BI22, _xlfn.LAMBDA(_xlpm.part, _xlpm.val, _xlpm.error, IF(_xlpm.part = "", "", IF(LEN(_xlpm.error), _xlfn.SWITCH(IFERROR(_xlfn.TEXTBEFORE(_xlpm.error,":"), ""), "1", "Error", "2", "Disabled", "3", "Required", "4", "Warning", "Valid"), "Valid"))))</f>
        <v/>
      </c>
      <c r="BJ8">
        <f t="array" ref="BJ8">_xlfn.MAP('6 - TV Stands &amp; Enterta'!B8:B22, '6 - TV Stands &amp; Enterta'!BJ8:BJ22, '6 - TV Stands &amp; Enterta-WUO_ERR'!BJ8:BJ22, _xlfn.LAMBDA(_xlpm.part, _xlpm.val, _xlpm.error, IF(_xlpm.part = "", "", IF(LEN(_xlpm.error), _xlfn.SWITCH(IFERROR(_xlfn.TEXTBEFORE(_xlpm.error,":"), ""), "1", "Error", "2", "Disabled", "3", "Required", "4", "Warning", "Valid"), "Valid"))))</f>
        <v/>
      </c>
      <c r="BK8">
        <f t="array" ref="BK8">_xlfn.MAP('6 - TV Stands &amp; Enterta'!B8:B22, '6 - TV Stands &amp; Enterta'!BK8:BK22, '6 - TV Stands &amp; Enterta-WUO_ERR'!BK8:BK22, _xlfn.LAMBDA(_xlpm.part, _xlpm.val, _xlpm.error, IF(_xlpm.part = "", "", IF(LEN(_xlpm.error), _xlfn.SWITCH(IFERROR(_xlfn.TEXTBEFORE(_xlpm.error,":"), ""), "1", "Error", "2", "Disabled", "3", "Required", "4", "Warning", "Valid"), "Valid"))))</f>
        <v/>
      </c>
      <c r="BL8">
        <f t="array" ref="BL8">_xlfn.MAP('6 - TV Stands &amp; Enterta'!B8:B22, '6 - TV Stands &amp; Enterta'!BL8:BL22, '6 - TV Stands &amp; Enterta-WUO_ERR'!BL8:BL22, _xlfn.LAMBDA(_xlpm.part, _xlpm.val, _xlpm.error, IF(_xlpm.part = "", "", IF(LEN(_xlpm.error), _xlfn.SWITCH(IFERROR(_xlfn.TEXTBEFORE(_xlpm.error,":"), ""), "1", "Error", "2", "Disabled", "3", "Required", "4", "Warning", "Valid"), "Valid"))))</f>
        <v/>
      </c>
      <c r="BM8">
        <f t="array" ref="BM8">_xlfn.MAP('6 - TV Stands &amp; Enterta'!B8:B22, '6 - TV Stands &amp; Enterta'!BM8:BM22, '6 - TV Stands &amp; Enterta-WUO_ERR'!BM8:BM22, _xlfn.LAMBDA(_xlpm.part, _xlpm.val, _xlpm.error, IF(_xlpm.part = "", "", IF(LEN(_xlpm.error), _xlfn.SWITCH(IFERROR(_xlfn.TEXTBEFORE(_xlpm.error,":"), ""), "1", "Error", "2", "Disabled", "3", "Required", "4", "Warning", "Valid"), "Valid"))))</f>
        <v/>
      </c>
      <c r="BN8">
        <f t="array" ref="BN8">_xlfn.MAP('6 - TV Stands &amp; Enterta'!B8:B22, '6 - TV Stands &amp; Enterta'!BN8:BN22, '6 - TV Stands &amp; Enterta-WUO_ERR'!BN8:BN22, _xlfn.LAMBDA(_xlpm.part, _xlpm.val, _xlpm.error, IF(_xlpm.part = "", "", IF(LEN(_xlpm.error), _xlfn.SWITCH(IFERROR(_xlfn.TEXTBEFORE(_xlpm.error,":"), ""), "1", "Error", "2", "Disabled", "3", "Required", "4", "Warning", "Valid"), "Valid"))))</f>
        <v/>
      </c>
      <c r="BO8">
        <f t="array" ref="BO8">_xlfn.MAP('6 - TV Stands &amp; Enterta'!B8:B22, '6 - TV Stands &amp; Enterta'!BO8:BO22, '6 - TV Stands &amp; Enterta-WUO_ERR'!BO8:BO22, _xlfn.LAMBDA(_xlpm.part, _xlpm.val, _xlpm.error, IF(_xlpm.part = "", "", IF(LEN(_xlpm.error), _xlfn.SWITCH(IFERROR(_xlfn.TEXTBEFORE(_xlpm.error,":"), ""), "1", "Error", "2", "Disabled", "3", "Required", "4", "Warning", "Valid"), "Valid"))))</f>
        <v/>
      </c>
      <c r="BP8">
        <f t="array" ref="BP8">_xlfn.MAP('6 - TV Stands &amp; Enterta'!B8:B22, '6 - TV Stands &amp; Enterta'!BP8:BP22, '6 - TV Stands &amp; Enterta-WUO_ERR'!BP8:BP22, _xlfn.LAMBDA(_xlpm.part, _xlpm.val, _xlpm.error, IF(_xlpm.part = "", "", IF(LEN(_xlpm.error), _xlfn.SWITCH(IFERROR(_xlfn.TEXTBEFORE(_xlpm.error,":"), ""), "1", "Error", "2", "Disabled", "3", "Required", "4", "Warning", "Valid"), "Valid"))))</f>
        <v/>
      </c>
      <c r="BQ8">
        <f t="array" ref="BQ8">_xlfn.MAP('6 - TV Stands &amp; Enterta'!B8:B22, '6 - TV Stands &amp; Enterta'!BQ8:BQ22, '6 - TV Stands &amp; Enterta-WUO_ERR'!BQ8:BQ22, _xlfn.LAMBDA(_xlpm.part, _xlpm.val, _xlpm.error, IF(_xlpm.part = "", "", IF(LEN(_xlpm.error), _xlfn.SWITCH(IFERROR(_xlfn.TEXTBEFORE(_xlpm.error,":"), ""), "1", "Error", "2", "Disabled", "3", "Required", "4", "Warning", "Valid"), "Valid"))))</f>
        <v/>
      </c>
      <c r="BR8">
        <f t="array" ref="BR8">_xlfn.MAP('6 - TV Stands &amp; Enterta'!B8:B22, '6 - TV Stands &amp; Enterta'!BR8:BR22, '6 - TV Stands &amp; Enterta-WUO_ERR'!BR8:BR22, _xlfn.LAMBDA(_xlpm.part, _xlpm.val, _xlpm.error, IF(_xlpm.part = "", "", IF(LEN(_xlpm.error), _xlfn.SWITCH(IFERROR(_xlfn.TEXTBEFORE(_xlpm.error,":"), ""), "1", "Error", "2", "Disabled", "3", "Required", "4", "Warning", "Valid"), "Valid"))))</f>
        <v/>
      </c>
      <c r="BS8">
        <f t="array" ref="BS8">_xlfn.MAP('6 - TV Stands &amp; Enterta'!B8:B22, '6 - TV Stands &amp; Enterta'!BS8:BS22, '6 - TV Stands &amp; Enterta-WUO_ERR'!BS8:BS22, _xlfn.LAMBDA(_xlpm.part, _xlpm.val, _xlpm.error, IF(_xlpm.part = "", "", IF(LEN(_xlpm.error), _xlfn.SWITCH(IFERROR(_xlfn.TEXTBEFORE(_xlpm.error,":"), ""), "1", "Error", "2", "Disabled", "3", "Required", "4", "Warning", "Valid"), "Valid"))))</f>
        <v/>
      </c>
      <c r="BT8">
        <f t="array" ref="BT8">_xlfn.MAP('6 - TV Stands &amp; Enterta'!B8:B22, '6 - TV Stands &amp; Enterta'!BT8:BT22, '6 - TV Stands &amp; Enterta-WUO_ERR'!BT8:BT22, _xlfn.LAMBDA(_xlpm.part, _xlpm.val, _xlpm.error, IF(_xlpm.part = "", "", IF(LEN(_xlpm.error), _xlfn.SWITCH(IFERROR(_xlfn.TEXTBEFORE(_xlpm.error,":"), ""), "1", "Error", "2", "Disabled", "3", "Required", "4", "Warning", "Valid"), "Valid"))))</f>
        <v/>
      </c>
      <c r="BU8">
        <f t="array" ref="BU8">_xlfn.MAP('6 - TV Stands &amp; Enterta'!B8:B22, '6 - TV Stands &amp; Enterta'!BU8:BU22, '6 - TV Stands &amp; Enterta-WUO_ERR'!BU8:BU22, _xlfn.LAMBDA(_xlpm.part, _xlpm.val, _xlpm.error, IF(_xlpm.part = "", "", IF(LEN(_xlpm.error), _xlfn.SWITCH(IFERROR(_xlfn.TEXTBEFORE(_xlpm.error,":"), ""), "1", "Error", "2", "Disabled", "3", "Required", "4", "Warning", "Valid"), "Valid"))))</f>
        <v/>
      </c>
      <c r="BV8">
        <f t="array" ref="BV8">_xlfn.MAP('6 - TV Stands &amp; Enterta'!B8:B22, '6 - TV Stands &amp; Enterta'!BV8:BV22, '6 - TV Stands &amp; Enterta-WUO_ERR'!BV8:BV22, _xlfn.LAMBDA(_xlpm.part, _xlpm.val, _xlpm.error, IF(_xlpm.part = "", "", IF(LEN(_xlpm.error), _xlfn.SWITCH(IFERROR(_xlfn.TEXTBEFORE(_xlpm.error,":"), ""), "1", "Error", "2", "Disabled", "3", "Required", "4", "Warning", "Valid"), "Valid"))))</f>
        <v/>
      </c>
      <c r="BW8">
        <f t="array" ref="BW8">_xlfn.MAP('6 - TV Stands &amp; Enterta'!B8:B22, '6 - TV Stands &amp; Enterta'!BW8:BW22, '6 - TV Stands &amp; Enterta-WUO_ERR'!BW8:BW22, _xlfn.LAMBDA(_xlpm.part, _xlpm.val, _xlpm.error, IF(_xlpm.part = "", "", IF(LEN(_xlpm.error), _xlfn.SWITCH(IFERROR(_xlfn.TEXTBEFORE(_xlpm.error,":"), ""), "1", "Error", "2", "Disabled", "3", "Required", "4", "Warning", "Valid"), "Valid"))))</f>
        <v/>
      </c>
      <c r="BX8">
        <f t="array" ref="BX8">_xlfn.MAP('6 - TV Stands &amp; Enterta'!B8:B22, '6 - TV Stands &amp; Enterta'!BX8:BX22, '6 - TV Stands &amp; Enterta-WUO_ERR'!BX8:BX22, _xlfn.LAMBDA(_xlpm.part, _xlpm.val, _xlpm.error, IF(_xlpm.part = "", "", IF(LEN(_xlpm.error), _xlfn.SWITCH(IFERROR(_xlfn.TEXTBEFORE(_xlpm.error,":"), ""), "1", "Error", "2", "Disabled", "3", "Required", "4", "Warning", "Valid"), "Valid"))))</f>
        <v/>
      </c>
      <c r="BY8">
        <f t="array" ref="BY8">_xlfn.MAP('6 - TV Stands &amp; Enterta'!B8:B22, '6 - TV Stands &amp; Enterta'!BY8:BY22, '6 - TV Stands &amp; Enterta-WUO_ERR'!BY8:BY22, _xlfn.LAMBDA(_xlpm.part, _xlpm.val, _xlpm.error, IF(_xlpm.part = "", "", IF(LEN(_xlpm.error), _xlfn.SWITCH(IFERROR(_xlfn.TEXTBEFORE(_xlpm.error,":"), ""), "1", "Error", "2", "Disabled", "3", "Required", "4", "Warning", "Valid"), "Valid"))))</f>
        <v/>
      </c>
      <c r="BZ8">
        <f t="array" ref="BZ8">_xlfn.MAP('6 - TV Stands &amp; Enterta'!B8:B22, '6 - TV Stands &amp; Enterta'!BZ8:BZ22, '6 - TV Stands &amp; Enterta-WUO_ERR'!BZ8:BZ22, _xlfn.LAMBDA(_xlpm.part, _xlpm.val, _xlpm.error, IF(_xlpm.part = "", "", IF(LEN(_xlpm.error), _xlfn.SWITCH(IFERROR(_xlfn.TEXTBEFORE(_xlpm.error,":"), ""), "1", "Error", "2", "Disabled", "3", "Required", "4", "Warning", "Valid"), "Valid"))))</f>
        <v/>
      </c>
      <c r="CA8">
        <f t="array" ref="CA8">_xlfn.MAP('6 - TV Stands &amp; Enterta'!B8:B22, '6 - TV Stands &amp; Enterta'!CA8:CA22, '6 - TV Stands &amp; Enterta-WUO_ERR'!CA8:CA22, _xlfn.LAMBDA(_xlpm.part, _xlpm.val, _xlpm.error, IF(_xlpm.part = "", "", IF(LEN(_xlpm.error), _xlfn.SWITCH(IFERROR(_xlfn.TEXTBEFORE(_xlpm.error,":"), ""), "1", "Error", "2", "Disabled", "3", "Required", "4", "Warning", "Valid"), "Valid"))))</f>
        <v/>
      </c>
      <c r="CB8">
        <f t="array" ref="CB8">_xlfn.MAP('6 - TV Stands &amp; Enterta'!B8:B22, '6 - TV Stands &amp; Enterta'!CB8:CB22, '6 - TV Stands &amp; Enterta-WUO_ERR'!CB8:CB22, _xlfn.LAMBDA(_xlpm.part, _xlpm.val, _xlpm.error, IF(_xlpm.part = "", "", IF(LEN(_xlpm.error), _xlfn.SWITCH(IFERROR(_xlfn.TEXTBEFORE(_xlpm.error,":"), ""), "1", "Error", "2", "Disabled", "3", "Required", "4", "Warning", "Valid"), "Valid"))))</f>
        <v/>
      </c>
      <c r="CC8">
        <f t="array" ref="CC8">_xlfn.MAP('6 - TV Stands &amp; Enterta'!B8:B22, '6 - TV Stands &amp; Enterta'!CC8:CC22, '6 - TV Stands &amp; Enterta-WUO_ERR'!CC8:CC22, _xlfn.LAMBDA(_xlpm.part, _xlpm.val, _xlpm.error, IF(_xlpm.part = "", "", IF(LEN(_xlpm.error), _xlfn.SWITCH(IFERROR(_xlfn.TEXTBEFORE(_xlpm.error,":"), ""), "1", "Error", "2", "Disabled", "3", "Required", "4", "Warning", "Valid"), "Valid"))))</f>
        <v/>
      </c>
      <c r="CD8">
        <f t="array" ref="CD8">_xlfn.MAP('6 - TV Stands &amp; Enterta'!B8:B22, '6 - TV Stands &amp; Enterta'!CD8:CD22, '6 - TV Stands &amp; Enterta-WUO_ERR'!CD8:CD22, _xlfn.LAMBDA(_xlpm.part, _xlpm.val, _xlpm.error, IF(_xlpm.part = "", "", IF(LEN(_xlpm.error), _xlfn.SWITCH(IFERROR(_xlfn.TEXTBEFORE(_xlpm.error,":"), ""), "1", "Error", "2", "Disabled", "3", "Required", "4", "Warning", "Valid"), "Valid"))))</f>
        <v/>
      </c>
      <c r="CE8">
        <f t="array" ref="CE8">_xlfn.MAP('6 - TV Stands &amp; Enterta'!B8:B22, '6 - TV Stands &amp; Enterta'!CE8:CE22, '6 - TV Stands &amp; Enterta-WUO_ERR'!CE8:CE22, _xlfn.LAMBDA(_xlpm.part, _xlpm.val, _xlpm.error, IF(_xlpm.part = "", "", IF(LEN(_xlpm.error), _xlfn.SWITCH(IFERROR(_xlfn.TEXTBEFORE(_xlpm.error,":"), ""), "1", "Error", "2", "Disabled", "3", "Required", "4", "Warning", "Valid"), "Valid"))))</f>
        <v/>
      </c>
      <c r="CF8">
        <f t="array" ref="CF8">_xlfn.MAP('6 - TV Stands &amp; Enterta'!B8:B22, '6 - TV Stands &amp; Enterta'!CF8:CF22, '6 - TV Stands &amp; Enterta-WUO_ERR'!CF8:CF22, _xlfn.LAMBDA(_xlpm.part, _xlpm.val, _xlpm.error, IF(_xlpm.part = "", "", IF(LEN(_xlpm.error), _xlfn.SWITCH(IFERROR(_xlfn.TEXTBEFORE(_xlpm.error,":"), ""), "1", "Error", "2", "Disabled", "3", "Required", "4", "Warning", "Valid"), "Valid"))))</f>
        <v/>
      </c>
      <c r="CG8">
        <f t="array" ref="CG8">_xlfn.MAP('6 - TV Stands &amp; Enterta'!B8:B22, '6 - TV Stands &amp; Enterta'!CG8:CG22, '6 - TV Stands &amp; Enterta-WUO_ERR'!CG8:CG22, _xlfn.LAMBDA(_xlpm.part, _xlpm.val, _xlpm.error, IF(_xlpm.part = "", "", IF(LEN(_xlpm.error), _xlfn.SWITCH(IFERROR(_xlfn.TEXTBEFORE(_xlpm.error,":"), ""), "1", "Error", "2", "Disabled", "3", "Required", "4", "Warning", "Valid"), "Valid"))))</f>
        <v/>
      </c>
      <c r="CH8">
        <f t="array" ref="CH8">_xlfn.MAP('6 - TV Stands &amp; Enterta'!B8:B22, '6 - TV Stands &amp; Enterta'!CH8:CH22, '6 - TV Stands &amp; Enterta-WUO_ERR'!CH8:CH22, _xlfn.LAMBDA(_xlpm.part, _xlpm.val, _xlpm.error, IF(_xlpm.part = "", "", IF(LEN(_xlpm.error), _xlfn.SWITCH(IFERROR(_xlfn.TEXTBEFORE(_xlpm.error,":"), ""), "1", "Error", "2", "Disabled", "3", "Required", "4", "Warning", "Valid"), "Valid"))))</f>
        <v/>
      </c>
      <c r="CI8">
        <f t="array" ref="CI8">_xlfn.MAP('6 - TV Stands &amp; Enterta'!B8:B22, '6 - TV Stands &amp; Enterta'!CI8:CI22, '6 - TV Stands &amp; Enterta-WUO_ERR'!CI8:CI22, _xlfn.LAMBDA(_xlpm.part, _xlpm.val, _xlpm.error, IF(_xlpm.part = "", "", IF(LEN(_xlpm.error), _xlfn.SWITCH(IFERROR(_xlfn.TEXTBEFORE(_xlpm.error,":"), ""), "1", "Error", "2", "Disabled", "3", "Required", "4", "Warning", "Valid"), "Valid"))))</f>
        <v/>
      </c>
      <c r="CJ8">
        <f t="array" ref="CJ8">_xlfn.MAP('6 - TV Stands &amp; Enterta'!B8:B22, '6 - TV Stands &amp; Enterta'!CJ8:CJ22, '6 - TV Stands &amp; Enterta-WUO_ERR'!CJ8:CJ22, _xlfn.LAMBDA(_xlpm.part, _xlpm.val, _xlpm.error, IF(_xlpm.part = "", "", IF(LEN(_xlpm.error), _xlfn.SWITCH(IFERROR(_xlfn.TEXTBEFORE(_xlpm.error,":"), ""), "1", "Error", "2", "Disabled", "3", "Required", "4", "Warning", "Valid"), "Valid"))))</f>
        <v/>
      </c>
      <c r="CK8">
        <f t="array" ref="CK8">_xlfn.MAP('6 - TV Stands &amp; Enterta'!B8:B22, '6 - TV Stands &amp; Enterta'!CK8:CK22, '6 - TV Stands &amp; Enterta-WUO_ERR'!CK8:CK22, _xlfn.LAMBDA(_xlpm.part, _xlpm.val, _xlpm.error, IF(_xlpm.part = "", "", IF(LEN(_xlpm.error), _xlfn.SWITCH(IFERROR(_xlfn.TEXTBEFORE(_xlpm.error,":"), ""), "1", "Error", "2", "Disabled", "3", "Required", "4", "Warning", "Valid"), "Valid"))))</f>
        <v/>
      </c>
      <c r="CL8">
        <f t="array" ref="CL8">_xlfn.MAP('6 - TV Stands &amp; Enterta'!B8:B22, '6 - TV Stands &amp; Enterta'!CL8:CL22, '6 - TV Stands &amp; Enterta-WUO_ERR'!CL8:CL22, _xlfn.LAMBDA(_xlpm.part, _xlpm.val, _xlpm.error, IF(_xlpm.part = "", "", IF(LEN(_xlpm.error), _xlfn.SWITCH(IFERROR(_xlfn.TEXTBEFORE(_xlpm.error,":"), ""), "1", "Error", "2", "Disabled", "3", "Required", "4", "Warning", "Valid"), "Valid"))))</f>
        <v/>
      </c>
      <c r="CM8">
        <f t="array" ref="CM8">_xlfn.MAP('6 - TV Stands &amp; Enterta'!B8:B22, '6 - TV Stands &amp; Enterta'!CM8:CM22, '6 - TV Stands &amp; Enterta-WUO_ERR'!CM8:CM22, _xlfn.LAMBDA(_xlpm.part, _xlpm.val, _xlpm.error, IF(_xlpm.part = "", "", IF(LEN(_xlpm.error), _xlfn.SWITCH(IFERROR(_xlfn.TEXTBEFORE(_xlpm.error,":"), ""), "1", "Error", "2", "Disabled", "3", "Required", "4", "Warning", "Valid"), "Valid"))))</f>
        <v/>
      </c>
      <c r="CN8">
        <f t="array" ref="CN8">_xlfn.MAP('6 - TV Stands &amp; Enterta'!B8:B22, '6 - TV Stands &amp; Enterta'!CN8:CN22, '6 - TV Stands &amp; Enterta-WUO_ERR'!CN8:CN22, _xlfn.LAMBDA(_xlpm.part, _xlpm.val, _xlpm.error, IF(_xlpm.part = "", "", IF(LEN(_xlpm.error), _xlfn.SWITCH(IFERROR(_xlfn.TEXTBEFORE(_xlpm.error,":"), ""), "1", "Error", "2", "Disabled", "3", "Required", "4", "Warning", "Valid"), "Valid"))))</f>
        <v/>
      </c>
      <c r="CO8">
        <f t="array" ref="CO8">_xlfn.MAP('6 - TV Stands &amp; Enterta'!B8:B22, '6 - TV Stands &amp; Enterta'!CO8:CO22, '6 - TV Stands &amp; Enterta-WUO_ERR'!CO8:CO22, _xlfn.LAMBDA(_xlpm.part, _xlpm.val, _xlpm.error, IF(_xlpm.part = "", "", IF(LEN(_xlpm.error), _xlfn.SWITCH(IFERROR(_xlfn.TEXTBEFORE(_xlpm.error,":"), ""), "1", "Error", "2", "Disabled", "3", "Required", "4", "Warning", "Valid"), "Valid"))))</f>
        <v/>
      </c>
      <c r="CP8">
        <f t="array" ref="CP8">_xlfn.MAP('6 - TV Stands &amp; Enterta'!B8:B22, '6 - TV Stands &amp; Enterta'!CP8:CP22, '6 - TV Stands &amp; Enterta-WUO_ERR'!CP8:CP22, _xlfn.LAMBDA(_xlpm.part, _xlpm.val, _xlpm.error, IF(_xlpm.part = "", "", IF(LEN(_xlpm.error), _xlfn.SWITCH(IFERROR(_xlfn.TEXTBEFORE(_xlpm.error,":"), ""), "1", "Error", "2", "Disabled", "3", "Required", "4", "Warning", "Valid"), "Valid"))))</f>
        <v/>
      </c>
      <c r="CQ8">
        <f t="array" ref="CQ8">_xlfn.MAP('6 - TV Stands &amp; Enterta'!B8:B22, '6 - TV Stands &amp; Enterta'!CQ8:CQ22, '6 - TV Stands &amp; Enterta-WUO_ERR'!CQ8:CQ22, _xlfn.LAMBDA(_xlpm.part, _xlpm.val, _xlpm.error, IF(_xlpm.part = "", "", IF(LEN(_xlpm.error), _xlfn.SWITCH(IFERROR(_xlfn.TEXTBEFORE(_xlpm.error,":"), ""), "1", "Error", "2", "Disabled", "3", "Required", "4", "Warning", "Valid"), "Valid"))))</f>
        <v/>
      </c>
      <c r="CR8">
        <f t="array" ref="CR8">_xlfn.MAP('6 - TV Stands &amp; Enterta'!B8:B22, '6 - TV Stands &amp; Enterta'!CR8:CR22, '6 - TV Stands &amp; Enterta-WUO_ERR'!CR8:CR22, _xlfn.LAMBDA(_xlpm.part, _xlpm.val, _xlpm.error, IF(_xlpm.part = "", "", IF(LEN(_xlpm.error), _xlfn.SWITCH(IFERROR(_xlfn.TEXTBEFORE(_xlpm.error,":"), ""), "1", "Error", "2", "Disabled", "3", "Required", "4", "Warning", "Valid"), "Valid"))))</f>
        <v/>
      </c>
      <c r="CS8">
        <f t="array" ref="CS8">_xlfn.MAP('6 - TV Stands &amp; Enterta'!B8:B22, '6 - TV Stands &amp; Enterta'!CS8:CS22, '6 - TV Stands &amp; Enterta-WUO_ERR'!CS8:CS22, _xlfn.LAMBDA(_xlpm.part, _xlpm.val, _xlpm.error, IF(_xlpm.part = "", "", IF(LEN(_xlpm.error), _xlfn.SWITCH(IFERROR(_xlfn.TEXTBEFORE(_xlpm.error,":"), ""), "1", "Error", "2", "Disabled", "3", "Required", "4", "Warning", "Valid"), "Valid"))))</f>
        <v/>
      </c>
      <c r="CT8">
        <f t="array" ref="CT8">_xlfn.MAP('6 - TV Stands &amp; Enterta'!B8:B22, '6 - TV Stands &amp; Enterta'!CT8:CT22, '6 - TV Stands &amp; Enterta-WUO_ERR'!CT8:CT22, _xlfn.LAMBDA(_xlpm.part, _xlpm.val, _xlpm.error, IF(_xlpm.part = "", "", IF(LEN(_xlpm.error), _xlfn.SWITCH(IFERROR(_xlfn.TEXTBEFORE(_xlpm.error,":"), ""), "1", "Error", "2", "Disabled", "3", "Required", "4", "Warning", "Valid"), "Valid"))))</f>
        <v/>
      </c>
      <c r="CU8">
        <f t="array" ref="CU8">_xlfn.MAP('6 - TV Stands &amp; Enterta'!B8:B22, '6 - TV Stands &amp; Enterta'!CU8:CU22, '6 - TV Stands &amp; Enterta-WUO_ERR'!CU8:CU22, _xlfn.LAMBDA(_xlpm.part, _xlpm.val, _xlpm.error, IF(_xlpm.part = "", "", IF(LEN(_xlpm.error), _xlfn.SWITCH(IFERROR(_xlfn.TEXTBEFORE(_xlpm.error,":"), ""), "1", "Error", "2", "Disabled", "3", "Required", "4", "Warning", "Valid"), "Valid"))))</f>
        <v/>
      </c>
      <c r="CV8">
        <f t="array" ref="CV8">_xlfn.MAP('6 - TV Stands &amp; Enterta'!B8:B22, '6 - TV Stands &amp; Enterta'!CV8:CV22, '6 - TV Stands &amp; Enterta-WUO_ERR'!CV8:CV22, _xlfn.LAMBDA(_xlpm.part, _xlpm.val, _xlpm.error, IF(_xlpm.part = "", "", IF(LEN(_xlpm.error), _xlfn.SWITCH(IFERROR(_xlfn.TEXTBEFORE(_xlpm.error,":"), ""), "1", "Error", "2", "Disabled", "3", "Required", "4", "Warning", "Valid"), "Valid"))))</f>
        <v/>
      </c>
      <c r="CW8">
        <f t="array" ref="CW8">_xlfn.MAP('6 - TV Stands &amp; Enterta'!B8:B22, '6 - TV Stands &amp; Enterta'!CW8:CW22, '6 - TV Stands &amp; Enterta-WUO_ERR'!CW8:CW22, _xlfn.LAMBDA(_xlpm.part, _xlpm.val, _xlpm.error, IF(_xlpm.part = "", "", IF(LEN(_xlpm.error), _xlfn.SWITCH(IFERROR(_xlfn.TEXTBEFORE(_xlpm.error,":"), ""), "1", "Error", "2", "Disabled", "3", "Required", "4", "Warning", "Valid"), "Valid"))))</f>
        <v/>
      </c>
      <c r="CX8">
        <f t="array" ref="CX8">_xlfn.MAP('6 - TV Stands &amp; Enterta'!B8:B22, '6 - TV Stands &amp; Enterta'!CX8:CX22, '6 - TV Stands &amp; Enterta-WUO_ERR'!CX8:CX22, _xlfn.LAMBDA(_xlpm.part, _xlpm.val, _xlpm.error, IF(_xlpm.part = "", "", IF(LEN(_xlpm.error), _xlfn.SWITCH(IFERROR(_xlfn.TEXTBEFORE(_xlpm.error,":"), ""), "1", "Error", "2", "Disabled", "3", "Required", "4", "Warning", "Valid"), "Valid"))))</f>
        <v/>
      </c>
      <c r="CY8">
        <f t="array" ref="CY8">_xlfn.MAP('6 - TV Stands &amp; Enterta'!B8:B22, '6 - TV Stands &amp; Enterta'!CY8:CY22, '6 - TV Stands &amp; Enterta-WUO_ERR'!CY8:CY22, _xlfn.LAMBDA(_xlpm.part, _xlpm.val, _xlpm.error, IF(_xlpm.part = "", "", IF(LEN(_xlpm.error), _xlfn.SWITCH(IFERROR(_xlfn.TEXTBEFORE(_xlpm.error,":"), ""), "1", "Error", "2", "Disabled", "3", "Required", "4", "Warning", "Valid"), "Valid"))))</f>
        <v/>
      </c>
      <c r="CZ8">
        <f t="array" ref="CZ8">_xlfn.MAP('6 - TV Stands &amp; Enterta'!B8:B22, '6 - TV Stands &amp; Enterta'!CZ8:CZ22, '6 - TV Stands &amp; Enterta-WUO_ERR'!CZ8:CZ22, _xlfn.LAMBDA(_xlpm.part, _xlpm.val, _xlpm.error, IF(_xlpm.part = "", "", IF(LEN(_xlpm.error), _xlfn.SWITCH(IFERROR(_xlfn.TEXTBEFORE(_xlpm.error,":"), ""), "1", "Error", "2", "Disabled", "3", "Required", "4", "Warning", "Valid"), "Valid"))))</f>
        <v/>
      </c>
      <c r="DA8">
        <f t="array" ref="DA8">_xlfn.MAP('6 - TV Stands &amp; Enterta'!B8:B22, '6 - TV Stands &amp; Enterta'!DA8:DA22, '6 - TV Stands &amp; Enterta-WUO_ERR'!DA8:DA22, _xlfn.LAMBDA(_xlpm.part, _xlpm.val, _xlpm.error, IF(_xlpm.part = "", "", IF(LEN(_xlpm.error), _xlfn.SWITCH(IFERROR(_xlfn.TEXTBEFORE(_xlpm.error,":"), ""), "1", "Error", "2", "Disabled", "3", "Required", "4", "Warning", "Valid"), "Valid"))))</f>
        <v/>
      </c>
      <c r="DB8">
        <f t="array" ref="DB8">_xlfn.MAP('6 - TV Stands &amp; Enterta'!B8:B22, '6 - TV Stands &amp; Enterta'!DB8:DB22, '6 - TV Stands &amp; Enterta-WUO_ERR'!DB8:DB22, _xlfn.LAMBDA(_xlpm.part, _xlpm.val, _xlpm.error, IF(_xlpm.part = "", "", IF(LEN(_xlpm.error), _xlfn.SWITCH(IFERROR(_xlfn.TEXTBEFORE(_xlpm.error,":"), ""), "1", "Error", "2", "Disabled", "3", "Required", "4", "Warning", "Valid"), "Valid"))))</f>
        <v/>
      </c>
      <c r="DC8">
        <f t="array" ref="DC8">_xlfn.MAP('6 - TV Stands &amp; Enterta'!B8:B22, '6 - TV Stands &amp; Enterta'!DC8:DC22, '6 - TV Stands &amp; Enterta-WUO_ERR'!DC8:DC22, _xlfn.LAMBDA(_xlpm.part, _xlpm.val, _xlpm.error, IF(_xlpm.part = "", "", IF(LEN(_xlpm.error), _xlfn.SWITCH(IFERROR(_xlfn.TEXTBEFORE(_xlpm.error,":"), ""), "1", "Error", "2", "Disabled", "3", "Required", "4", "Warning", "Valid"), "Valid"))))</f>
        <v/>
      </c>
      <c r="DD8">
        <f t="array" ref="DD8">_xlfn.MAP('6 - TV Stands &amp; Enterta'!B8:B22, '6 - TV Stands &amp; Enterta'!DD8:DD22, '6 - TV Stands &amp; Enterta-WUO_ERR'!DD8:DD22, _xlfn.LAMBDA(_xlpm.part, _xlpm.val, _xlpm.error, IF(_xlpm.part = "", "", IF(LEN(_xlpm.error), _xlfn.SWITCH(IFERROR(_xlfn.TEXTBEFORE(_xlpm.error,":"), ""), "1", "Error", "2", "Disabled", "3", "Required", "4", "Warning", "Valid"), "Valid"))))</f>
        <v/>
      </c>
      <c r="DE8">
        <f t="array" ref="DE8">_xlfn.MAP('6 - TV Stands &amp; Enterta'!B8:B22, '6 - TV Stands &amp; Enterta'!DE8:DE22, '6 - TV Stands &amp; Enterta-WUO_ERR'!DE8:DE22, _xlfn.LAMBDA(_xlpm.part, _xlpm.val, _xlpm.error, IF(_xlpm.part = "", "", IF(LEN(_xlpm.error), _xlfn.SWITCH(IFERROR(_xlfn.TEXTBEFORE(_xlpm.error,":"), ""), "1", "Error", "2", "Disabled", "3", "Required", "4", "Warning", "Valid"), "Valid"))))</f>
        <v/>
      </c>
      <c r="DF8">
        <f t="array" ref="DF8">_xlfn.MAP('6 - TV Stands &amp; Enterta'!B8:B22, '6 - TV Stands &amp; Enterta'!DF8:DF22, '6 - TV Stands &amp; Enterta-WUO_ERR'!DF8:DF22, _xlfn.LAMBDA(_xlpm.part, _xlpm.val, _xlpm.error, IF(_xlpm.part = "", "", IF(LEN(_xlpm.error), _xlfn.SWITCH(IFERROR(_xlfn.TEXTBEFORE(_xlpm.error,":"), ""), "1", "Error", "2", "Disabled", "3", "Required", "4", "Warning", "Valid"), "Valid"))))</f>
        <v/>
      </c>
      <c r="DG8">
        <f t="array" ref="DG8">_xlfn.MAP('6 - TV Stands &amp; Enterta'!B8:B22, '6 - TV Stands &amp; Enterta'!DG8:DG22, '6 - TV Stands &amp; Enterta-WUO_ERR'!DG8:DG22, _xlfn.LAMBDA(_xlpm.part, _xlpm.val, _xlpm.error, IF(_xlpm.part = "", "", IF(LEN(_xlpm.error), _xlfn.SWITCH(IFERROR(_xlfn.TEXTBEFORE(_xlpm.error,":"), ""), "1", "Error", "2", "Disabled", "3", "Required", "4", "Warning", "Valid"), "Valid"))))</f>
        <v/>
      </c>
      <c r="DH8">
        <f t="array" ref="DH8">_xlfn.MAP('6 - TV Stands &amp; Enterta'!B8:B22, '6 - TV Stands &amp; Enterta'!DH8:DH22, '6 - TV Stands &amp; Enterta-WUO_ERR'!DH8:DH22, _xlfn.LAMBDA(_xlpm.part, _xlpm.val, _xlpm.error, IF(_xlpm.part = "", "", IF(LEN(_xlpm.error), _xlfn.SWITCH(IFERROR(_xlfn.TEXTBEFORE(_xlpm.error,":"), ""), "1", "Error", "2", "Disabled", "3", "Required", "4", "Warning", "Valid"), "Valid"))))</f>
        <v/>
      </c>
      <c r="DI8">
        <f t="array" ref="DI8">_xlfn.MAP('6 - TV Stands &amp; Enterta'!B8:B22, '6 - TV Stands &amp; Enterta'!DI8:DI22, '6 - TV Stands &amp; Enterta-WUO_ERR'!DI8:DI22, _xlfn.LAMBDA(_xlpm.part, _xlpm.val, _xlpm.error, IF(_xlpm.part = "", "", IF(LEN(_xlpm.error), _xlfn.SWITCH(IFERROR(_xlfn.TEXTBEFORE(_xlpm.error,":"), ""), "1", "Error", "2", "Disabled", "3", "Required", "4", "Warning", "Valid"), "Valid"))))</f>
        <v/>
      </c>
      <c r="DJ8">
        <f t="array" ref="DJ8">_xlfn.MAP('6 - TV Stands &amp; Enterta'!B8:B22, '6 - TV Stands &amp; Enterta'!DJ8:DJ22, '6 - TV Stands &amp; Enterta-WUO_ERR'!DJ8:DJ22, _xlfn.LAMBDA(_xlpm.part, _xlpm.val, _xlpm.error, IF(_xlpm.part = "", "", IF(LEN(_xlpm.error), _xlfn.SWITCH(IFERROR(_xlfn.TEXTBEFORE(_xlpm.error,":"), ""), "1", "Error", "2", "Disabled", "3", "Required", "4", "Warning", "Valid"), "Valid"))))</f>
        <v/>
      </c>
      <c r="DK8">
        <f t="array" ref="DK8">_xlfn.MAP('6 - TV Stands &amp; Enterta'!B8:B22, '6 - TV Stands &amp; Enterta'!DK8:DK22, '6 - TV Stands &amp; Enterta-WUO_ERR'!DK8:DK22, _xlfn.LAMBDA(_xlpm.part, _xlpm.val, _xlpm.error, IF(_xlpm.part = "", "", IF(LEN(_xlpm.error), _xlfn.SWITCH(IFERROR(_xlfn.TEXTBEFORE(_xlpm.error,":"), ""), "1", "Error", "2", "Disabled", "3", "Required", "4", "Warning", "Valid"), "Valid"))))</f>
        <v/>
      </c>
      <c r="DL8">
        <f t="array" ref="DL8">_xlfn.MAP('6 - TV Stands &amp; Enterta'!B8:B22, '6 - TV Stands &amp; Enterta'!DL8:DL22, '6 - TV Stands &amp; Enterta-WUO_ERR'!DL8:DL22, _xlfn.LAMBDA(_xlpm.part, _xlpm.val, _xlpm.error, IF(_xlpm.part = "", "", IF(LEN(_xlpm.error), _xlfn.SWITCH(IFERROR(_xlfn.TEXTBEFORE(_xlpm.error,":"), ""), "1", "Error", "2", "Disabled", "3", "Required", "4", "Warning", "Valid"), "Valid"))))</f>
        <v/>
      </c>
      <c r="DM8">
        <f t="array" ref="DM8">_xlfn.MAP('6 - TV Stands &amp; Enterta'!B8:B22, '6 - TV Stands &amp; Enterta'!DM8:DM22, '6 - TV Stands &amp; Enterta-WUO_ERR'!DM8:DM22, _xlfn.LAMBDA(_xlpm.part, _xlpm.val, _xlpm.error, IF(_xlpm.part = "", "", IF(LEN(_xlpm.error), _xlfn.SWITCH(IFERROR(_xlfn.TEXTBEFORE(_xlpm.error,":"), ""), "1", "Error", "2", "Disabled", "3", "Required", "4", "Warning", "Valid"), "Valid"))))</f>
        <v/>
      </c>
      <c r="DN8">
        <f t="array" ref="DN8">_xlfn.MAP('6 - TV Stands &amp; Enterta'!B8:B22, '6 - TV Stands &amp; Enterta'!DN8:DN22, '6 - TV Stands &amp; Enterta-WUO_ERR'!DN8:DN22, _xlfn.LAMBDA(_xlpm.part, _xlpm.val, _xlpm.error, IF(_xlpm.part = "", "", IF(LEN(_xlpm.error), _xlfn.SWITCH(IFERROR(_xlfn.TEXTBEFORE(_xlpm.error,":"), ""), "1", "Error", "2", "Disabled", "3", "Required", "4", "Warning", "Valid"), "Valid"))))</f>
        <v/>
      </c>
      <c r="DO8">
        <f t="array" ref="DO8">_xlfn.MAP('6 - TV Stands &amp; Enterta'!B8:B22, '6 - TV Stands &amp; Enterta'!DO8:DO22, '6 - TV Stands &amp; Enterta-WUO_ERR'!DO8:DO22, _xlfn.LAMBDA(_xlpm.part, _xlpm.val, _xlpm.error, IF(_xlpm.part = "", "", IF(LEN(_xlpm.error), _xlfn.SWITCH(IFERROR(_xlfn.TEXTBEFORE(_xlpm.error,":"), ""), "1", "Error", "2", "Disabled", "3", "Required", "4", "Warning", "Valid"), "Valid"))))</f>
        <v/>
      </c>
      <c r="DP8">
        <f t="array" ref="DP8">_xlfn.MAP('6 - TV Stands &amp; Enterta'!B8:B22, '6 - TV Stands &amp; Enterta'!DP8:DP22, '6 - TV Stands &amp; Enterta-WUO_ERR'!DP8:DP22, _xlfn.LAMBDA(_xlpm.part, _xlpm.val, _xlpm.error, IF(_xlpm.part = "", "", IF(LEN(_xlpm.error), _xlfn.SWITCH(IFERROR(_xlfn.TEXTBEFORE(_xlpm.error,":"), ""), "1", "Error", "2", "Disabled", "3", "Required", "4", "Warning", "Valid"), "Valid"))))</f>
        <v/>
      </c>
      <c r="DQ8">
        <f t="array" ref="DQ8">_xlfn.MAP('6 - TV Stands &amp; Enterta'!B8:B22, '6 - TV Stands &amp; Enterta'!DQ8:DQ22, '6 - TV Stands &amp; Enterta-WUO_ERR'!DQ8:DQ22, _xlfn.LAMBDA(_xlpm.part, _xlpm.val, _xlpm.error, IF(_xlpm.part = "", "", IF(LEN(_xlpm.error), _xlfn.SWITCH(IFERROR(_xlfn.TEXTBEFORE(_xlpm.error,":"), ""), "1", "Error", "2", "Disabled", "3", "Required", "4", "Warning", "Valid"), "Valid"))))</f>
        <v/>
      </c>
      <c r="DR8">
        <f t="array" ref="DR8">_xlfn.MAP('6 - TV Stands &amp; Enterta'!B8:B22, '6 - TV Stands &amp; Enterta'!DR8:DR22, '6 - TV Stands &amp; Enterta-WUO_ERR'!DR8:DR22, _xlfn.LAMBDA(_xlpm.part, _xlpm.val, _xlpm.error, IF(_xlpm.part = "", "", IF(LEN(_xlpm.error), _xlfn.SWITCH(IFERROR(_xlfn.TEXTBEFORE(_xlpm.error,":"), ""), "1", "Error", "2", "Disabled", "3", "Required", "4", "Warning", "Valid"), "Valid"))))</f>
        <v/>
      </c>
      <c r="DS8">
        <f t="array" ref="DS8">_xlfn.MAP('6 - TV Stands &amp; Enterta'!B8:B22, '6 - TV Stands &amp; Enterta'!DS8:DS22, '6 - TV Stands &amp; Enterta-WUO_ERR'!DS8:DS22, _xlfn.LAMBDA(_xlpm.part, _xlpm.val, _xlpm.error, IF(_xlpm.part = "", "", IF(LEN(_xlpm.error), _xlfn.SWITCH(IFERROR(_xlfn.TEXTBEFORE(_xlpm.error,":"), ""), "1", "Error", "2", "Disabled", "3", "Required", "4", "Warning", "Valid"), "Valid"))))</f>
        <v/>
      </c>
      <c r="DT8">
        <f t="array" ref="DT8">_xlfn.MAP('6 - TV Stands &amp; Enterta'!B8:B22, '6 - TV Stands &amp; Enterta'!DT8:DT22, '6 - TV Stands &amp; Enterta-WUO_ERR'!DT8:DT22, _xlfn.LAMBDA(_xlpm.part, _xlpm.val, _xlpm.error, IF(_xlpm.part = "", "", IF(LEN(_xlpm.error), _xlfn.SWITCH(IFERROR(_xlfn.TEXTBEFORE(_xlpm.error,":"), ""), "1", "Error", "2", "Disabled", "3", "Required", "4", "Warning", "Valid"), "Valid"))))</f>
        <v/>
      </c>
      <c r="DU8">
        <f t="array" ref="DU8">_xlfn.MAP('6 - TV Stands &amp; Enterta'!B8:B22, '6 - TV Stands &amp; Enterta'!DU8:DU22, '6 - TV Stands &amp; Enterta-WUO_ERR'!DU8:DU22, _xlfn.LAMBDA(_xlpm.part, _xlpm.val, _xlpm.error, IF(_xlpm.part = "", "", IF(LEN(_xlpm.error), _xlfn.SWITCH(IFERROR(_xlfn.TEXTBEFORE(_xlpm.error,":"), ""), "1", "Error", "2", "Disabled", "3", "Required", "4", "Warning", "Valid"), "Valid"))))</f>
        <v/>
      </c>
      <c r="DV8">
        <f t="array" ref="DV8">_xlfn.MAP('6 - TV Stands &amp; Enterta'!B8:B22, '6 - TV Stands &amp; Enterta'!DV8:DV22, '6 - TV Stands &amp; Enterta-WUO_ERR'!DV8:DV22, _xlfn.LAMBDA(_xlpm.part, _xlpm.val, _xlpm.error, IF(_xlpm.part = "", "", IF(LEN(_xlpm.error), _xlfn.SWITCH(IFERROR(_xlfn.TEXTBEFORE(_xlpm.error,":"), ""), "1", "Error", "2", "Disabled", "3", "Required", "4", "Warning", "Valid"), "Valid"))))</f>
        <v/>
      </c>
      <c r="DW8">
        <f t="array" ref="DW8">_xlfn.MAP('6 - TV Stands &amp; Enterta'!B8:B22, '6 - TV Stands &amp; Enterta'!DW8:DW22, '6 - TV Stands &amp; Enterta-WUO_ERR'!DW8:DW22, _xlfn.LAMBDA(_xlpm.part, _xlpm.val, _xlpm.error, IF(_xlpm.part = "", "", IF(LEN(_xlpm.error), _xlfn.SWITCH(IFERROR(_xlfn.TEXTBEFORE(_xlpm.error,":"), ""), "1", "Error", "2", "Disabled", "3", "Required", "4", "Warning", "Valid"), "Valid"))))</f>
        <v/>
      </c>
      <c r="DX8">
        <f t="array" ref="DX8">_xlfn.MAP('6 - TV Stands &amp; Enterta'!B8:B22, '6 - TV Stands &amp; Enterta'!DX8:DX22, '6 - TV Stands &amp; Enterta-WUO_ERR'!DX8:DX22, _xlfn.LAMBDA(_xlpm.part, _xlpm.val, _xlpm.error, IF(_xlpm.part = "", "", IF(LEN(_xlpm.error), _xlfn.SWITCH(IFERROR(_xlfn.TEXTBEFORE(_xlpm.error,":"), ""), "1", "Error", "2", "Disabled", "3", "Required", "4", "Warning", "Valid"), "Valid"))))</f>
        <v/>
      </c>
      <c r="DY8">
        <f t="array" ref="DY8">_xlfn.MAP('6 - TV Stands &amp; Enterta'!B8:B22, '6 - TV Stands &amp; Enterta'!DY8:DY22, '6 - TV Stands &amp; Enterta-WUO_ERR'!DY8:DY22, _xlfn.LAMBDA(_xlpm.part, _xlpm.val, _xlpm.error, IF(_xlpm.part = "", "", IF(LEN(_xlpm.error), _xlfn.SWITCH(IFERROR(_xlfn.TEXTBEFORE(_xlpm.error,":"), ""), "1", "Error", "2", "Disabled", "3", "Required", "4", "Warning", "Valid"), "Valid"))))</f>
        <v/>
      </c>
      <c r="DZ8">
        <f t="array" ref="DZ8">_xlfn.MAP('6 - TV Stands &amp; Enterta'!B8:B22, '6 - TV Stands &amp; Enterta'!DZ8:DZ22, '6 - TV Stands &amp; Enterta-WUO_ERR'!DZ8:DZ22, _xlfn.LAMBDA(_xlpm.part, _xlpm.val, _xlpm.error, IF(_xlpm.part = "", "", IF(LEN(_xlpm.error), _xlfn.SWITCH(IFERROR(_xlfn.TEXTBEFORE(_xlpm.error,":"), ""), "1", "Error", "2", "Disabled", "3", "Required", "4", "Warning", "Valid"), "Valid"))))</f>
        <v/>
      </c>
      <c r="EA8">
        <f t="array" ref="EA8">_xlfn.MAP('6 - TV Stands &amp; Enterta'!B8:B22, '6 - TV Stands &amp; Enterta'!EA8:EA22, '6 - TV Stands &amp; Enterta-WUO_ERR'!EA8:EA22, _xlfn.LAMBDA(_xlpm.part, _xlpm.val, _xlpm.error, IF(_xlpm.part = "", "", IF(LEN(_xlpm.error), _xlfn.SWITCH(IFERROR(_xlfn.TEXTBEFORE(_xlpm.error,":"), ""), "1", "Error", "2", "Disabled", "3", "Required", "4", "Warning", "Valid"), "Valid"))))</f>
        <v/>
      </c>
      <c r="EB8">
        <f t="array" ref="EB8">_xlfn.MAP('6 - TV Stands &amp; Enterta'!B8:B22, '6 - TV Stands &amp; Enterta'!EB8:EB22, '6 - TV Stands &amp; Enterta-WUO_ERR'!EB8:EB22, _xlfn.LAMBDA(_xlpm.part, _xlpm.val, _xlpm.error, IF(_xlpm.part = "", "", IF(LEN(_xlpm.error), _xlfn.SWITCH(IFERROR(_xlfn.TEXTBEFORE(_xlpm.error,":"), ""), "1", "Error", "2", "Disabled", "3", "Required", "4", "Warning", "Valid"), "Valid"))))</f>
        <v/>
      </c>
      <c r="EC8">
        <f t="array" ref="EC8">_xlfn.MAP('6 - TV Stands &amp; Enterta'!B8:B22, '6 - TV Stands &amp; Enterta'!EC8:EC22, '6 - TV Stands &amp; Enterta-WUO_ERR'!EC8:EC22, _xlfn.LAMBDA(_xlpm.part, _xlpm.val, _xlpm.error, IF(_xlpm.part = "", "", IF(LEN(_xlpm.error), _xlfn.SWITCH(IFERROR(_xlfn.TEXTBEFORE(_xlpm.error,":"), ""), "1", "Error", "2", "Disabled", "3", "Required", "4", "Warning", "Valid"), "Valid"))))</f>
        <v/>
      </c>
      <c r="ED8">
        <f t="array" ref="ED8">_xlfn.MAP('6 - TV Stands &amp; Enterta'!B8:B22, '6 - TV Stands &amp; Enterta'!ED8:ED22, '6 - TV Stands &amp; Enterta-WUO_ERR'!ED8:ED22, _xlfn.LAMBDA(_xlpm.part, _xlpm.val, _xlpm.error, IF(_xlpm.part = "", "", IF(LEN(_xlpm.error), _xlfn.SWITCH(IFERROR(_xlfn.TEXTBEFORE(_xlpm.error,":"), ""), "1", "Error", "2", "Disabled", "3", "Required", "4", "Warning", "Valid"), "Valid"))))</f>
        <v/>
      </c>
      <c r="EE8">
        <f t="array" ref="EE8">_xlfn.MAP('6 - TV Stands &amp; Enterta'!B8:B22, '6 - TV Stands &amp; Enterta'!EE8:EE22, '6 - TV Stands &amp; Enterta-WUO_ERR'!EE8:EE22, _xlfn.LAMBDA(_xlpm.part, _xlpm.val, _xlpm.error, IF(_xlpm.part = "", "", IF(LEN(_xlpm.error), _xlfn.SWITCH(IFERROR(_xlfn.TEXTBEFORE(_xlpm.error,":"), ""), "1", "Error", "2", "Disabled", "3", "Required", "4", "Warning", "Valid"), "Valid"))))</f>
        <v/>
      </c>
      <c r="EF8">
        <f t="array" ref="EF8">_xlfn.MAP('6 - TV Stands &amp; Enterta'!B8:B22, '6 - TV Stands &amp; Enterta'!EF8:EF22, '6 - TV Stands &amp; Enterta-WUO_ERR'!EF8:EF22, _xlfn.LAMBDA(_xlpm.part, _xlpm.val, _xlpm.error, IF(_xlpm.part = "", "", IF(LEN(_xlpm.error), _xlfn.SWITCH(IFERROR(_xlfn.TEXTBEFORE(_xlpm.error,":"), ""), "1", "Error", "2", "Disabled", "3", "Required", "4", "Warning", "Valid"), "Valid"))))</f>
        <v/>
      </c>
      <c r="EG8">
        <f t="array" ref="EG8">_xlfn.MAP('6 - TV Stands &amp; Enterta'!B8:B22, '6 - TV Stands &amp; Enterta'!EG8:EG22, '6 - TV Stands &amp; Enterta-WUO_ERR'!EG8:EG22, _xlfn.LAMBDA(_xlpm.part, _xlpm.val, _xlpm.error, IF(_xlpm.part = "", "", IF(LEN(_xlpm.error), _xlfn.SWITCH(IFERROR(_xlfn.TEXTBEFORE(_xlpm.error,":"), ""), "1", "Error", "2", "Disabled", "3", "Required", "4", "Warning", "Valid"), "Valid"))))</f>
        <v/>
      </c>
      <c r="EH8">
        <f t="array" ref="EH8">_xlfn.MAP('6 - TV Stands &amp; Enterta'!B8:B22, '6 - TV Stands &amp; Enterta'!EH8:EH22, '6 - TV Stands &amp; Enterta-WUO_ERR'!EH8:EH22, _xlfn.LAMBDA(_xlpm.part, _xlpm.val, _xlpm.error, IF(_xlpm.part = "", "", IF(LEN(_xlpm.error), _xlfn.SWITCH(IFERROR(_xlfn.TEXTBEFORE(_xlpm.error,":"), ""), "1", "Error", "2", "Disabled", "3", "Required", "4", "Warning", "Valid"), "Valid"))))</f>
        <v/>
      </c>
      <c r="EI8">
        <f t="array" ref="EI8">_xlfn.MAP('6 - TV Stands &amp; Enterta'!B8:B22, '6 - TV Stands &amp; Enterta'!EI8:EI22, '6 - TV Stands &amp; Enterta-WUO_ERR'!EI8:EI22, _xlfn.LAMBDA(_xlpm.part, _xlpm.val, _xlpm.error, IF(_xlpm.part = "", "", IF(LEN(_xlpm.error), _xlfn.SWITCH(IFERROR(_xlfn.TEXTBEFORE(_xlpm.error,":"), ""), "1", "Error", "2", "Disabled", "3", "Required", "4", "Warning", "Valid"), "Valid"))))</f>
        <v/>
      </c>
      <c r="EJ8">
        <f t="array" ref="EJ8">_xlfn.MAP('6 - TV Stands &amp; Enterta'!B8:B22, '6 - TV Stands &amp; Enterta'!EJ8:EJ22, '6 - TV Stands &amp; Enterta-WUO_ERR'!EJ8:EJ22, _xlfn.LAMBDA(_xlpm.part, _xlpm.val, _xlpm.error, IF(_xlpm.part = "", "", IF(LEN(_xlpm.error), _xlfn.SWITCH(IFERROR(_xlfn.TEXTBEFORE(_xlpm.error,":"), ""), "1", "Error", "2", "Disabled", "3", "Required", "4", "Warning", "Valid"), "Valid"))))</f>
        <v/>
      </c>
      <c r="EK8">
        <f t="array" ref="EK8">_xlfn.MAP('6 - TV Stands &amp; Enterta'!B8:B22, '6 - TV Stands &amp; Enterta'!EK8:EK22, '6 - TV Stands &amp; Enterta-WUO_ERR'!EK8:EK22, _xlfn.LAMBDA(_xlpm.part, _xlpm.val, _xlpm.error, IF(_xlpm.part = "", "", IF(LEN(_xlpm.error), _xlfn.SWITCH(IFERROR(_xlfn.TEXTBEFORE(_xlpm.error,":"), ""), "1", "Error", "2", "Disabled", "3", "Required", "4", "Warning", "Valid"), "Valid"))))</f>
        <v/>
      </c>
      <c r="EL8">
        <f t="array" ref="EL8">_xlfn.MAP('6 - TV Stands &amp; Enterta'!B8:B22, '6 - TV Stands &amp; Enterta'!EL8:EL22, '6 - TV Stands &amp; Enterta-WUO_ERR'!EL8:EL22, _xlfn.LAMBDA(_xlpm.part, _xlpm.val, _xlpm.error, IF(_xlpm.part = "", "", IF(LEN(_xlpm.error), _xlfn.SWITCH(IFERROR(_xlfn.TEXTBEFORE(_xlpm.error,":"), ""), "1", "Error", "2", "Disabled", "3", "Required", "4", "Warning", "Valid"), "Valid"))))</f>
        <v/>
      </c>
      <c r="EM8">
        <f t="array" ref="EM8">_xlfn.MAP('6 - TV Stands &amp; Enterta'!B8:B22, '6 - TV Stands &amp; Enterta'!EM8:EM22, '6 - TV Stands &amp; Enterta-WUO_ERR'!EM8:EM22, _xlfn.LAMBDA(_xlpm.part, _xlpm.val, _xlpm.error, IF(_xlpm.part = "", "", IF(LEN(_xlpm.error), _xlfn.SWITCH(IFERROR(_xlfn.TEXTBEFORE(_xlpm.error,":"), ""), "1", "Error", "2", "Disabled", "3", "Required", "4", "Warning", "Valid"), "Valid"))))</f>
        <v/>
      </c>
      <c r="EN8">
        <f t="array" ref="EN8">_xlfn.MAP('6 - TV Stands &amp; Enterta'!B8:B22, '6 - TV Stands &amp; Enterta'!EN8:EN22, '6 - TV Stands &amp; Enterta-WUO_ERR'!EN8:EN22, _xlfn.LAMBDA(_xlpm.part, _xlpm.val, _xlpm.error, IF(_xlpm.part = "", "", IF(LEN(_xlpm.error), _xlfn.SWITCH(IFERROR(_xlfn.TEXTBEFORE(_xlpm.error,":"), ""), "1", "Error", "2", "Disabled", "3", "Required", "4", "Warning", "Valid"), "Valid"))))</f>
        <v/>
      </c>
      <c r="EO8">
        <f t="array" ref="EO8">_xlfn.MAP('6 - TV Stands &amp; Enterta'!B8:B22, '6 - TV Stands &amp; Enterta'!EO8:EO22, '6 - TV Stands &amp; Enterta-WUO_ERR'!EO8:EO22, _xlfn.LAMBDA(_xlpm.part, _xlpm.val, _xlpm.error, IF(_xlpm.part = "", "", IF(LEN(_xlpm.error), _xlfn.SWITCH(IFERROR(_xlfn.TEXTBEFORE(_xlpm.error,":"), ""), "1", "Error", "2", "Disabled", "3", "Required", "4", "Warning", "Valid"), "Valid"))))</f>
        <v/>
      </c>
      <c r="EP8">
        <f t="array" ref="EP8">_xlfn.MAP('6 - TV Stands &amp; Enterta'!B8:B22, '6 - TV Stands &amp; Enterta'!EP8:EP22, '6 - TV Stands &amp; Enterta-WUO_ERR'!EP8:EP22, _xlfn.LAMBDA(_xlpm.part, _xlpm.val, _xlpm.error, IF(_xlpm.part = "", "", IF(LEN(_xlpm.error), _xlfn.SWITCH(IFERROR(_xlfn.TEXTBEFORE(_xlpm.error,":"), ""), "1", "Error", "2", "Disabled", "3", "Required", "4", "Warning", "Valid"), "Valid"))))</f>
        <v/>
      </c>
      <c r="EQ8">
        <f t="array" ref="EQ8">_xlfn.MAP('6 - TV Stands &amp; Enterta'!B8:B22, '6 - TV Stands &amp; Enterta'!EQ8:EQ22, '6 - TV Stands &amp; Enterta-WUO_ERR'!EQ8:EQ22, _xlfn.LAMBDA(_xlpm.part, _xlpm.val, _xlpm.error, IF(_xlpm.part = "", "", IF(LEN(_xlpm.error), _xlfn.SWITCH(IFERROR(_xlfn.TEXTBEFORE(_xlpm.error,":"), ""), "1", "Error", "2", "Disabled", "3", "Required", "4", "Warning", "Valid"), "Valid"))))</f>
        <v/>
      </c>
      <c r="ER8">
        <f t="array" ref="ER8">_xlfn.MAP('6 - TV Stands &amp; Enterta'!B8:B22, '6 - TV Stands &amp; Enterta'!ER8:ER22, '6 - TV Stands &amp; Enterta-WUO_ERR'!ER8:ER22, _xlfn.LAMBDA(_xlpm.part, _xlpm.val, _xlpm.error, IF(_xlpm.part = "", "", IF(LEN(_xlpm.error), _xlfn.SWITCH(IFERROR(_xlfn.TEXTBEFORE(_xlpm.error,":"), ""), "1", "Error", "2", "Disabled", "3", "Required", "4", "Warning", "Valid"), "Valid"))))</f>
        <v/>
      </c>
      <c r="ES8">
        <f t="array" ref="ES8">_xlfn.MAP('6 - TV Stands &amp; Enterta'!B8:B22, '6 - TV Stands &amp; Enterta'!ES8:ES22, '6 - TV Stands &amp; Enterta-WUO_ERR'!ES8:ES22, _xlfn.LAMBDA(_xlpm.part, _xlpm.val, _xlpm.error, IF(_xlpm.part = "", "", IF(LEN(_xlpm.error), _xlfn.SWITCH(IFERROR(_xlfn.TEXTBEFORE(_xlpm.error,":"), ""), "1", "Error", "2", "Disabled", "3", "Required", "4", "Warning", "Valid"), "Valid"))))</f>
        <v/>
      </c>
      <c r="ET8">
        <f t="array" ref="ET8">_xlfn.MAP('6 - TV Stands &amp; Enterta'!B8:B22, '6 - TV Stands &amp; Enterta'!ET8:ET22, '6 - TV Stands &amp; Enterta-WUO_ERR'!ET8:ET22,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8.7109375" customWidth="1" min="3" max="4"/>
    <col width="17.7109375" customWidth="1" min="5" max="6"/>
    <col hidden="1" min="26" max="2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2">
      <c r="B2" s="22" t="inlineStr">
        <is>
          <t>Basic Information</t>
        </is>
      </c>
      <c r="C2" s="26" t="inlineStr">
        <is>
          <t>Carton Details</t>
        </is>
      </c>
      <c r="D2" s="41" t="n"/>
      <c r="E2" s="41" t="n"/>
      <c r="F2" s="42" t="n"/>
    </row>
    <row r="3">
      <c r="B3" s="30" t="inlineStr">
        <is>
          <t>Required</t>
        </is>
      </c>
      <c r="C3" s="30" t="inlineStr">
        <is>
          <t>Conditional</t>
        </is>
      </c>
      <c r="D3" s="30" t="inlineStr">
        <is>
          <t>Conditional</t>
        </is>
      </c>
      <c r="E3" s="30" t="inlineStr">
        <is>
          <t>Conditional</t>
        </is>
      </c>
      <c r="F3" s="30"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A6" s="33" t="inlineStr">
        <is>
          <t>Read-Only</t>
        </is>
      </c>
      <c r="B6" s="33" t="inlineStr">
        <is>
          <t>Text</t>
        </is>
      </c>
      <c r="C6" s="33" t="inlineStr">
        <is>
          <t>Number</t>
        </is>
      </c>
      <c r="D6" s="33" t="inlineStr">
        <is>
          <t>Number</t>
        </is>
      </c>
      <c r="E6" s="33" t="inlineStr">
        <is>
          <t>Number</t>
        </is>
      </c>
      <c r="F6" s="33" t="inlineStr">
        <is>
          <t>Number</t>
        </is>
      </c>
    </row>
    <row r="7">
      <c r="A7" s="37">
        <f>IF('Additional Cartons'!B7 = "", "", IF('Additional Cartons-WUO_ERR'!A7 = "", "Validated", HYPERLINK("#" &amp; ADDRESS(7, 'Additional Cartons-WUO_TRK'!A7),_xlfn.TEXTAFTER('Additional Cartons-WUO_ERR'!A7, ":"))))</f>
        <v/>
      </c>
      <c r="Z7">
        <f t="array" ref="Z7">IF(B7:B7="", "", IFERROR(_xlfn.XLOOKUP(B7:B7, _xlfn.VSTACK('6 - TV Stands &amp; Enterta'!B7:B507), _xlfn.VSTACK('6 - TV Stands &amp; Enterta'!G7:G507)), ""))</f>
        <v/>
      </c>
    </row>
  </sheetData>
  <mergeCells count="1">
    <mergeCell ref="C2:F2"/>
  </mergeCells>
  <conditionalFormatting sqref="A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Cartons'!B7:B7, 'Additional Cartons'!B7:B7,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Cartons'!B7:B7, 'Additional Cartons'!C7:C7, 'Additional Cartons'!D7:D7, 'Additional Cartons'!E7:E7, 'Additional Cartons'!F7:F7,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f t="array" ref="D7">_xlfn.MAP('Additional Cartons'!B7:B7, 'Additional Cartons'!D7:D7, 'Additional Cartons'!C7:C7, 'Additional Cartons'!E7:E7, 'Additional Cartons'!F7:F7,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f t="array" ref="E7">_xlfn.MAP('Additional Cartons'!B7:B7, 'Additional Cartons'!E7:E7, 'Additional Cartons'!C7:C7, 'Additional Cartons'!D7:D7, 'Additional Cartons'!F7:F7,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f t="array" ref="F7">_xlfn.MAP('Additional Cartons'!B7:B7, 'Additional Cartons'!F7:F7, 'Additional Cartons'!C7:C7, 'Additional Cartons'!D7:D7, 'Additional Cartons'!E7:E7,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_xlfn.LET(_xlpm.high_priority_idx, IFERROR(MATCH(TRUE, (_xlpm.r = "Error") + (_xlpm.r = "Required") &gt; 0, 0), 0), IF(_xlpm.high_priority_idx &gt; 0, _xlpm.high_priority_idx + 1, IFERROR(MATCH(1, (_xlpm.r = "Warning") * 1, 0) + 1, "")))))</f>
        <v/>
      </c>
      <c r="B7">
        <f t="array" ref="B7">_xlfn.MAP('Additional Cartons'!B7:B7, 'Additional Cartons'!B7:B7, 'Additional Cartons-WUO_ERR'!B7:B7, _xlfn.LAMBDA(_xlpm.part, _xlpm.val, _xlpm.error, IF(_xlpm.part = "", "", IF(LEN(_xlpm.error), _xlfn.SWITCH(IFERROR(_xlfn.TEXTBEFORE(_xlpm.error,":"), ""), "1", "Error", "2", "Disabled", "3", "Required", "4", "Warning", "Valid"), "Valid"))))</f>
        <v/>
      </c>
      <c r="C7">
        <f t="array" ref="C7">_xlfn.MAP('Additional Cartons'!B7:B7, 'Additional Cartons'!C7:C7, 'Additional Cartons-WUO_ERR'!C7:C7, _xlfn.LAMBDA(_xlpm.part, _xlpm.val, _xlpm.error, IF(_xlpm.part = "", "", IF(LEN(_xlpm.error), _xlfn.SWITCH(IFERROR(_xlfn.TEXTBEFORE(_xlpm.error,":"), ""), "1", "Error", "2", "Disabled", "3", "Required", "4", "Warning", "Valid"), "Valid"))))</f>
        <v/>
      </c>
      <c r="D7">
        <f t="array" ref="D7">_xlfn.MAP('Additional Cartons'!B7:B7, 'Additional Cartons'!D7:D7, 'Additional Cartons-WUO_ERR'!D7:D7, _xlfn.LAMBDA(_xlpm.part, _xlpm.val, _xlpm.error, IF(_xlpm.part = "", "", IF(LEN(_xlpm.error), _xlfn.SWITCH(IFERROR(_xlfn.TEXTBEFORE(_xlpm.error,":"), ""), "1", "Error", "2", "Disabled", "3", "Required", "4", "Warning", "Valid"), "Valid"))))</f>
        <v/>
      </c>
      <c r="E7">
        <f t="array" ref="E7">_xlfn.MAP('Additional Cartons'!B7:B7, 'Additional Cartons'!E7:E7, 'Additional Cartons-WUO_ERR'!E7:E7, _xlfn.LAMBDA(_xlpm.part, _xlpm.val, _xlpm.error, IF(_xlpm.part = "", "", IF(LEN(_xlpm.error), _xlfn.SWITCH(IFERROR(_xlfn.TEXTBEFORE(_xlpm.error,":"), ""), "1", "Error", "2", "Disabled", "3", "Required", "4", "Warning", "Valid"), "Valid"))))</f>
        <v/>
      </c>
      <c r="F7">
        <f t="array" ref="F7">_xlfn.MAP('Additional Cartons'!B7:B7, 'Additional Cartons'!F7:F7, 'Additional Cartons-WUO_ERR'!F7:F7,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3.7109375" customWidth="1" min="3" max="4"/>
    <col hidden="1" min="26" max="26"/>
  </cols>
  <sheetData>
    <row r="1" hidden="1">
      <c r="B1" t="inlineStr">
        <is>
          <t>core::supplierPartNumber</t>
        </is>
      </c>
      <c r="C1" t="inlineStr">
        <is>
          <t>propSixtyFive::chemicalId</t>
        </is>
      </c>
      <c r="D1" t="inlineStr">
        <is>
          <t>propSixtyFive::toxicity</t>
        </is>
      </c>
    </row>
    <row r="2">
      <c r="B2" s="22" t="inlineStr">
        <is>
          <t>Basic Information</t>
        </is>
      </c>
      <c r="C2" s="27" t="inlineStr">
        <is>
          <t>Compliance</t>
        </is>
      </c>
      <c r="D2" s="42" t="n"/>
    </row>
    <row r="3">
      <c r="B3" s="30" t="inlineStr">
        <is>
          <t>Required</t>
        </is>
      </c>
      <c r="C3" s="30" t="inlineStr">
        <is>
          <t>Conditional</t>
        </is>
      </c>
      <c r="D3" s="30" t="inlineStr">
        <is>
          <t>Conditional</t>
        </is>
      </c>
    </row>
    <row r="4" ht="50" customHeight="1">
      <c r="A4" s="19" t="inlineStr">
        <is>
          <t>Errors</t>
        </is>
      </c>
      <c r="B4" s="19" t="inlineStr">
        <is>
          <t>Supplier Part Number</t>
        </is>
      </c>
      <c r="C4" s="19" t="inlineStr">
        <is>
          <t>Chemical</t>
        </is>
      </c>
      <c r="D4" s="19" t="inlineStr">
        <is>
          <t>Toxicity</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A6" s="33" t="inlineStr">
        <is>
          <t>Read-Only</t>
        </is>
      </c>
      <c r="B6" s="33" t="inlineStr">
        <is>
          <t>Text</t>
        </is>
      </c>
      <c r="C6" s="34" t="inlineStr">
        <is>
          <t>Select</t>
        </is>
      </c>
      <c r="D6" s="34" t="inlineStr">
        <is>
          <t>Please choose one or more from the following, using a semicolon (;) to separate each value: Cancer; Developmental</t>
        </is>
      </c>
    </row>
    <row r="7">
      <c r="A7" s="37">
        <f>IF('Additional Chemicals'!B7 = "", "", IF('Additional Chemicals-WUO_ERR'!A7 = "", "Validated", HYPERLINK("#" &amp; ADDRESS(7, 'Additional Chemicals-WUO_TRK'!A7),_xlfn.TEXTAFTER('Additional Chemicals-WUO_ERR'!A7, ":"))))</f>
        <v/>
      </c>
      <c r="Z7">
        <f t="array" ref="Z7">IF(B7:B7="", "", IFERROR(_xlfn.XLOOKUP(B7:B7, _xlfn.VSTACK('6 - TV Stands &amp; Enterta'!B7:B507), _xlfn.VSTACK('6 - TV Stands &amp; Enterta'!G7:G507)), ""))</f>
        <v/>
      </c>
    </row>
  </sheetData>
  <mergeCells count="1">
    <mergeCell ref="C2:D2"/>
  </mergeCells>
  <conditionalFormatting sqref="A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Chemicals'!B7:B7, 'Additional Chemicals'!B7:B7,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Chemicals'!B7:B7, 'Additional Chemicals'!C7:C7, 'Additional Chemicals'!D7:D7, _xlfn.LAMBDA(_xlpm.part, _xlpm.val, _xlpm.dep1, IF(_xlpm.part = "", "", _xlfn.LET(_xlpm.check1, IF(AND(_xlpm.val = "", C$3="Required"), "3:Chemical - Value is required", ""), IF(LEN(_xlpm.check1) &gt; 0, _xlpm.check1, IF(_xlpm.dep1 &lt;&gt; "", IF(_xlpm.val = "", "3:Please provide a chemical", ""), ""))))))</f>
        <v/>
      </c>
      <c r="D7">
        <f t="array" ref="D7">_xlfn.MAP('Additional Chemicals'!B7:B7, 'Additional Chemicals'!D7:D7, 'Additional Chemicals'!C7:C7,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_xlfn.LET(_xlpm.high_priority_idx, IFERROR(MATCH(TRUE, (_xlpm.r = "Error") + (_xlpm.r = "Required") &gt; 0, 0), 0), IF(_xlpm.high_priority_idx &gt; 0, _xlpm.high_priority_idx + 1, IFERROR(MATCH(1, (_xlpm.r = "Warning") * 1, 0) + 1, "")))))</f>
        <v/>
      </c>
      <c r="B7">
        <f t="array" ref="B7">_xlfn.MAP('Additional Chemicals'!B7:B7, 'Additional Chemicals'!B7:B7, 'Additional Chemicals-WUO_ERR'!B7:B7, _xlfn.LAMBDA(_xlpm.part, _xlpm.val, _xlpm.error, IF(_xlpm.part = "", "", IF(LEN(_xlpm.error), _xlfn.SWITCH(IFERROR(_xlfn.TEXTBEFORE(_xlpm.error,":"), ""), "1", "Error", "2", "Disabled", "3", "Required", "4", "Warning", "Valid"), "Valid"))))</f>
        <v/>
      </c>
      <c r="C7">
        <f t="array" ref="C7">_xlfn.MAP('Additional Chemicals'!B7:B7, 'Additional Chemicals'!C7:C7, 'Additional Chemicals-WUO_ERR'!C7:C7, _xlfn.LAMBDA(_xlpm.part, _xlpm.val, _xlpm.error, IF(_xlpm.part = "", "", IF(LEN(_xlpm.error), _xlfn.SWITCH(IFERROR(_xlfn.TEXTBEFORE(_xlpm.error,":"), ""), "1", "Error", "2", "Disabled", "3", "Required", "4", "Warning", "Valid"), "Valid"))))</f>
        <v/>
      </c>
      <c r="D7">
        <f t="array" ref="D7">_xlfn.MAP('Additional Chemicals'!B7:B7, 'Additional Chemicals'!D7:D7, 'Additional Chemicals-WUO_ERR'!D7:D7,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media::imageValue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Image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3" t="inlineStr">
        <is>
          <t>Read-Only</t>
        </is>
      </c>
      <c r="B6" s="33" t="inlineStr">
        <is>
          <t>Text</t>
        </is>
      </c>
      <c r="C6" s="33" t="inlineStr">
        <is>
          <t>Text</t>
        </is>
      </c>
    </row>
    <row r="7">
      <c r="A7" s="37">
        <f>IF('Additional Images'!B7 = "", "", IF('Additional Images-WUO_ERR'!A7 = "", "Validated", HYPERLINK("#" &amp; ADDRESS(7, 'Additional Images-WUO_TRK'!A7),_xlfn.TEXTAFTER('Additional Images-WUO_ERR'!A7,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Images'!B7:B7, 'Additional Images'!B7:B7,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Images'!B7:B7, 'Additional Images'!C7:C7,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Images'!B7:B7, 'Additional Images'!B7:B7, 'Additional Images-WUO_ERR'!B7:B7, _xlfn.LAMBDA(_xlpm.part, _xlpm.val, _xlpm.error, IF(_xlpm.part = "", "", IF(LEN(_xlpm.error), _xlfn.SWITCH(IFERROR(_xlfn.TEXTBEFORE(_xlpm.error,":"), ""), "1", "Error", "2", "Disabled", "3", "Required", "4", "Warning", "Valid"), "Valid"))))</f>
        <v/>
      </c>
      <c r="C7">
        <f t="array" ref="C7">_xlfn.MAP('Additional Images'!B7:B7, 'Additional Images'!C7:C7, 'Additional Images-WUO_ERR'!C7:C7,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media::videoValue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Video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A6" s="33" t="inlineStr">
        <is>
          <t>Read-Only</t>
        </is>
      </c>
      <c r="B6" s="33" t="inlineStr">
        <is>
          <t>Text</t>
        </is>
      </c>
      <c r="C6" s="33" t="inlineStr">
        <is>
          <t>Text</t>
        </is>
      </c>
    </row>
    <row r="7">
      <c r="A7" s="37">
        <f>IF('Additional Videos'!B7 = "", "", IF('Additional Videos-WUO_ERR'!A7 = "", "Validated", HYPERLINK("#" &amp; ADDRESS(7, 'Additional Videos-WUO_TRK'!A7),_xlfn.TEXTAFTER('Additional Videos-WUO_ERR'!A7,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Videos'!B7:B7, 'Additional Videos'!B7:B7,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Videos'!B7:B7, 'Additional Videos'!C7:C7,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Videos'!B7:B7, 'Additional Videos'!B7:B7, 'Additional Videos-WUO_ERR'!B7:B7, _xlfn.LAMBDA(_xlpm.part, _xlpm.val, _xlpm.error, IF(_xlpm.part = "", "", IF(LEN(_xlpm.error), _xlfn.SWITCH(IFERROR(_xlfn.TEXTBEFORE(_xlpm.error,":"), ""), "1", "Error", "2", "Disabled", "3", "Required", "4", "Warning", "Valid"), "Valid"))))</f>
        <v/>
      </c>
      <c r="C7">
        <f t="array" ref="C7">_xlfn.MAP('Additional Videos'!B7:B7, 'Additional Videos'!C7:C7, 'Additional Videos-WUO_ERR'!C7:C7,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30.7109375" customWidth="1" min="3" max="3"/>
    <col width="18.7109375" customWidth="1" min="4" max="4"/>
    <col width="24.7109375" customWidth="1" min="5" max="5"/>
    <col width="20.7109375" customWidth="1" min="6" max="6"/>
    <col width="22.7109375" customWidth="1" min="7" max="7"/>
    <col hidden="1" min="26" max="26"/>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2">
      <c r="B2" s="22" t="inlineStr">
        <is>
          <t>Basic Information</t>
        </is>
      </c>
      <c r="C2" s="28" t="inlineStr">
        <is>
          <t>Media</t>
        </is>
      </c>
      <c r="D2" s="41" t="n"/>
      <c r="E2" s="41" t="n"/>
      <c r="F2" s="41" t="n"/>
      <c r="G2" s="42" t="n"/>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A6" s="33" t="inlineStr">
        <is>
          <t>Read-Only</t>
        </is>
      </c>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s="37">
        <f>IF('Additional Documents'!B7 = "", "", IF('Additional Documents-WUO_ERR'!A7 = "", "Validated", HYPERLINK("#" &amp; ADDRESS(7, 'Additional Documents-WUO_TRK'!A7),_xlfn.TEXTAFTER('Additional Documents-WUO_ERR'!A7, ":"))))</f>
        <v/>
      </c>
      <c r="Z7">
        <f t="array" ref="Z7">IF(B7:B7="", "", IFERROR(_xlfn.XLOOKUP(B7:B7, _xlfn.VSTACK('6 - TV Stands &amp; Enterta'!B7:B507), _xlfn.VSTACK('6 - TV Stands &amp; Enterta'!G7:G507)), ""))</f>
        <v/>
      </c>
    </row>
  </sheetData>
  <mergeCells count="1">
    <mergeCell ref="C2:G2"/>
  </mergeCells>
  <conditionalFormatting sqref="A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Documents'!B7:B7, 'Additional Documents'!B7:B7,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Documents'!B7:B7, 'Additional Documents'!C7:C7, 'Additional Documents'!D7:D7, 'Additional Documents'!E7:E7, 'Additional Documents'!F7:F7, 'Additional Documents'!G7:G7,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f t="array" ref="D7">_xlfn.MAP('Additional Documents'!B7:B7, 'Additional Documents'!D7:D7,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f t="array" ref="E7">_xlfn.MAP('Additional Documents'!B7:B7, 'Additional Documents'!E7:E7,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f t="array" ref="F7">_xlfn.MAP('Additional Documents'!B7:B7, 'Additional Documents'!F7:F7, _xlfn.LAMBDA(_xlpm.part, _xlpm.val, IF(_xlpm.part = "", "", IF(AND(_xlpm.val = "", F$3="Required"), "3:Document Region - Value is required", ""))))</f>
        <v/>
      </c>
      <c r="G7">
        <f t="array" ref="G7">_xlfn.MAP('Additional Documents'!B7:B7, 'Additional Documents'!G7:G7,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_xlfn.LET(_xlpm.high_priority_idx, IFERROR(MATCH(TRUE, (_xlpm.r = "Error") + (_xlpm.r = "Required") &gt; 0, 0), 0), IF(_xlpm.high_priority_idx &gt; 0, _xlpm.high_priority_idx + 1, IFERROR(MATCH(1, (_xlpm.r = "Warning") * 1, 0) + 1, "")))))</f>
        <v/>
      </c>
      <c r="B7">
        <f t="array" ref="B7">_xlfn.MAP('Additional Documents'!B7:B7, 'Additional Documents'!B7:B7, 'Additional Documents-WUO_ERR'!B7:B7, _xlfn.LAMBDA(_xlpm.part, _xlpm.val, _xlpm.error, IF(_xlpm.part = "", "", IF(LEN(_xlpm.error), _xlfn.SWITCH(IFERROR(_xlfn.TEXTBEFORE(_xlpm.error,":"), ""), "1", "Error", "2", "Disabled", "3", "Required", "4", "Warning", "Valid"), "Valid"))))</f>
        <v/>
      </c>
      <c r="C7">
        <f t="array" ref="C7">_xlfn.MAP('Additional Documents'!B7:B7, 'Additional Documents'!C7:C7, 'Additional Documents-WUO_ERR'!C7:C7, _xlfn.LAMBDA(_xlpm.part, _xlpm.val, _xlpm.error, IF(_xlpm.part = "", "", IF(LEN(_xlpm.error), _xlfn.SWITCH(IFERROR(_xlfn.TEXTBEFORE(_xlpm.error,":"), ""), "1", "Error", "2", "Disabled", "3", "Required", "4", "Warning", "Valid"), "Valid"))))</f>
        <v/>
      </c>
      <c r="D7">
        <f t="array" ref="D7">_xlfn.MAP('Additional Documents'!B7:B7, 'Additional Documents'!D7:D7, 'Additional Documents-WUO_ERR'!D7:D7, _xlfn.LAMBDA(_xlpm.part, _xlpm.val, _xlpm.error, IF(_xlpm.part = "", "", IF(LEN(_xlpm.error), _xlfn.SWITCH(IFERROR(_xlfn.TEXTBEFORE(_xlpm.error,":"), ""), "1", "Error", "2", "Disabled", "3", "Required", "4", "Warning", "Valid"), "Valid"))))</f>
        <v/>
      </c>
      <c r="E7">
        <f t="array" ref="E7">_xlfn.MAP('Additional Documents'!B7:B7, 'Additional Documents'!E7:E7, 'Additional Documents-WUO_ERR'!E7:E7, _xlfn.LAMBDA(_xlpm.part, _xlpm.val, _xlpm.error, IF(_xlpm.part = "", "", IF(LEN(_xlpm.error), _xlfn.SWITCH(IFERROR(_xlfn.TEXTBEFORE(_xlpm.error,":"), ""), "1", "Error", "2", "Disabled", "3", "Required", "4", "Warning", "Valid"), "Valid"))))</f>
        <v/>
      </c>
      <c r="F7">
        <f t="array" ref="F7">_xlfn.MAP('Additional Documents'!B7:B7, 'Additional Documents'!F7:F7, 'Additional Documents-WUO_ERR'!F7:F7, _xlfn.LAMBDA(_xlpm.part, _xlpm.val, _xlpm.error, IF(_xlpm.part = "", "", IF(LEN(_xlpm.error), _xlfn.SWITCH(IFERROR(_xlfn.TEXTBEFORE(_xlpm.error,":"), ""), "1", "Error", "2", "Disabled", "3", "Required", "4", "Warning", "Valid"), "Valid"))))</f>
        <v/>
      </c>
      <c r="G7">
        <f t="array" ref="G7">_xlfn.MAP('Additional Documents'!B7:B7, 'Additional Documents'!G7:G7, 'Additional Documents-WUO_ERR'!G7:G7,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H902"/>
  <sheetViews>
    <sheetView workbookViewId="0">
      <selection activeCell="A1" sqref="A1"/>
    </sheetView>
  </sheetViews>
  <sheetFormatPr baseColWidth="8" defaultRowHeight="15"/>
  <cols>
    <col width="10.7109375" customWidth="1" min="1" max="1"/>
    <col width="14.7109375" customWidth="1" min="2" max="2"/>
    <col width="18.7109375" customWidth="1" min="3" max="3"/>
    <col width="14.7109375" customWidth="1" min="4" max="4"/>
    <col width="26.7109375" customWidth="1" min="5" max="5"/>
    <col width="13.7109375" customWidth="1" min="6" max="7"/>
    <col width="28.7109375" customWidth="1" min="8" max="8"/>
    <col width="18.7109375" customWidth="1" min="9" max="9"/>
    <col width="24.7109375" customWidth="1" min="10" max="10"/>
    <col width="20.7109375" customWidth="1" min="11" max="11"/>
    <col width="22.7109375" customWidth="1" min="12" max="12"/>
    <col width="17.7109375" customWidth="1" min="13" max="13"/>
    <col width="21.7109375" customWidth="1" min="14" max="14"/>
    <col width="13.7109375" customWidth="1" min="15" max="15"/>
    <col width="32.7109375" customWidth="1" min="16" max="16"/>
    <col width="27.7109375" customWidth="1" min="17" max="17"/>
    <col width="38.7109375" customWidth="1" min="18" max="18"/>
    <col width="39.7109375" customWidth="1" min="19" max="19"/>
    <col width="43.7109375" customWidth="1" min="20" max="20"/>
    <col width="29.7109375" customWidth="1" min="21" max="21"/>
    <col width="17.7109375" customWidth="1" min="22" max="22"/>
    <col width="24.7109375" customWidth="1" min="23" max="23"/>
    <col width="17.7109375" customWidth="1" min="24" max="24"/>
    <col width="24.7109375" customWidth="1" min="25" max="25"/>
    <col width="21.7109375" customWidth="1" min="26" max="26"/>
    <col width="20.7109375" customWidth="1" min="27" max="27"/>
    <col width="35.7109375" customWidth="1" min="28" max="28"/>
    <col width="30.7109375" customWidth="1" min="29" max="29"/>
    <col width="17.7109375" customWidth="1" min="30" max="30"/>
    <col width="19.7109375" customWidth="1" min="31" max="32"/>
    <col width="34.7109375" customWidth="1" min="33" max="33"/>
    <col width="14.7109375" customWidth="1" min="34" max="35"/>
    <col width="16.7109375" customWidth="1" min="36" max="36"/>
    <col width="20.7109375" customWidth="1" min="37" max="37"/>
    <col width="19.7109375" customWidth="1" min="38" max="38"/>
    <col width="44.7109375" customWidth="1" min="39" max="39"/>
    <col width="53.7109375" customWidth="1" min="40" max="41"/>
    <col width="21.7109375" customWidth="1" min="42" max="42"/>
    <col width="64.7109375" customWidth="1" min="43" max="43"/>
    <col width="27.7109375" customWidth="1" min="44" max="44"/>
    <col width="19.7109375" customWidth="1" min="45" max="45"/>
    <col width="20.7109375" customWidth="1" min="46" max="46"/>
    <col width="21.7109375" customWidth="1" min="47" max="47"/>
    <col width="18.7109375" customWidth="1" min="48" max="48"/>
    <col width="30.7109375" customWidth="1" min="49" max="49"/>
    <col width="44.7109375" customWidth="1" min="50" max="50"/>
    <col width="22.7109375" customWidth="1" min="51" max="51"/>
    <col width="47.7109375" customWidth="1" min="52" max="52"/>
    <col width="19.7109375" customWidth="1" min="53" max="53"/>
    <col width="30.7109375" customWidth="1" min="54" max="54"/>
    <col width="40.7109375" customWidth="1" min="55" max="55"/>
    <col width="22.7109375" customWidth="1" min="56" max="56"/>
    <col width="45.7109375" customWidth="1" min="57" max="57"/>
    <col width="31.7109375" customWidth="1" min="58" max="58"/>
    <col width="29.7109375" customWidth="1" min="59" max="59"/>
    <col width="20.7109375" customWidth="1" min="60" max="60"/>
  </cols>
  <sheetData>
    <row r="1" ht="50" customHeight="1">
      <c r="A1" s="39" t="inlineStr">
        <is>
          <t>Brand</t>
        </is>
      </c>
      <c r="B1" s="39" t="inlineStr">
        <is>
          <t>Ship Type</t>
        </is>
      </c>
      <c r="C1" s="39" t="inlineStr">
        <is>
          <t>Freight Class</t>
        </is>
      </c>
      <c r="D1" s="39" t="inlineStr">
        <is>
          <t>Lead Time</t>
        </is>
      </c>
      <c r="E1" s="39" t="inlineStr">
        <is>
          <t>Replacement Lead Time</t>
        </is>
      </c>
      <c r="F1" s="39" t="inlineStr">
        <is>
          <t>Chemical</t>
        </is>
      </c>
      <c r="G1" s="39" t="inlineStr">
        <is>
          <t>Toxicity</t>
        </is>
      </c>
      <c r="H1" s="39" t="inlineStr">
        <is>
          <t>Country Of Manufacturer</t>
        </is>
      </c>
      <c r="I1" s="39" t="inlineStr">
        <is>
          <t>Document Type</t>
        </is>
      </c>
      <c r="J1" s="39" t="inlineStr">
        <is>
          <t>Legal Document Type</t>
        </is>
      </c>
      <c r="K1" s="39" t="inlineStr">
        <is>
          <t>Document Region</t>
        </is>
      </c>
      <c r="L1" s="39" t="inlineStr">
        <is>
          <t>Document Language</t>
        </is>
      </c>
      <c r="M1" s="39" t="inlineStr">
        <is>
          <t>Product Type</t>
        </is>
      </c>
      <c r="N1" s="39" t="inlineStr">
        <is>
          <t>Furniture Design</t>
        </is>
      </c>
      <c r="O1" s="39" t="inlineStr">
        <is>
          <t>Material</t>
        </is>
      </c>
      <c r="P1" s="39" t="inlineStr">
        <is>
          <t>Purposeful Distressing Type</t>
        </is>
      </c>
      <c r="Q1" s="39" t="inlineStr">
        <is>
          <t>Natural Variation Type</t>
        </is>
      </c>
      <c r="R1" s="39" t="inlineStr">
        <is>
          <t>Tipover Restraint Device Included</t>
        </is>
      </c>
      <c r="S1" s="39" t="inlineStr">
        <is>
          <t>Supplier Intended and Approved Use</t>
        </is>
      </c>
      <c r="T1" s="39" t="inlineStr">
        <is>
          <t>Country of Origin - Additional Details</t>
        </is>
      </c>
      <c r="U1" s="39" t="inlineStr">
        <is>
          <t>Main Wood Joinery Method</t>
        </is>
      </c>
      <c r="V1" s="39" t="inlineStr">
        <is>
          <t>Wood Species</t>
        </is>
      </c>
      <c r="W1" s="39" t="inlineStr">
        <is>
          <t>Battery Composition</t>
        </is>
      </c>
      <c r="X1" s="39" t="inlineStr">
        <is>
          <t>Battery Type</t>
        </is>
      </c>
      <c r="Y1" s="39" t="inlineStr">
        <is>
          <t>Number of Batteries</t>
        </is>
      </c>
      <c r="Z1" s="39" t="inlineStr">
        <is>
          <t>Battery Shipment</t>
        </is>
      </c>
      <c r="AA1" s="39" t="inlineStr">
        <is>
          <t>Lithium Content</t>
        </is>
      </c>
      <c r="AB1" s="39" t="inlineStr">
        <is>
          <t>Watt Rating of Cells / Battery</t>
        </is>
      </c>
      <c r="AC1" s="39" t="inlineStr">
        <is>
          <t>Weight of Cells / Battery</t>
        </is>
      </c>
      <c r="AD1" s="39" t="inlineStr">
        <is>
          <t>Product Care</t>
        </is>
      </c>
      <c r="AE1" s="39" t="inlineStr">
        <is>
          <t>Shelf Material</t>
        </is>
      </c>
      <c r="AF1" s="39" t="inlineStr">
        <is>
          <t>Color / Finish</t>
        </is>
      </c>
      <c r="AG1" s="39" t="inlineStr">
        <is>
          <t>Drawer Glide Type &amp; Extension</t>
        </is>
      </c>
      <c r="AH1" s="39" t="inlineStr">
        <is>
          <t>Vent Type</t>
        </is>
      </c>
      <c r="AI1" s="39" t="inlineStr">
        <is>
          <t>Fuel Type</t>
        </is>
      </c>
      <c r="AJ1" s="39" t="inlineStr">
        <is>
          <t>Door Design</t>
        </is>
      </c>
      <c r="AK1" s="39" t="inlineStr">
        <is>
          <t>Pieces Included</t>
        </is>
      </c>
      <c r="AL1" s="39" t="inlineStr">
        <is>
          <t>Fireplace Type</t>
        </is>
      </c>
      <c r="AM1" s="39" t="inlineStr">
        <is>
          <t>General Certificate of Conformity (GCC)</t>
        </is>
      </c>
      <c r="AN1" s="39" t="inlineStr">
        <is>
          <t>CARB Phase II Compliant (formaldehyde emissions)</t>
        </is>
      </c>
      <c r="AO1" s="39" t="inlineStr">
        <is>
          <t>TSCA Title VI Compliant (formaldehyde emissions)</t>
        </is>
      </c>
      <c r="AP1" s="39" t="inlineStr">
        <is>
          <t>CANFER Compliant</t>
        </is>
      </c>
      <c r="AQ1" s="39" t="inlineStr">
        <is>
          <t>Uniform Packaging and Labeling Regulations (UPLR) Compliant</t>
        </is>
      </c>
      <c r="AR1" s="39" t="inlineStr">
        <is>
          <t>Reason for Restriction</t>
        </is>
      </c>
      <c r="AS1" s="39" t="inlineStr">
        <is>
          <t>UL 1678 Listed</t>
        </is>
      </c>
      <c r="AT1" s="39" t="inlineStr">
        <is>
          <t>UN or ID number</t>
        </is>
      </c>
      <c r="AU1" s="39" t="inlineStr">
        <is>
          <t>Hazard Class(es)</t>
        </is>
      </c>
      <c r="AV1" s="39" t="inlineStr">
        <is>
          <t>Packing Group</t>
        </is>
      </c>
      <c r="AW1" s="39" t="inlineStr">
        <is>
          <t>Hazardous Material Weight</t>
        </is>
      </c>
      <c r="AX1" s="39" t="inlineStr">
        <is>
          <t>Energy Efficiency Regulations Compliant</t>
        </is>
      </c>
      <c r="AY1" s="39" t="inlineStr">
        <is>
          <t>Safety Listing(s)</t>
        </is>
      </c>
      <c r="AZ1" s="39" t="inlineStr">
        <is>
          <t>CPSC - 16 CFR 1263 Compliant (Reese's Law)</t>
        </is>
      </c>
      <c r="BA1" s="39" t="inlineStr">
        <is>
          <t>ISTA Certified</t>
        </is>
      </c>
      <c r="BB1" s="39" t="inlineStr">
        <is>
          <t>Commercial Certifications</t>
        </is>
      </c>
      <c r="BC1" s="39" t="inlineStr">
        <is>
          <t>Maximum TV Screen Size Accommodated</t>
        </is>
      </c>
      <c r="BD1" s="39" t="inlineStr">
        <is>
          <t>Level of Assembly</t>
        </is>
      </c>
      <c r="BE1" s="39" t="inlineStr">
        <is>
          <t>Additional Tools Required (Not Included)</t>
        </is>
      </c>
      <c r="BF1" s="39" t="inlineStr">
        <is>
          <t>Commercial Warranty Length</t>
        </is>
      </c>
      <c r="BG1" s="39" t="inlineStr">
        <is>
          <t>Full or Limited Warranty</t>
        </is>
      </c>
      <c r="BH1" s="39" t="inlineStr">
        <is>
          <t>Warranty Length</t>
        </is>
      </c>
    </row>
    <row r="2">
      <c r="A2" t="inlineStr">
        <is>
          <t>CASA DESIGN FURNITURE</t>
        </is>
      </c>
      <c r="B2" t="inlineStr">
        <is>
          <t>Small Parcel</t>
        </is>
      </c>
      <c r="C2" t="inlineStr">
        <is>
          <t>50</t>
        </is>
      </c>
      <c r="D2" t="inlineStr">
        <is>
          <t>0</t>
        </is>
      </c>
      <c r="E2" t="inlineStr">
        <is>
          <t>0</t>
        </is>
      </c>
      <c r="F2" t="inlineStr">
        <is>
          <t>A-alpha-C (2-Amino-9H-pyrido[2,3-b]indole)</t>
        </is>
      </c>
      <c r="G2" t="inlineStr">
        <is>
          <t>Cancer</t>
        </is>
      </c>
      <c r="H2" t="inlineStr">
        <is>
          <t>United States</t>
        </is>
      </c>
      <c r="I2" t="inlineStr">
        <is>
          <t>Specifications</t>
        </is>
      </c>
      <c r="J2" t="inlineStr">
        <is>
          <t>AAFA Certified</t>
        </is>
      </c>
      <c r="K2" t="inlineStr">
        <is>
          <t>US</t>
        </is>
      </c>
      <c r="L2" t="inlineStr">
        <is>
          <t>Arabic</t>
        </is>
      </c>
      <c r="M2" t="inlineStr">
        <is>
          <t>Entertainment Center</t>
        </is>
      </c>
      <c r="N2" t="inlineStr">
        <is>
          <t>Cabinet/Enclosed storage</t>
        </is>
      </c>
      <c r="O2" t="inlineStr">
        <is>
          <t>Glass</t>
        </is>
      </c>
      <c r="P2" t="inlineStr">
        <is>
          <t>Distressed Leather</t>
        </is>
      </c>
      <c r="Q2" t="inlineStr">
        <is>
          <t>No Natural Variation</t>
        </is>
      </c>
      <c r="R2" t="inlineStr">
        <is>
          <t>Yes</t>
        </is>
      </c>
      <c r="S2" t="inlineStr">
        <is>
          <t>Non Residential Use</t>
        </is>
      </c>
      <c r="T2" t="inlineStr">
        <is>
          <t>Made in USA</t>
        </is>
      </c>
      <c r="U2" t="inlineStr">
        <is>
          <t>Dovetail</t>
        </is>
      </c>
      <c r="V2" t="inlineStr">
        <is>
          <t>Acacia</t>
        </is>
      </c>
      <c r="W2" t="inlineStr">
        <is>
          <t>Lithium Metal</t>
        </is>
      </c>
      <c r="X2" t="inlineStr">
        <is>
          <t>Cell</t>
        </is>
      </c>
      <c r="Y2" t="inlineStr">
        <is>
          <t>1</t>
        </is>
      </c>
      <c r="Z2" t="inlineStr">
        <is>
          <t>Stand alone</t>
        </is>
      </c>
      <c r="AA2" t="inlineStr">
        <is>
          <t>Cells exceeding 5 grams</t>
        </is>
      </c>
      <c r="AB2" t="inlineStr">
        <is>
          <t>Cells of between 20w/h and 60w/h</t>
        </is>
      </c>
      <c r="AC2" t="inlineStr">
        <is>
          <t>2.5kg or less</t>
        </is>
      </c>
      <c r="AD2" t="inlineStr">
        <is>
          <t>Hand wash recommended</t>
        </is>
      </c>
      <c r="AE2" t="inlineStr">
        <is>
          <t>Polyethylene</t>
        </is>
      </c>
      <c r="AF2" t="inlineStr">
        <is>
          <t>Clear</t>
        </is>
      </c>
      <c r="AG2" t="inlineStr">
        <is>
          <t>0.6 Extension</t>
        </is>
      </c>
      <c r="AH2" t="inlineStr">
        <is>
          <t>Direct Vent</t>
        </is>
      </c>
      <c r="AI2" t="inlineStr">
        <is>
          <t>Electric</t>
        </is>
      </c>
      <c r="AJ2" t="inlineStr">
        <is>
          <t>Flush</t>
        </is>
      </c>
      <c r="AK2" t="inlineStr">
        <is>
          <t>Drawers</t>
        </is>
      </c>
      <c r="AL2" t="inlineStr">
        <is>
          <t>Gel</t>
        </is>
      </c>
      <c r="AM2" t="inlineStr">
        <is>
          <t>Yes</t>
        </is>
      </c>
      <c r="AN2" t="inlineStr">
        <is>
          <t>Yes</t>
        </is>
      </c>
      <c r="AO2" t="inlineStr">
        <is>
          <t>Yes</t>
        </is>
      </c>
      <c r="AP2" t="inlineStr">
        <is>
          <t>Yes</t>
        </is>
      </c>
      <c r="AQ2" t="inlineStr">
        <is>
          <t>Yes</t>
        </is>
      </c>
      <c r="AR2" t="inlineStr">
        <is>
          <t>Dual Language</t>
        </is>
      </c>
      <c r="AS2" t="inlineStr">
        <is>
          <t>Yes</t>
        </is>
      </c>
      <c r="AT2" t="inlineStr">
        <is>
          <t>UN3091</t>
        </is>
      </c>
      <c r="AU2" t="inlineStr">
        <is>
          <t>1</t>
        </is>
      </c>
      <c r="AV2" t="inlineStr">
        <is>
          <t>I</t>
        </is>
      </c>
      <c r="AW2" t="inlineStr">
        <is>
          <t>&gt;0 - ≤25ml</t>
        </is>
      </c>
      <c r="AX2" t="inlineStr">
        <is>
          <t>No</t>
        </is>
      </c>
      <c r="AY2" t="inlineStr">
        <is>
          <t>TÜV Rheinland Certified</t>
        </is>
      </c>
      <c r="AZ2" t="inlineStr">
        <is>
          <t>No</t>
        </is>
      </c>
      <c r="BA2" t="inlineStr">
        <is>
          <t>1A</t>
        </is>
      </c>
      <c r="BB2" t="inlineStr">
        <is>
          <t>BIFMA Accredited</t>
        </is>
      </c>
      <c r="BC2" t="inlineStr">
        <is>
          <t>28"</t>
        </is>
      </c>
      <c r="BD2" t="inlineStr">
        <is>
          <t>No Assembly Needed</t>
        </is>
      </c>
      <c r="BE2" t="inlineStr">
        <is>
          <t>All Tools Included</t>
        </is>
      </c>
      <c r="BF2" t="inlineStr">
        <is>
          <t>30 Days</t>
        </is>
      </c>
      <c r="BG2" t="inlineStr">
        <is>
          <t>Full</t>
        </is>
      </c>
      <c r="BH2" t="inlineStr">
        <is>
          <t>30 Days</t>
        </is>
      </c>
    </row>
    <row r="3">
      <c r="B3" t="inlineStr">
        <is>
          <t>LTL</t>
        </is>
      </c>
      <c r="C3" t="inlineStr">
        <is>
          <t>55</t>
        </is>
      </c>
      <c r="D3" t="inlineStr">
        <is>
          <t>24</t>
        </is>
      </c>
      <c r="E3" t="inlineStr">
        <is>
          <t>24</t>
        </is>
      </c>
      <c r="F3" t="inlineStr">
        <is>
          <t>Abiraterone acetate</t>
        </is>
      </c>
      <c r="G3" t="inlineStr">
        <is>
          <t>Developmental</t>
        </is>
      </c>
      <c r="H3" t="inlineStr">
        <is>
          <t>Canada</t>
        </is>
      </c>
      <c r="I3" t="inlineStr">
        <is>
          <t>Installation &amp; Assembly</t>
        </is>
      </c>
      <c r="J3" t="inlineStr">
        <is>
          <t>AATCC 116 Grade</t>
        </is>
      </c>
      <c r="K3" t="inlineStr">
        <is>
          <t>UK</t>
        </is>
      </c>
      <c r="L3" t="inlineStr">
        <is>
          <t>Bulgarian</t>
        </is>
      </c>
      <c r="M3" t="inlineStr">
        <is>
          <t>TV Stand</t>
        </is>
      </c>
      <c r="N3" t="inlineStr">
        <is>
          <t>TV Stand Fireplace</t>
        </is>
      </c>
      <c r="O3" t="inlineStr">
        <is>
          <t>Stainless Steel</t>
        </is>
      </c>
      <c r="P3" t="inlineStr">
        <is>
          <t>Paint Distressing</t>
        </is>
      </c>
      <c r="Q3" t="inlineStr">
        <is>
          <t>Natural Wood Grain Color Variation</t>
        </is>
      </c>
      <c r="R3" t="inlineStr">
        <is>
          <t>No</t>
        </is>
      </c>
      <c r="S3" t="inlineStr">
        <is>
          <t>Residential Use</t>
        </is>
      </c>
      <c r="T3" t="inlineStr">
        <is>
          <t>Made in USA of Imported Materials</t>
        </is>
      </c>
      <c r="U3" t="inlineStr">
        <is>
          <t>Mortise and Tenon</t>
        </is>
      </c>
      <c r="V3" t="inlineStr">
        <is>
          <t>Alder</t>
        </is>
      </c>
      <c r="W3" t="inlineStr">
        <is>
          <t>Lithium Ion / Lithium Polymer</t>
        </is>
      </c>
      <c r="X3" t="inlineStr">
        <is>
          <t>Battery</t>
        </is>
      </c>
      <c r="Y3" t="inlineStr">
        <is>
          <t>2</t>
        </is>
      </c>
      <c r="Z3" t="inlineStr">
        <is>
          <t>Contained in product</t>
        </is>
      </c>
      <c r="AA3" t="inlineStr">
        <is>
          <t>Batteries of 2 grams or less</t>
        </is>
      </c>
      <c r="AB3" t="inlineStr">
        <is>
          <t>Cells exceeding 60w/h</t>
        </is>
      </c>
      <c r="AC3" t="inlineStr">
        <is>
          <t>2.5kg to 5kg</t>
        </is>
      </c>
      <c r="AD3" t="inlineStr">
        <is>
          <t>Dishwasher safe</t>
        </is>
      </c>
      <c r="AE3" t="inlineStr">
        <is>
          <t>Steel</t>
        </is>
      </c>
      <c r="AF3" t="inlineStr">
        <is>
          <t>Cream</t>
        </is>
      </c>
      <c r="AG3" t="inlineStr">
        <is>
          <t>Ball Bearing</t>
        </is>
      </c>
      <c r="AH3" t="inlineStr">
        <is>
          <t>Natural Vent</t>
        </is>
      </c>
      <c r="AI3" t="inlineStr">
        <is>
          <t>Dual Fuel</t>
        </is>
      </c>
      <c r="AJ3" t="inlineStr">
        <is>
          <t>Glass</t>
        </is>
      </c>
      <c r="AK3" t="inlineStr">
        <is>
          <t>Fireplace</t>
        </is>
      </c>
      <c r="AL3" t="inlineStr">
        <is>
          <t>Gas</t>
        </is>
      </c>
      <c r="AM3" t="inlineStr">
        <is>
          <t>No</t>
        </is>
      </c>
      <c r="AN3" t="inlineStr">
        <is>
          <t>No</t>
        </is>
      </c>
      <c r="AO3" t="inlineStr">
        <is>
          <t>No</t>
        </is>
      </c>
      <c r="AP3" t="inlineStr">
        <is>
          <t>No</t>
        </is>
      </c>
      <c r="AQ3" t="inlineStr">
        <is>
          <t>No</t>
        </is>
      </c>
      <c r="AR3" t="inlineStr">
        <is>
          <t>Distribution Conflict</t>
        </is>
      </c>
      <c r="AS3" t="inlineStr">
        <is>
          <t>No</t>
        </is>
      </c>
      <c r="AT3" t="inlineStr">
        <is>
          <t>UN3481</t>
        </is>
      </c>
      <c r="AU3" t="inlineStr">
        <is>
          <t>2.2</t>
        </is>
      </c>
      <c r="AV3" t="inlineStr">
        <is>
          <t>III</t>
        </is>
      </c>
      <c r="AW3" t="inlineStr">
        <is>
          <t>&gt;1L - ≤5L</t>
        </is>
      </c>
      <c r="AX3" t="inlineStr">
        <is>
          <t>Yes</t>
        </is>
      </c>
      <c r="AY3" t="inlineStr">
        <is>
          <t>MET Listed</t>
        </is>
      </c>
      <c r="AZ3" t="inlineStr">
        <is>
          <t>Yes</t>
        </is>
      </c>
      <c r="BA3" t="inlineStr">
        <is>
          <t>3A or 6A</t>
        </is>
      </c>
      <c r="BB3" t="inlineStr">
        <is>
          <t>BIFMA Equivalent</t>
        </is>
      </c>
      <c r="BC3" t="inlineStr">
        <is>
          <t>24"</t>
        </is>
      </c>
      <c r="BD3" t="inlineStr">
        <is>
          <t>Minimal Assembly Needed</t>
        </is>
      </c>
      <c r="BE3" t="inlineStr">
        <is>
          <t>Tool Free Assembly</t>
        </is>
      </c>
      <c r="BF3" t="inlineStr">
        <is>
          <t>60 Days</t>
        </is>
      </c>
      <c r="BG3" t="inlineStr">
        <is>
          <t>Limited</t>
        </is>
      </c>
      <c r="BH3" t="inlineStr">
        <is>
          <t>60 Days</t>
        </is>
      </c>
    </row>
    <row r="4">
      <c r="C4" t="inlineStr">
        <is>
          <t>60</t>
        </is>
      </c>
      <c r="D4" t="inlineStr">
        <is>
          <t>48</t>
        </is>
      </c>
      <c r="E4" t="inlineStr">
        <is>
          <t>48</t>
        </is>
      </c>
      <c r="F4" t="inlineStr">
        <is>
          <t>Acetaldehyde</t>
        </is>
      </c>
      <c r="H4" t="inlineStr">
        <is>
          <t>Afghanistan</t>
        </is>
      </c>
      <c r="I4" t="inlineStr">
        <is>
          <t>Owner Manual</t>
        </is>
      </c>
      <c r="J4" t="inlineStr">
        <is>
          <t>AATCC 16.1-2014 Grade</t>
        </is>
      </c>
      <c r="K4" t="inlineStr">
        <is>
          <t>EU</t>
        </is>
      </c>
      <c r="L4" t="inlineStr">
        <is>
          <t>Czech (Czech Republic)</t>
        </is>
      </c>
      <c r="N4" t="inlineStr">
        <is>
          <t>Open shelving</t>
        </is>
      </c>
      <c r="O4" t="inlineStr">
        <is>
          <t>Cane</t>
        </is>
      </c>
      <c r="P4" t="inlineStr">
        <is>
          <t>Distressed Grain Accents</t>
        </is>
      </c>
      <c r="Q4" t="inlineStr">
        <is>
          <t>Weathered Steel</t>
        </is>
      </c>
      <c r="T4" t="inlineStr">
        <is>
          <t>Product of Canada</t>
        </is>
      </c>
      <c r="U4" t="inlineStr">
        <is>
          <t>Rabbet Joint</t>
        </is>
      </c>
      <c r="V4" t="inlineStr">
        <is>
          <t>Ash</t>
        </is>
      </c>
      <c r="W4" t="inlineStr">
        <is>
          <t>Nickel Cadmium</t>
        </is>
      </c>
      <c r="X4" t="inlineStr">
        <is>
          <t>Button Cell</t>
        </is>
      </c>
      <c r="Y4" t="inlineStr">
        <is>
          <t>3</t>
        </is>
      </c>
      <c r="Z4" t="inlineStr">
        <is>
          <t>Packed with product</t>
        </is>
      </c>
      <c r="AA4" t="inlineStr">
        <is>
          <t>Batteries of between 2 and 25 grams</t>
        </is>
      </c>
      <c r="AB4" t="inlineStr">
        <is>
          <t>Cells of 20w/h or less</t>
        </is>
      </c>
      <c r="AC4" t="inlineStr">
        <is>
          <t>More than 10kg</t>
        </is>
      </c>
      <c r="AD4" t="inlineStr">
        <is>
          <t>Spot clean only</t>
        </is>
      </c>
      <c r="AE4" t="inlineStr">
        <is>
          <t>Wood Veneers</t>
        </is>
      </c>
      <c r="AF4" t="inlineStr">
        <is>
          <t>Purple</t>
        </is>
      </c>
      <c r="AG4" t="inlineStr">
        <is>
          <t>Soft Close</t>
        </is>
      </c>
      <c r="AH4" t="inlineStr">
        <is>
          <t>Vent Free</t>
        </is>
      </c>
      <c r="AI4" t="inlineStr">
        <is>
          <t>Induction</t>
        </is>
      </c>
      <c r="AJ4" t="inlineStr">
        <is>
          <t>Louvered</t>
        </is>
      </c>
      <c r="AK4" t="inlineStr">
        <is>
          <t>Hutch</t>
        </is>
      </c>
      <c r="AL4" t="inlineStr">
        <is>
          <t>Wood</t>
        </is>
      </c>
      <c r="AM4" t="inlineStr">
        <is>
          <t>Does Not Apply</t>
        </is>
      </c>
      <c r="AN4" t="inlineStr">
        <is>
          <t>Does Not Apply</t>
        </is>
      </c>
      <c r="AO4" t="inlineStr">
        <is>
          <t>Does Not Apply</t>
        </is>
      </c>
      <c r="AP4" t="inlineStr">
        <is>
          <t>Yes, Compliance Verified Program Member</t>
        </is>
      </c>
      <c r="AR4" t="inlineStr">
        <is>
          <t>Logistics</t>
        </is>
      </c>
      <c r="AS4" t="inlineStr">
        <is>
          <t>Yes, Compliance Verified Program Member</t>
        </is>
      </c>
      <c r="AT4" t="inlineStr">
        <is>
          <t>UN2800</t>
        </is>
      </c>
      <c r="AU4" t="inlineStr">
        <is>
          <t>2.1</t>
        </is>
      </c>
      <c r="AV4" t="inlineStr">
        <is>
          <t>No Packing Group</t>
        </is>
      </c>
      <c r="AW4" t="inlineStr">
        <is>
          <t>&gt;0.5L - ≤1L</t>
        </is>
      </c>
      <c r="AX4" t="inlineStr">
        <is>
          <t>Yes, Compliance Verified Program Member</t>
        </is>
      </c>
      <c r="AY4" t="inlineStr">
        <is>
          <t>AFNOR UK Ltd</t>
        </is>
      </c>
      <c r="AZ4" t="inlineStr">
        <is>
          <t>Yes, Compliance Verified Program Member</t>
        </is>
      </c>
      <c r="BA4" t="inlineStr">
        <is>
          <t>Does Not Apply</t>
        </is>
      </c>
      <c r="BB4" t="inlineStr">
        <is>
          <t>Contract Grade Accredited</t>
        </is>
      </c>
      <c r="BC4" t="inlineStr">
        <is>
          <t>40"</t>
        </is>
      </c>
      <c r="BD4" t="inlineStr">
        <is>
          <t>Full Assembly Needed</t>
        </is>
      </c>
      <c r="BE4" t="inlineStr">
        <is>
          <t>Screwdriver</t>
        </is>
      </c>
      <c r="BF4" t="inlineStr">
        <is>
          <t>90 Days</t>
        </is>
      </c>
      <c r="BG4" t="inlineStr">
        <is>
          <t>Does Not Apply</t>
        </is>
      </c>
      <c r="BH4" t="inlineStr">
        <is>
          <t>90 Days</t>
        </is>
      </c>
    </row>
    <row r="5">
      <c r="C5" t="inlineStr">
        <is>
          <t>65</t>
        </is>
      </c>
      <c r="D5" t="inlineStr">
        <is>
          <t>72</t>
        </is>
      </c>
      <c r="E5" t="inlineStr">
        <is>
          <t>72</t>
        </is>
      </c>
      <c r="F5" t="inlineStr">
        <is>
          <t>Acetamide</t>
        </is>
      </c>
      <c r="H5" t="inlineStr">
        <is>
          <t>Åland Islands</t>
        </is>
      </c>
      <c r="I5" t="inlineStr">
        <is>
          <t>Delivery Information</t>
        </is>
      </c>
      <c r="J5" t="inlineStr">
        <is>
          <t>AATCC 16.3-2014 Grade</t>
        </is>
      </c>
      <c r="K5" t="inlineStr">
        <is>
          <t>CA</t>
        </is>
      </c>
      <c r="L5" t="inlineStr">
        <is>
          <t>Danish</t>
        </is>
      </c>
      <c r="N5" t="inlineStr">
        <is>
          <t>Corner unit</t>
        </is>
      </c>
      <c r="O5" t="inlineStr">
        <is>
          <t>Raffia</t>
        </is>
      </c>
      <c r="P5" t="inlineStr">
        <is>
          <t>Coat/Paint Distressing</t>
        </is>
      </c>
      <c r="Q5" t="inlineStr">
        <is>
          <t>Wood Knots</t>
        </is>
      </c>
      <c r="T5" t="inlineStr">
        <is>
          <t>Made In Canada</t>
        </is>
      </c>
      <c r="U5" t="inlineStr">
        <is>
          <t>Basic Butt</t>
        </is>
      </c>
      <c r="V5" t="inlineStr">
        <is>
          <t>Bamboo</t>
        </is>
      </c>
      <c r="W5" t="inlineStr">
        <is>
          <t>Nickel Metal Hydride</t>
        </is>
      </c>
      <c r="X5" t="inlineStr">
        <is>
          <t>Does Not Apply</t>
        </is>
      </c>
      <c r="Y5" t="inlineStr">
        <is>
          <t>6</t>
        </is>
      </c>
      <c r="Z5" t="inlineStr">
        <is>
          <t>Does Not Apply</t>
        </is>
      </c>
      <c r="AA5" t="inlineStr">
        <is>
          <t>Cells of 1gram or less</t>
        </is>
      </c>
      <c r="AB5" t="inlineStr">
        <is>
          <t>Batteries exceeding 300w/h</t>
        </is>
      </c>
      <c r="AC5" t="inlineStr">
        <is>
          <t>5kg to 10kg</t>
        </is>
      </c>
      <c r="AD5" t="inlineStr">
        <is>
          <t>Hand wash only</t>
        </is>
      </c>
      <c r="AE5" t="inlineStr">
        <is>
          <t>Polyvinyl Chloride (PVC)</t>
        </is>
      </c>
      <c r="AF5" t="inlineStr">
        <is>
          <t>Gold</t>
        </is>
      </c>
      <c r="AG5" t="inlineStr">
        <is>
          <t>Roller Glides</t>
        </is>
      </c>
      <c r="AH5" t="inlineStr">
        <is>
          <t>External</t>
        </is>
      </c>
      <c r="AI5" t="inlineStr">
        <is>
          <t>Wood Pellets</t>
        </is>
      </c>
      <c r="AJ5" t="inlineStr">
        <is>
          <t>Paneled</t>
        </is>
      </c>
      <c r="AK5" t="inlineStr">
        <is>
          <t>Shelves</t>
        </is>
      </c>
      <c r="AL5" t="inlineStr">
        <is>
          <t>Electric</t>
        </is>
      </c>
      <c r="AP5" t="inlineStr">
        <is>
          <t>Does Not Apply</t>
        </is>
      </c>
      <c r="AR5" t="inlineStr">
        <is>
          <t>Does Not Apply</t>
        </is>
      </c>
      <c r="AS5" t="inlineStr">
        <is>
          <t>Does Not Apply</t>
        </is>
      </c>
      <c r="AT5" t="inlineStr">
        <is>
          <t>UN1950</t>
        </is>
      </c>
      <c r="AU5" t="inlineStr">
        <is>
          <t>7</t>
        </is>
      </c>
      <c r="AV5" t="inlineStr">
        <is>
          <t>II</t>
        </is>
      </c>
      <c r="AW5" t="inlineStr">
        <is>
          <t>&gt;0 - ≤100g</t>
        </is>
      </c>
      <c r="AX5" t="inlineStr">
        <is>
          <t>Unavailable</t>
        </is>
      </c>
      <c r="AY5" t="inlineStr">
        <is>
          <t>BSI Assurance UK Ltd</t>
        </is>
      </c>
      <c r="AZ5" t="inlineStr">
        <is>
          <t>Does Not Apply</t>
        </is>
      </c>
      <c r="BB5" t="inlineStr">
        <is>
          <t>Unavailable</t>
        </is>
      </c>
      <c r="BC5" t="inlineStr">
        <is>
          <t>32"</t>
        </is>
      </c>
      <c r="BD5" t="inlineStr">
        <is>
          <t>Does Not Apply</t>
        </is>
      </c>
      <c r="BE5" t="inlineStr">
        <is>
          <t>Allen Wrench</t>
        </is>
      </c>
      <c r="BF5" t="inlineStr">
        <is>
          <t>6 Months</t>
        </is>
      </c>
      <c r="BH5" t="inlineStr">
        <is>
          <t>6 Months</t>
        </is>
      </c>
    </row>
    <row r="6">
      <c r="C6" t="inlineStr">
        <is>
          <t>70</t>
        </is>
      </c>
      <c r="D6" t="inlineStr">
        <is>
          <t>96</t>
        </is>
      </c>
      <c r="E6" t="inlineStr">
        <is>
          <t>96</t>
        </is>
      </c>
      <c r="F6" t="inlineStr">
        <is>
          <t>Acetazolamide</t>
        </is>
      </c>
      <c r="H6" t="inlineStr">
        <is>
          <t>Albania</t>
        </is>
      </c>
      <c r="I6" t="inlineStr">
        <is>
          <t>Warranty Information</t>
        </is>
      </c>
      <c r="J6" t="inlineStr">
        <is>
          <t>AATCC 8 Grade</t>
        </is>
      </c>
      <c r="L6" t="inlineStr">
        <is>
          <t>German</t>
        </is>
      </c>
      <c r="N6" t="inlineStr">
        <is>
          <t>Hutch</t>
        </is>
      </c>
      <c r="O6" t="inlineStr">
        <is>
          <t>Mango Wood</t>
        </is>
      </c>
      <c r="P6" t="inlineStr">
        <is>
          <t>Wormholes</t>
        </is>
      </c>
      <c r="Q6" t="inlineStr">
        <is>
          <t>Natural Stone Color Variation</t>
        </is>
      </c>
      <c r="T6" t="inlineStr">
        <is>
          <t>Does Not Apply</t>
        </is>
      </c>
      <c r="U6" t="inlineStr">
        <is>
          <t>Biscuit Joint</t>
        </is>
      </c>
      <c r="V6" t="inlineStr">
        <is>
          <t>Beech</t>
        </is>
      </c>
      <c r="W6" t="inlineStr">
        <is>
          <t>Alkaline</t>
        </is>
      </c>
      <c r="Y6" t="inlineStr">
        <is>
          <t>7</t>
        </is>
      </c>
      <c r="AA6" t="inlineStr">
        <is>
          <t>Cells of between 1 and 5 grams</t>
        </is>
      </c>
      <c r="AB6" t="inlineStr">
        <is>
          <t>Batteries of between 100w/h and 300 w/h</t>
        </is>
      </c>
      <c r="AC6" t="inlineStr">
        <is>
          <t>Does Not Apply</t>
        </is>
      </c>
      <c r="AD6" t="inlineStr">
        <is>
          <t>Delicate cycle</t>
        </is>
      </c>
      <c r="AE6" t="inlineStr">
        <is>
          <t>Polycarbonate</t>
        </is>
      </c>
      <c r="AF6" t="inlineStr">
        <is>
          <t>Silver</t>
        </is>
      </c>
      <c r="AG6" t="inlineStr">
        <is>
          <t>0.75 Extension</t>
        </is>
      </c>
      <c r="AH6" t="inlineStr">
        <is>
          <t>Convertible</t>
        </is>
      </c>
      <c r="AI6" t="inlineStr">
        <is>
          <t>Natural Gas</t>
        </is>
      </c>
      <c r="AJ6" t="inlineStr">
        <is>
          <t>Mirrored</t>
        </is>
      </c>
      <c r="AK6" t="inlineStr">
        <is>
          <t>Bridge</t>
        </is>
      </c>
      <c r="AL6" t="inlineStr">
        <is>
          <t>Unavailable</t>
        </is>
      </c>
      <c r="AT6" t="inlineStr">
        <is>
          <t>UN3496</t>
        </is>
      </c>
      <c r="AU6" t="inlineStr">
        <is>
          <t>5.2</t>
        </is>
      </c>
      <c r="AV6" t="inlineStr">
        <is>
          <t>Does Not Apply</t>
        </is>
      </c>
      <c r="AW6" t="inlineStr">
        <is>
          <t>&gt;100 - ≤500g</t>
        </is>
      </c>
      <c r="AX6" t="inlineStr">
        <is>
          <t>Does Not Apply</t>
        </is>
      </c>
      <c r="AY6" t="inlineStr">
        <is>
          <t>cUL Listed</t>
        </is>
      </c>
      <c r="BB6" t="inlineStr">
        <is>
          <t>Does Not Apply</t>
        </is>
      </c>
      <c r="BC6" t="inlineStr">
        <is>
          <t>42"</t>
        </is>
      </c>
      <c r="BE6" t="inlineStr">
        <is>
          <t>Adjustable Wrench</t>
        </is>
      </c>
      <c r="BF6" t="inlineStr">
        <is>
          <t>1 Year</t>
        </is>
      </c>
      <c r="BH6" t="inlineStr">
        <is>
          <t>1 Year</t>
        </is>
      </c>
    </row>
    <row r="7">
      <c r="C7" t="inlineStr">
        <is>
          <t>77.5</t>
        </is>
      </c>
      <c r="D7" t="inlineStr">
        <is>
          <t>120</t>
        </is>
      </c>
      <c r="E7" t="inlineStr">
        <is>
          <t>120</t>
        </is>
      </c>
      <c r="F7" t="inlineStr">
        <is>
          <t>Acetochlor</t>
        </is>
      </c>
      <c r="H7" t="inlineStr">
        <is>
          <t>Algeria</t>
        </is>
      </c>
      <c r="I7" t="inlineStr">
        <is>
          <t>Certifications</t>
        </is>
      </c>
      <c r="J7" t="inlineStr">
        <is>
          <t>AC Rated</t>
        </is>
      </c>
      <c r="L7" t="inlineStr">
        <is>
          <t>Greek</t>
        </is>
      </c>
      <c r="N7" t="inlineStr">
        <is>
          <t>Piers</t>
        </is>
      </c>
      <c r="O7" t="inlineStr">
        <is>
          <t>Aluminum</t>
        </is>
      </c>
      <c r="P7" t="inlineStr">
        <is>
          <t>No Natural Variation</t>
        </is>
      </c>
      <c r="Q7" t="inlineStr">
        <is>
          <t>Unavailable</t>
        </is>
      </c>
      <c r="U7" t="inlineStr">
        <is>
          <t>Tongue and Groove</t>
        </is>
      </c>
      <c r="V7" t="inlineStr">
        <is>
          <t>Birch</t>
        </is>
      </c>
      <c r="W7" t="inlineStr">
        <is>
          <t>Carbon Zinc</t>
        </is>
      </c>
      <c r="Y7" t="inlineStr">
        <is>
          <t>5</t>
        </is>
      </c>
      <c r="AA7" t="inlineStr">
        <is>
          <t>Batteries exceeding 25 grams</t>
        </is>
      </c>
      <c r="AB7" t="inlineStr">
        <is>
          <t>Batteries of 100w/h or less</t>
        </is>
      </c>
      <c r="AD7" t="inlineStr">
        <is>
          <t>Commercial laundry safe</t>
        </is>
      </c>
      <c r="AE7" t="inlineStr">
        <is>
          <t>Stainless Steel</t>
        </is>
      </c>
      <c r="AF7" t="inlineStr">
        <is>
          <t>Polished Chrome</t>
        </is>
      </c>
      <c r="AG7" t="inlineStr">
        <is>
          <t>Full Extension</t>
        </is>
      </c>
      <c r="AH7" t="inlineStr">
        <is>
          <t>Recirculating</t>
        </is>
      </c>
      <c r="AI7" t="inlineStr">
        <is>
          <t>Liquid Propane</t>
        </is>
      </c>
      <c r="AJ7" t="inlineStr">
        <is>
          <t>Barn Doors</t>
        </is>
      </c>
      <c r="AK7" t="inlineStr">
        <is>
          <t>Exterior Shelves</t>
        </is>
      </c>
      <c r="AL7" t="inlineStr">
        <is>
          <t>Does Not Apply</t>
        </is>
      </c>
      <c r="AT7" t="inlineStr">
        <is>
          <t>ID8000</t>
        </is>
      </c>
      <c r="AU7" t="inlineStr">
        <is>
          <t>6.1</t>
        </is>
      </c>
      <c r="AW7" t="inlineStr">
        <is>
          <t>&gt;500g - ≤1kg</t>
        </is>
      </c>
      <c r="AY7" t="inlineStr">
        <is>
          <t>ETL Listed</t>
        </is>
      </c>
      <c r="BC7" t="inlineStr">
        <is>
          <t>49"</t>
        </is>
      </c>
      <c r="BE7" t="inlineStr">
        <is>
          <t>Socket Wrench</t>
        </is>
      </c>
      <c r="BF7" t="inlineStr">
        <is>
          <t>2 Years</t>
        </is>
      </c>
      <c r="BH7" t="inlineStr">
        <is>
          <t>2 Years</t>
        </is>
      </c>
    </row>
    <row r="8">
      <c r="C8" t="inlineStr">
        <is>
          <t>85</t>
        </is>
      </c>
      <c r="D8" t="inlineStr">
        <is>
          <t>144</t>
        </is>
      </c>
      <c r="F8" t="inlineStr">
        <is>
          <t>Acetohydroxamic acid</t>
        </is>
      </c>
      <c r="H8" t="inlineStr">
        <is>
          <t>American Samoa</t>
        </is>
      </c>
      <c r="I8" t="inlineStr">
        <is>
          <t>Disclaimers</t>
        </is>
      </c>
      <c r="J8" t="inlineStr">
        <is>
          <t>ACT Flammability Guidelines Compliant</t>
        </is>
      </c>
      <c r="L8" t="inlineStr">
        <is>
          <t>English (United Kingdom)</t>
        </is>
      </c>
      <c r="N8" t="inlineStr">
        <is>
          <t>Floating mount</t>
        </is>
      </c>
      <c r="O8" t="inlineStr">
        <is>
          <t>Manufactured Wood</t>
        </is>
      </c>
      <c r="P8" t="inlineStr">
        <is>
          <t>No Distressing</t>
        </is>
      </c>
      <c r="U8" t="inlineStr">
        <is>
          <t>Pocket Joint</t>
        </is>
      </c>
      <c r="V8" t="inlineStr">
        <is>
          <t>Camphor</t>
        </is>
      </c>
      <c r="W8" t="inlineStr">
        <is>
          <t>Lead Acid (Spillable)</t>
        </is>
      </c>
      <c r="Y8" t="inlineStr">
        <is>
          <t>8</t>
        </is>
      </c>
      <c r="AA8" t="inlineStr">
        <is>
          <t>Does Not Apply</t>
        </is>
      </c>
      <c r="AB8" t="inlineStr">
        <is>
          <t>Does Not Apply</t>
        </is>
      </c>
      <c r="AD8" t="inlineStr">
        <is>
          <t>Do not use a fabric softener</t>
        </is>
      </c>
      <c r="AE8" t="inlineStr">
        <is>
          <t>Marble</t>
        </is>
      </c>
      <c r="AF8" t="inlineStr">
        <is>
          <t>Polished Nickel</t>
        </is>
      </c>
      <c r="AG8" t="inlineStr">
        <is>
          <t>Metal Slide</t>
        </is>
      </c>
      <c r="AH8" t="inlineStr">
        <is>
          <t>B-Vent</t>
        </is>
      </c>
      <c r="AI8" t="inlineStr">
        <is>
          <t>Wood Burning</t>
        </is>
      </c>
      <c r="AJ8" t="inlineStr">
        <is>
          <t>Frosted</t>
        </is>
      </c>
      <c r="AK8" t="inlineStr">
        <is>
          <t>Fireplace Remote</t>
        </is>
      </c>
      <c r="AT8" t="inlineStr">
        <is>
          <t>UN1013</t>
        </is>
      </c>
      <c r="AU8" t="inlineStr">
        <is>
          <t>3</t>
        </is>
      </c>
      <c r="AW8" t="inlineStr">
        <is>
          <t>&gt;125ml - ≤500ml</t>
        </is>
      </c>
      <c r="AY8" t="inlineStr">
        <is>
          <t>DBI Certification Ltd</t>
        </is>
      </c>
      <c r="BC8" t="inlineStr">
        <is>
          <t>55"</t>
        </is>
      </c>
      <c r="BE8" t="inlineStr">
        <is>
          <t>Power Drill</t>
        </is>
      </c>
      <c r="BF8" t="inlineStr">
        <is>
          <t>3 Years</t>
        </is>
      </c>
      <c r="BH8" t="inlineStr">
        <is>
          <t>3 Years</t>
        </is>
      </c>
    </row>
    <row r="9">
      <c r="C9" t="inlineStr">
        <is>
          <t>92.5</t>
        </is>
      </c>
      <c r="D9" t="inlineStr">
        <is>
          <t>168</t>
        </is>
      </c>
      <c r="F9" t="inlineStr">
        <is>
          <t>2-Acetylaminofluorene</t>
        </is>
      </c>
      <c r="H9" t="inlineStr">
        <is>
          <t>Andorra</t>
        </is>
      </c>
      <c r="I9" t="inlineStr">
        <is>
          <t>Buying Guides</t>
        </is>
      </c>
      <c r="J9" t="inlineStr">
        <is>
          <t>AHAM CADR Dust rating</t>
        </is>
      </c>
      <c r="L9" t="inlineStr">
        <is>
          <t>English (United States)</t>
        </is>
      </c>
      <c r="N9" t="inlineStr">
        <is>
          <t>Standard</t>
        </is>
      </c>
      <c r="O9" t="inlineStr">
        <is>
          <t>Leather</t>
        </is>
      </c>
      <c r="P9" t="inlineStr">
        <is>
          <t>Distressed Metal</t>
        </is>
      </c>
      <c r="U9" t="inlineStr">
        <is>
          <t>Cam Bolt</t>
        </is>
      </c>
      <c r="V9" t="inlineStr">
        <is>
          <t>Cedar</t>
        </is>
      </c>
      <c r="W9" t="inlineStr">
        <is>
          <t>Lead Acid (Non-Spillable)</t>
        </is>
      </c>
      <c r="Y9" t="inlineStr">
        <is>
          <t>10</t>
        </is>
      </c>
      <c r="AD9" t="inlineStr">
        <is>
          <t>Cold wash</t>
        </is>
      </c>
      <c r="AE9" t="inlineStr">
        <is>
          <t>Solid + Manufactured Wood</t>
        </is>
      </c>
      <c r="AF9" t="inlineStr">
        <is>
          <t>Stainless Steel</t>
        </is>
      </c>
      <c r="AG9" t="inlineStr">
        <is>
          <t>0.5 Extension</t>
        </is>
      </c>
      <c r="AH9" t="inlineStr">
        <is>
          <t>Does Not Apply</t>
        </is>
      </c>
      <c r="AI9" t="inlineStr">
        <is>
          <t>Gel Fuel</t>
        </is>
      </c>
      <c r="AJ9" t="inlineStr">
        <is>
          <t>Insulated</t>
        </is>
      </c>
      <c r="AK9" t="inlineStr">
        <is>
          <t>Integrated TV Mount</t>
        </is>
      </c>
      <c r="AT9" t="inlineStr">
        <is>
          <t>UN3082</t>
        </is>
      </c>
      <c r="AU9" t="inlineStr">
        <is>
          <t>4.1</t>
        </is>
      </c>
      <c r="AW9" t="inlineStr">
        <is>
          <t>&gt;25 - ≤125ml</t>
        </is>
      </c>
      <c r="AY9" t="inlineStr">
        <is>
          <t>UL Listed</t>
        </is>
      </c>
      <c r="BC9" t="inlineStr">
        <is>
          <t>50"</t>
        </is>
      </c>
      <c r="BE9" t="inlineStr">
        <is>
          <t>Hammer</t>
        </is>
      </c>
      <c r="BF9" t="inlineStr">
        <is>
          <t>5 Years</t>
        </is>
      </c>
      <c r="BH9" t="inlineStr">
        <is>
          <t>5 Years</t>
        </is>
      </c>
    </row>
    <row r="10">
      <c r="C10" t="inlineStr">
        <is>
          <t>100</t>
        </is>
      </c>
      <c r="D10" t="inlineStr">
        <is>
          <t>192</t>
        </is>
      </c>
      <c r="F10" t="inlineStr">
        <is>
          <t>Acifluorfen sodium</t>
        </is>
      </c>
      <c r="H10" t="inlineStr">
        <is>
          <t>Angola</t>
        </is>
      </c>
      <c r="I10" t="inlineStr">
        <is>
          <t>Promotions</t>
        </is>
      </c>
      <c r="J10" t="inlineStr">
        <is>
          <t>AHAM CADR Pollen rating</t>
        </is>
      </c>
      <c r="L10" t="inlineStr">
        <is>
          <t>Spanish</t>
        </is>
      </c>
      <c r="N10" t="inlineStr">
        <is>
          <t>Demilune</t>
        </is>
      </c>
      <c r="O10" t="inlineStr">
        <is>
          <t>Bamboo</t>
        </is>
      </c>
      <c r="P10" t="inlineStr">
        <is>
          <t>Worn/Fade</t>
        </is>
      </c>
      <c r="U10" t="inlineStr">
        <is>
          <t>Dowel Joint</t>
        </is>
      </c>
      <c r="V10" t="inlineStr">
        <is>
          <t>Cherry</t>
        </is>
      </c>
      <c r="W10" t="inlineStr">
        <is>
          <t>Silver Oxide</t>
        </is>
      </c>
      <c r="Y10" t="inlineStr">
        <is>
          <t>4</t>
        </is>
      </c>
      <c r="AD10" t="inlineStr">
        <is>
          <t>Sweep / Dust Mop</t>
        </is>
      </c>
      <c r="AE10" t="inlineStr">
        <is>
          <t>Wood</t>
        </is>
      </c>
      <c r="AF10" t="inlineStr">
        <is>
          <t>Bronze</t>
        </is>
      </c>
      <c r="AG10" t="inlineStr">
        <is>
          <t>Wood Slide</t>
        </is>
      </c>
      <c r="AI10" t="inlineStr">
        <is>
          <t>Bio-Ethanol</t>
        </is>
      </c>
      <c r="AJ10" t="inlineStr">
        <is>
          <t>Contoured</t>
        </is>
      </c>
      <c r="AK10" t="inlineStr">
        <is>
          <t>Interior Shelves</t>
        </is>
      </c>
      <c r="AT10" t="inlineStr">
        <is>
          <t>UN3077</t>
        </is>
      </c>
      <c r="AU10" t="inlineStr">
        <is>
          <t>4.3</t>
        </is>
      </c>
      <c r="AW10" t="inlineStr">
        <is>
          <t>&gt;1kg - ≤5kg</t>
        </is>
      </c>
      <c r="AY10" t="inlineStr">
        <is>
          <t>cETL Listed</t>
        </is>
      </c>
      <c r="BC10" t="inlineStr">
        <is>
          <t>58"</t>
        </is>
      </c>
      <c r="BE10" t="inlineStr">
        <is>
          <t>Pliers</t>
        </is>
      </c>
      <c r="BF10" t="inlineStr">
        <is>
          <t>10 Years</t>
        </is>
      </c>
      <c r="BH10" t="inlineStr">
        <is>
          <t>10 Years</t>
        </is>
      </c>
    </row>
    <row r="11">
      <c r="C11" t="inlineStr">
        <is>
          <t>110</t>
        </is>
      </c>
      <c r="D11" t="inlineStr">
        <is>
          <t>216</t>
        </is>
      </c>
      <c r="F11" t="inlineStr">
        <is>
          <t>Acrylamide</t>
        </is>
      </c>
      <c r="H11" t="inlineStr">
        <is>
          <t>Anguilla</t>
        </is>
      </c>
      <c r="I11" t="inlineStr">
        <is>
          <t>Dimensions</t>
        </is>
      </c>
      <c r="J11" t="inlineStr">
        <is>
          <t>AHAM CADR Smoke rating</t>
        </is>
      </c>
      <c r="L11" t="inlineStr">
        <is>
          <t>Finnish</t>
        </is>
      </c>
      <c r="N11" t="inlineStr">
        <is>
          <t>Nesting</t>
        </is>
      </c>
      <c r="O11" t="inlineStr">
        <is>
          <t>Ceramic</t>
        </is>
      </c>
      <c r="P11" t="inlineStr">
        <is>
          <t>Wood Scoring &amp; Rub Through</t>
        </is>
      </c>
      <c r="U11" t="inlineStr">
        <is>
          <t>Half-Lap</t>
        </is>
      </c>
      <c r="V11" t="inlineStr">
        <is>
          <t>Elm</t>
        </is>
      </c>
      <c r="W11" t="inlineStr">
        <is>
          <t>Does Not Apply</t>
        </is>
      </c>
      <c r="Y11" t="inlineStr">
        <is>
          <t>9</t>
        </is>
      </c>
      <c r="AD11" t="inlineStr">
        <is>
          <t>Cut loose threads using a scissor</t>
        </is>
      </c>
      <c r="AE11" t="inlineStr">
        <is>
          <t>Clear Glass</t>
        </is>
      </c>
      <c r="AF11" t="inlineStr">
        <is>
          <t>Chrome</t>
        </is>
      </c>
      <c r="AG11" t="inlineStr">
        <is>
          <t>Center Slides</t>
        </is>
      </c>
      <c r="AI11" t="inlineStr">
        <is>
          <t>Propane</t>
        </is>
      </c>
      <c r="AJ11" t="inlineStr">
        <is>
          <t>Tinted</t>
        </is>
      </c>
      <c r="AK11" t="inlineStr">
        <is>
          <t>Media Storage</t>
        </is>
      </c>
      <c r="AT11" t="inlineStr">
        <is>
          <t>UN3480</t>
        </is>
      </c>
      <c r="AU11" t="inlineStr">
        <is>
          <t>4.2</t>
        </is>
      </c>
      <c r="AW11" t="inlineStr">
        <is>
          <t>&gt;5L</t>
        </is>
      </c>
      <c r="AY11" t="inlineStr">
        <is>
          <t>CSA Certified</t>
        </is>
      </c>
      <c r="BC11" t="inlineStr">
        <is>
          <t>65"</t>
        </is>
      </c>
      <c r="BE11" t="inlineStr">
        <is>
          <t>Ratchet</t>
        </is>
      </c>
      <c r="BF11" t="inlineStr">
        <is>
          <t>20 Years</t>
        </is>
      </c>
      <c r="BH11" t="inlineStr">
        <is>
          <t>20 Years</t>
        </is>
      </c>
    </row>
    <row r="12">
      <c r="C12" t="inlineStr">
        <is>
          <t>125</t>
        </is>
      </c>
      <c r="D12" t="inlineStr">
        <is>
          <t>240</t>
        </is>
      </c>
      <c r="F12" t="inlineStr">
        <is>
          <t>Acrylonitrile</t>
        </is>
      </c>
      <c r="H12" t="inlineStr">
        <is>
          <t>Antarctica</t>
        </is>
      </c>
      <c r="I12" t="inlineStr">
        <is>
          <t>Marketing Materials</t>
        </is>
      </c>
      <c r="J12" t="inlineStr">
        <is>
          <t>AHMA Certified</t>
        </is>
      </c>
      <c r="L12" t="inlineStr">
        <is>
          <t>French (Canada)</t>
        </is>
      </c>
      <c r="N12" t="inlineStr">
        <is>
          <t>Apothecary</t>
        </is>
      </c>
      <c r="O12" t="inlineStr">
        <is>
          <t>Faux Leather</t>
        </is>
      </c>
      <c r="P12" t="inlineStr">
        <is>
          <t>Unavailable</t>
        </is>
      </c>
      <c r="U12" t="inlineStr">
        <is>
          <t>Box</t>
        </is>
      </c>
      <c r="V12" t="inlineStr">
        <is>
          <t>Eucalyptus</t>
        </is>
      </c>
      <c r="Y12" t="inlineStr">
        <is>
          <t>Unavailable</t>
        </is>
      </c>
      <c r="AD12" t="inlineStr">
        <is>
          <t>Clean with soap and water</t>
        </is>
      </c>
      <c r="AE12" t="inlineStr">
        <is>
          <t>Stone</t>
        </is>
      </c>
      <c r="AF12" t="inlineStr">
        <is>
          <t>Oil Rubbed Bronze</t>
        </is>
      </c>
      <c r="AG12" t="inlineStr">
        <is>
          <t>Kenlin</t>
        </is>
      </c>
      <c r="AI12" t="inlineStr">
        <is>
          <t>Butane</t>
        </is>
      </c>
      <c r="AJ12" t="inlineStr">
        <is>
          <t>See Through</t>
        </is>
      </c>
      <c r="AK12" t="inlineStr">
        <is>
          <t>Pier / Bookcase</t>
        </is>
      </c>
      <c r="AT12" t="inlineStr">
        <is>
          <t>UN2857</t>
        </is>
      </c>
      <c r="AU12" t="inlineStr">
        <is>
          <t>5.1</t>
        </is>
      </c>
      <c r="AW12" t="inlineStr">
        <is>
          <t>&gt;5kg</t>
        </is>
      </c>
      <c r="AY12" t="inlineStr">
        <is>
          <t>SGS North America Listed</t>
        </is>
      </c>
      <c r="BC12" t="inlineStr">
        <is>
          <t>75"</t>
        </is>
      </c>
      <c r="BE12" t="inlineStr">
        <is>
          <t>Utility Saw</t>
        </is>
      </c>
      <c r="BF12" t="inlineStr">
        <is>
          <t>25 Years</t>
        </is>
      </c>
      <c r="BH12" t="inlineStr">
        <is>
          <t>25 Years</t>
        </is>
      </c>
    </row>
    <row r="13">
      <c r="C13" t="inlineStr">
        <is>
          <t>150</t>
        </is>
      </c>
      <c r="D13" t="inlineStr">
        <is>
          <t>360</t>
        </is>
      </c>
      <c r="F13" t="inlineStr">
        <is>
          <t>Actinomycin D</t>
        </is>
      </c>
      <c r="H13" t="inlineStr">
        <is>
          <t>Antigua and Barbuda</t>
        </is>
      </c>
      <c r="I13" t="inlineStr">
        <is>
          <t>Energy Guide</t>
        </is>
      </c>
      <c r="J13" t="inlineStr">
        <is>
          <t>AHMA Compliant</t>
        </is>
      </c>
      <c r="L13" t="inlineStr">
        <is>
          <t>Hungarian</t>
        </is>
      </c>
      <c r="N13" t="inlineStr">
        <is>
          <t>Multi-tiered</t>
        </is>
      </c>
      <c r="O13" t="inlineStr">
        <is>
          <t>Iron</t>
        </is>
      </c>
      <c r="U13" t="inlineStr">
        <is>
          <t>Lap</t>
        </is>
      </c>
      <c r="V13" t="inlineStr">
        <is>
          <t>Fir</t>
        </is>
      </c>
      <c r="Y13" t="inlineStr">
        <is>
          <t>Does Not Apply</t>
        </is>
      </c>
      <c r="AD13" t="inlineStr">
        <is>
          <t>Clean spills immediately</t>
        </is>
      </c>
      <c r="AE13" t="inlineStr">
        <is>
          <t>Glass</t>
        </is>
      </c>
      <c r="AF13" t="inlineStr">
        <is>
          <t>Matte Black</t>
        </is>
      </c>
      <c r="AG13" t="inlineStr">
        <is>
          <t>Side-Mounted Glides</t>
        </is>
      </c>
      <c r="AI13" t="inlineStr">
        <is>
          <t>Charcoal</t>
        </is>
      </c>
      <c r="AJ13" t="inlineStr">
        <is>
          <t>Double Pane</t>
        </is>
      </c>
      <c r="AK13" t="inlineStr">
        <is>
          <t>Sound Bar Shelf</t>
        </is>
      </c>
      <c r="AT13" t="inlineStr">
        <is>
          <t>UN3358</t>
        </is>
      </c>
      <c r="AU13" t="inlineStr">
        <is>
          <t>2.3</t>
        </is>
      </c>
      <c r="AW13" t="inlineStr">
        <is>
          <t>Does Not Apply</t>
        </is>
      </c>
      <c r="AY13" t="inlineStr">
        <is>
          <t>Does Not Apply</t>
        </is>
      </c>
      <c r="BC13" t="inlineStr">
        <is>
          <t>70"</t>
        </is>
      </c>
      <c r="BE13" t="inlineStr">
        <is>
          <t>Saw</t>
        </is>
      </c>
      <c r="BF13" t="inlineStr">
        <is>
          <t>Lifetime</t>
        </is>
      </c>
      <c r="BH13" t="inlineStr">
        <is>
          <t>Lifetime</t>
        </is>
      </c>
    </row>
    <row r="14">
      <c r="C14" t="inlineStr">
        <is>
          <t>175</t>
        </is>
      </c>
      <c r="D14" t="inlineStr">
        <is>
          <t>480</t>
        </is>
      </c>
      <c r="F14" t="inlineStr">
        <is>
          <t>AF-2;[2-(2-furyl)-3-(5-nitro-2-furyl)]acrylamide</t>
        </is>
      </c>
      <c r="H14" t="inlineStr">
        <is>
          <t>Argentina</t>
        </is>
      </c>
      <c r="I14" t="inlineStr">
        <is>
          <t>Other</t>
        </is>
      </c>
      <c r="J14" t="inlineStr">
        <is>
          <t>AHRI Certified</t>
        </is>
      </c>
      <c r="L14" t="inlineStr">
        <is>
          <t>Indonesian</t>
        </is>
      </c>
      <c r="N14" t="inlineStr">
        <is>
          <t>Floor</t>
        </is>
      </c>
      <c r="O14" t="inlineStr">
        <is>
          <t>Marble / Granite</t>
        </is>
      </c>
      <c r="U14" t="inlineStr">
        <is>
          <t>Double Dowelled</t>
        </is>
      </c>
      <c r="V14" t="inlineStr">
        <is>
          <t>Hickory</t>
        </is>
      </c>
      <c r="AD14" t="inlineStr">
        <is>
          <t>Dishwasher safe component</t>
        </is>
      </c>
      <c r="AE14" t="inlineStr">
        <is>
          <t>Melamine</t>
        </is>
      </c>
      <c r="AF14" t="inlineStr">
        <is>
          <t>Satin Nickel</t>
        </is>
      </c>
      <c r="AG14" t="inlineStr">
        <is>
          <t>Undermount Glides</t>
        </is>
      </c>
      <c r="AI14" t="inlineStr">
        <is>
          <t>Ethanol</t>
        </is>
      </c>
      <c r="AJ14" t="inlineStr">
        <is>
          <t>Does Not Apply</t>
        </is>
      </c>
      <c r="AK14" t="inlineStr">
        <is>
          <t>TV Anti-Tip Kit</t>
        </is>
      </c>
      <c r="AT14" t="inlineStr">
        <is>
          <t>UN3090</t>
        </is>
      </c>
      <c r="AU14" t="inlineStr">
        <is>
          <t>6.2</t>
        </is>
      </c>
      <c r="BC14" t="inlineStr">
        <is>
          <t>48"</t>
        </is>
      </c>
      <c r="BE14" t="inlineStr">
        <is>
          <t>Measuring Tape</t>
        </is>
      </c>
      <c r="BF14" t="inlineStr">
        <is>
          <t>15 Years</t>
        </is>
      </c>
      <c r="BH14" t="inlineStr">
        <is>
          <t>Warranty length varies by part</t>
        </is>
      </c>
    </row>
    <row r="15">
      <c r="C15" t="inlineStr">
        <is>
          <t>200</t>
        </is>
      </c>
      <c r="D15" t="inlineStr">
        <is>
          <t>600</t>
        </is>
      </c>
      <c r="F15" t="inlineStr">
        <is>
          <t>Aflatoxins</t>
        </is>
      </c>
      <c r="H15" t="inlineStr">
        <is>
          <t>Armenia</t>
        </is>
      </c>
      <c r="I15" t="inlineStr">
        <is>
          <t>Product Information Sheet</t>
        </is>
      </c>
      <c r="J15" t="inlineStr">
        <is>
          <t>ANSI A117.1 Compliant</t>
        </is>
      </c>
      <c r="L15" t="inlineStr">
        <is>
          <t>Icelandic</t>
        </is>
      </c>
      <c r="N15" t="inlineStr">
        <is>
          <t>Corner</t>
        </is>
      </c>
      <c r="O15" t="inlineStr">
        <is>
          <t>Metal</t>
        </is>
      </c>
      <c r="U15" t="inlineStr">
        <is>
          <t>Bridle</t>
        </is>
      </c>
      <c r="V15" t="inlineStr">
        <is>
          <t>Mahogany</t>
        </is>
      </c>
      <c r="AD15" t="inlineStr">
        <is>
          <t>Lay flat to dry</t>
        </is>
      </c>
      <c r="AE15" t="inlineStr">
        <is>
          <t>Aluminum</t>
        </is>
      </c>
      <c r="AF15" t="inlineStr">
        <is>
          <t>Brushed Nickel</t>
        </is>
      </c>
      <c r="AG15" t="inlineStr">
        <is>
          <t>Euro Glides</t>
        </is>
      </c>
      <c r="AI15" t="inlineStr">
        <is>
          <t>Alcohol</t>
        </is>
      </c>
      <c r="AK15" t="inlineStr">
        <is>
          <t>Wheels / Casters</t>
        </is>
      </c>
      <c r="AT15" t="inlineStr">
        <is>
          <t>UN1266</t>
        </is>
      </c>
      <c r="AU15" t="inlineStr">
        <is>
          <t>9</t>
        </is>
      </c>
      <c r="BC15" t="inlineStr">
        <is>
          <t>43"</t>
        </is>
      </c>
      <c r="BE15" t="inlineStr">
        <is>
          <t>Mallet</t>
        </is>
      </c>
      <c r="BF15" t="inlineStr">
        <is>
          <t>4 Years</t>
        </is>
      </c>
      <c r="BH15" t="inlineStr">
        <is>
          <t>15 Years</t>
        </is>
      </c>
    </row>
    <row r="16">
      <c r="C16" t="inlineStr">
        <is>
          <t>250</t>
        </is>
      </c>
      <c r="D16" t="inlineStr">
        <is>
          <t>720</t>
        </is>
      </c>
      <c r="F16" t="inlineStr">
        <is>
          <t>Alachlor</t>
        </is>
      </c>
      <c r="H16" t="inlineStr">
        <is>
          <t>Aruba</t>
        </is>
      </c>
      <c r="I16" t="inlineStr">
        <is>
          <t>Digital Law Label</t>
        </is>
      </c>
      <c r="J16" t="inlineStr">
        <is>
          <t>ANSI A137.1 Compliant</t>
        </is>
      </c>
      <c r="L16" t="inlineStr">
        <is>
          <t>Italian</t>
        </is>
      </c>
      <c r="N16" t="inlineStr">
        <is>
          <t>Basket Storage</t>
        </is>
      </c>
      <c r="O16" t="inlineStr">
        <is>
          <t>Plastic / Acrylic</t>
        </is>
      </c>
      <c r="U16" t="inlineStr">
        <is>
          <t>Halved</t>
        </is>
      </c>
      <c r="V16" t="inlineStr">
        <is>
          <t>Mango</t>
        </is>
      </c>
      <c r="AD16" t="inlineStr">
        <is>
          <t>Dryer safe</t>
        </is>
      </c>
      <c r="AE16" t="inlineStr">
        <is>
          <t>Acrylic</t>
        </is>
      </c>
      <c r="AF16" t="inlineStr">
        <is>
          <t>Antique Brass</t>
        </is>
      </c>
      <c r="AG16" t="inlineStr">
        <is>
          <t>Unavailable</t>
        </is>
      </c>
      <c r="AI16" t="inlineStr">
        <is>
          <t>Does Not Apply</t>
        </is>
      </c>
      <c r="AK16" t="inlineStr">
        <is>
          <t>Cabinets</t>
        </is>
      </c>
      <c r="AT16" t="inlineStr">
        <is>
          <t>UN1993</t>
        </is>
      </c>
      <c r="AU16" t="inlineStr">
        <is>
          <t>8</t>
        </is>
      </c>
      <c r="BC16" t="inlineStr">
        <is>
          <t>88"</t>
        </is>
      </c>
      <c r="BE16" t="inlineStr">
        <is>
          <t>Level</t>
        </is>
      </c>
      <c r="BF16" t="inlineStr">
        <is>
          <t>18 Months</t>
        </is>
      </c>
      <c r="BH16" t="inlineStr">
        <is>
          <t>18 Months</t>
        </is>
      </c>
    </row>
    <row r="17">
      <c r="C17" t="inlineStr">
        <is>
          <t>300</t>
        </is>
      </c>
      <c r="D17" t="inlineStr">
        <is>
          <t>840</t>
        </is>
      </c>
      <c r="F17" t="inlineStr">
        <is>
          <t>Alcoholic beverages, when associated with alcohol abuse</t>
        </is>
      </c>
      <c r="H17" t="inlineStr">
        <is>
          <t>Australia</t>
        </is>
      </c>
      <c r="J17" t="inlineStr">
        <is>
          <t>ANSI IT9.2 Compliant</t>
        </is>
      </c>
      <c r="L17" t="inlineStr">
        <is>
          <t>Japanese</t>
        </is>
      </c>
      <c r="N17" t="inlineStr">
        <is>
          <t>Tabletop</t>
        </is>
      </c>
      <c r="O17" t="inlineStr">
        <is>
          <t>Teak</t>
        </is>
      </c>
      <c r="U17" t="inlineStr">
        <is>
          <t>Corner Block Reinforced</t>
        </is>
      </c>
      <c r="V17" t="inlineStr">
        <is>
          <t>Maple</t>
        </is>
      </c>
      <c r="AD17" t="inlineStr">
        <is>
          <t>Warm wash</t>
        </is>
      </c>
      <c r="AE17" t="inlineStr">
        <is>
          <t>Resin</t>
        </is>
      </c>
      <c r="AF17" t="inlineStr">
        <is>
          <t>Antique Bronze</t>
        </is>
      </c>
      <c r="AG17" t="inlineStr">
        <is>
          <t>Does Not Apply</t>
        </is>
      </c>
      <c r="AK17" t="inlineStr">
        <is>
          <t>Unavailable</t>
        </is>
      </c>
      <c r="AT17" t="inlineStr">
        <is>
          <t>UN1944</t>
        </is>
      </c>
      <c r="AU17" t="inlineStr">
        <is>
          <t>Does Not Apply</t>
        </is>
      </c>
      <c r="BC17" t="inlineStr">
        <is>
          <t>60"</t>
        </is>
      </c>
      <c r="BE17" t="inlineStr">
        <is>
          <t>Box Cutter</t>
        </is>
      </c>
      <c r="BF17" t="inlineStr">
        <is>
          <t>6 Years</t>
        </is>
      </c>
      <c r="BH17" t="inlineStr">
        <is>
          <t>12 Years</t>
        </is>
      </c>
    </row>
    <row r="18">
      <c r="C18" t="inlineStr">
        <is>
          <t>400</t>
        </is>
      </c>
      <c r="D18" t="inlineStr">
        <is>
          <t>960</t>
        </is>
      </c>
      <c r="F18" t="inlineStr">
        <is>
          <t>Aldrin</t>
        </is>
      </c>
      <c r="H18" t="inlineStr">
        <is>
          <t>Austria</t>
        </is>
      </c>
      <c r="J18" t="inlineStr">
        <is>
          <t>ANSI Z1.5A/CGA 9.1M Certified</t>
        </is>
      </c>
      <c r="L18" t="inlineStr">
        <is>
          <t>Korean</t>
        </is>
      </c>
      <c r="N18" t="inlineStr">
        <is>
          <t>Hanging</t>
        </is>
      </c>
      <c r="O18" t="inlineStr">
        <is>
          <t>Solid + Manufactured Wood</t>
        </is>
      </c>
      <c r="U18" t="inlineStr">
        <is>
          <t>Miter</t>
        </is>
      </c>
      <c r="V18" t="inlineStr">
        <is>
          <t>Oak</t>
        </is>
      </c>
      <c r="AD18" t="inlineStr">
        <is>
          <t>Non-Abrasive, Neutral Ph Cleaner</t>
        </is>
      </c>
      <c r="AE18" t="inlineStr">
        <is>
          <t>Tinted Glass</t>
        </is>
      </c>
      <c r="AF18" t="inlineStr">
        <is>
          <t>Copper</t>
        </is>
      </c>
      <c r="AK18" t="inlineStr">
        <is>
          <t>Does Not Apply</t>
        </is>
      </c>
      <c r="AT18" t="inlineStr">
        <is>
          <t>UN1070</t>
        </is>
      </c>
      <c r="BC18" t="inlineStr">
        <is>
          <t>78"</t>
        </is>
      </c>
      <c r="BE18" t="inlineStr">
        <is>
          <t>Caulk / Adhesive</t>
        </is>
      </c>
      <c r="BF18" t="inlineStr">
        <is>
          <t>7 Years</t>
        </is>
      </c>
      <c r="BH18" t="inlineStr">
        <is>
          <t>6 Years</t>
        </is>
      </c>
    </row>
    <row r="19">
      <c r="C19" t="inlineStr">
        <is>
          <t>500</t>
        </is>
      </c>
      <c r="F19" t="inlineStr">
        <is>
          <t>All-trans retinoic acid</t>
        </is>
      </c>
      <c r="H19" t="inlineStr">
        <is>
          <t>Azerbaijan</t>
        </is>
      </c>
      <c r="J19" t="inlineStr">
        <is>
          <t>ANSI Z124.1.2 Compliant</t>
        </is>
      </c>
      <c r="L19" t="inlineStr">
        <is>
          <t>Norwegian (Bokmål)</t>
        </is>
      </c>
      <c r="N19" t="inlineStr">
        <is>
          <t>Bombe</t>
        </is>
      </c>
      <c r="O19" t="inlineStr">
        <is>
          <t>Steel</t>
        </is>
      </c>
      <c r="U19" t="inlineStr">
        <is>
          <t>Unavailable</t>
        </is>
      </c>
      <c r="V19" t="inlineStr">
        <is>
          <t>Pine</t>
        </is>
      </c>
      <c r="AD19" t="inlineStr">
        <is>
          <t>Commercial dishwasher safe</t>
        </is>
      </c>
      <c r="AE19" t="inlineStr">
        <is>
          <t>Laminate</t>
        </is>
      </c>
      <c r="AF19" t="inlineStr">
        <is>
          <t>Antique Copper</t>
        </is>
      </c>
      <c r="AT19" t="inlineStr">
        <is>
          <t>UN1044</t>
        </is>
      </c>
      <c r="BC19" t="inlineStr">
        <is>
          <t>85"</t>
        </is>
      </c>
      <c r="BE19" t="inlineStr">
        <is>
          <t>Anchors / Stakes</t>
        </is>
      </c>
      <c r="BF19" t="inlineStr">
        <is>
          <t>8 Years</t>
        </is>
      </c>
      <c r="BH19" t="inlineStr">
        <is>
          <t>4 Years</t>
        </is>
      </c>
    </row>
    <row r="20">
      <c r="F20" t="inlineStr">
        <is>
          <t>Aloe Vera, non-decolorized whole leaf extract</t>
        </is>
      </c>
      <c r="H20" t="inlineStr">
        <is>
          <t>Bahamas</t>
        </is>
      </c>
      <c r="J20" t="inlineStr">
        <is>
          <t>ANSI Z124.3 Compliant</t>
        </is>
      </c>
      <c r="L20" t="inlineStr">
        <is>
          <t>Dutch</t>
        </is>
      </c>
      <c r="N20" t="inlineStr">
        <is>
          <t>Etagere</t>
        </is>
      </c>
      <c r="O20" t="inlineStr">
        <is>
          <t>Solid Wood</t>
        </is>
      </c>
      <c r="U20" t="inlineStr">
        <is>
          <t>Does Not Apply</t>
        </is>
      </c>
      <c r="V20" t="inlineStr">
        <is>
          <t>Poplar</t>
        </is>
      </c>
      <c r="AD20" t="inlineStr">
        <is>
          <t>Vacuum with no beater bar/rotating brush</t>
        </is>
      </c>
      <c r="AE20" t="inlineStr">
        <is>
          <t>Metal</t>
        </is>
      </c>
      <c r="AF20" t="inlineStr">
        <is>
          <t>Brushed Brass</t>
        </is>
      </c>
      <c r="AT20" t="inlineStr">
        <is>
          <t>UN3163</t>
        </is>
      </c>
      <c r="BC20" t="inlineStr">
        <is>
          <t>77"</t>
        </is>
      </c>
      <c r="BE20" t="inlineStr">
        <is>
          <t>Clamps</t>
        </is>
      </c>
      <c r="BF20" t="inlineStr">
        <is>
          <t>9 Years</t>
        </is>
      </c>
      <c r="BH20" t="inlineStr">
        <is>
          <t>8 Years</t>
        </is>
      </c>
    </row>
    <row r="21">
      <c r="F21" t="inlineStr">
        <is>
          <t>Alprazolam</t>
        </is>
      </c>
      <c r="H21" t="inlineStr">
        <is>
          <t>Bahrain</t>
        </is>
      </c>
      <c r="J21" t="inlineStr">
        <is>
          <t>ANSI Z124.6-97 Compliant</t>
        </is>
      </c>
      <c r="L21" t="inlineStr">
        <is>
          <t>Polish</t>
        </is>
      </c>
      <c r="N21" t="inlineStr">
        <is>
          <t>Wall Mounted</t>
        </is>
      </c>
      <c r="O21" t="inlineStr">
        <is>
          <t>Wicker</t>
        </is>
      </c>
      <c r="V21" t="inlineStr">
        <is>
          <t>Rosewood</t>
        </is>
      </c>
      <c r="AD21" t="inlineStr">
        <is>
          <t>Air / Line Dry</t>
        </is>
      </c>
      <c r="AE21" t="inlineStr">
        <is>
          <t>Wire</t>
        </is>
      </c>
      <c r="AF21" t="inlineStr">
        <is>
          <t>Polished Brass</t>
        </is>
      </c>
      <c r="AT21" t="inlineStr">
        <is>
          <t>UN1268</t>
        </is>
      </c>
      <c r="BE21" t="inlineStr">
        <is>
          <t>Drill Bit</t>
        </is>
      </c>
      <c r="BF21" t="inlineStr">
        <is>
          <t>12 Years</t>
        </is>
      </c>
      <c r="BH21" t="inlineStr">
        <is>
          <t>7 Years</t>
        </is>
      </c>
    </row>
    <row r="22">
      <c r="F22" t="inlineStr">
        <is>
          <t>Amantadine hydrochloride</t>
        </is>
      </c>
      <c r="H22" t="inlineStr">
        <is>
          <t>Bangladesh</t>
        </is>
      </c>
      <c r="J22" t="inlineStr">
        <is>
          <t>ANSI Z21.11.2-2016 - Gas-Fired Unvented Room Heaters and Gas-Fired Unvented Decorative Room Heaters</t>
        </is>
      </c>
      <c r="L22" t="inlineStr">
        <is>
          <t>Portuguese</t>
        </is>
      </c>
      <c r="N22" t="inlineStr">
        <is>
          <t>Double Walled</t>
        </is>
      </c>
      <c r="O22" t="inlineStr">
        <is>
          <t>Reclaimed Wood</t>
        </is>
      </c>
      <c r="V22" t="inlineStr">
        <is>
          <t>Rubberwood</t>
        </is>
      </c>
      <c r="AD22" t="inlineStr">
        <is>
          <t>Professional / Dry Clean Recommended</t>
        </is>
      </c>
      <c r="AE22" t="inlineStr">
        <is>
          <t>Mirrored</t>
        </is>
      </c>
      <c r="AF22" t="inlineStr">
        <is>
          <t>Brass</t>
        </is>
      </c>
      <c r="AT22" t="inlineStr">
        <is>
          <t>UN1760</t>
        </is>
      </c>
      <c r="BE22" t="inlineStr">
        <is>
          <t>Gloves</t>
        </is>
      </c>
      <c r="BF22" t="inlineStr">
        <is>
          <t>11 Years</t>
        </is>
      </c>
      <c r="BH22" t="inlineStr">
        <is>
          <t>Does Not Apply</t>
        </is>
      </c>
    </row>
    <row r="23">
      <c r="F23" t="inlineStr">
        <is>
          <t>Amikacin sulfate</t>
        </is>
      </c>
      <c r="H23" t="inlineStr">
        <is>
          <t>Barbados</t>
        </is>
      </c>
      <c r="J23" t="inlineStr">
        <is>
          <t>ANSI Z21.50-2016/CSA 2.22-2016 - Standard for Vented Decorative Gas Appliances</t>
        </is>
      </c>
      <c r="L23" t="inlineStr">
        <is>
          <t>Romanian</t>
        </is>
      </c>
      <c r="N23" t="inlineStr">
        <is>
          <t>Console</t>
        </is>
      </c>
      <c r="V23" t="inlineStr">
        <is>
          <t>Sheesham</t>
        </is>
      </c>
      <c r="AD23" t="inlineStr">
        <is>
          <t>Wash With Garden Hose Or Pressure Washer</t>
        </is>
      </c>
      <c r="AE23" t="inlineStr">
        <is>
          <t>Plastic</t>
        </is>
      </c>
      <c r="AF23" t="inlineStr">
        <is>
          <t>Satin Brass</t>
        </is>
      </c>
      <c r="AT23" t="inlineStr">
        <is>
          <t>UN1011</t>
        </is>
      </c>
      <c r="BE23" t="inlineStr">
        <is>
          <t>Hex Key</t>
        </is>
      </c>
      <c r="BF23" t="inlineStr">
        <is>
          <t>13 Years</t>
        </is>
      </c>
    </row>
    <row r="24">
      <c r="F24" t="inlineStr">
        <is>
          <t>2-Aminoanthraquinone</t>
        </is>
      </c>
      <c r="H24" t="inlineStr">
        <is>
          <t>Belarus</t>
        </is>
      </c>
      <c r="J24" t="inlineStr">
        <is>
          <t>ANSI Z21.60-2017/CSA 2.26-2017- Standard for Decorative Gas Appliances</t>
        </is>
      </c>
      <c r="L24" t="inlineStr">
        <is>
          <t>Russian</t>
        </is>
      </c>
      <c r="N24" t="inlineStr">
        <is>
          <t>Pedestal</t>
        </is>
      </c>
      <c r="V24" t="inlineStr">
        <is>
          <t>Spruce</t>
        </is>
      </c>
      <c r="AD24" t="inlineStr">
        <is>
          <t>Machine washable components</t>
        </is>
      </c>
      <c r="AE24" t="inlineStr">
        <is>
          <t>Manufactured Wood</t>
        </is>
      </c>
      <c r="AF24" t="inlineStr">
        <is>
          <t>Brushed Gold</t>
        </is>
      </c>
      <c r="AT24" t="inlineStr">
        <is>
          <t>UN2794</t>
        </is>
      </c>
      <c r="BE24" t="inlineStr">
        <is>
          <t>Glass Cutter</t>
        </is>
      </c>
      <c r="BF24" t="inlineStr">
        <is>
          <t>14 Years</t>
        </is>
      </c>
    </row>
    <row r="25">
      <c r="F25" t="inlineStr">
        <is>
          <t>p-Aminoazobenzene</t>
        </is>
      </c>
      <c r="H25" t="inlineStr">
        <is>
          <t>Belgium</t>
        </is>
      </c>
      <c r="J25" t="inlineStr">
        <is>
          <t>ANSI Z21.84-2017 - Standard for Manually Lighted/ Natural Gas/ Decorative Gas Appliances</t>
        </is>
      </c>
      <c r="L25" t="inlineStr">
        <is>
          <t>Slovak</t>
        </is>
      </c>
      <c r="N25" t="inlineStr">
        <is>
          <t>Unavailable</t>
        </is>
      </c>
      <c r="V25" t="inlineStr">
        <is>
          <t>Teak</t>
        </is>
      </c>
      <c r="AD25" t="inlineStr">
        <is>
          <t>Professional / Dry Clean Only</t>
        </is>
      </c>
      <c r="AE25" t="inlineStr">
        <is>
          <t>Glass / Polycarbonate</t>
        </is>
      </c>
      <c r="AF25" t="inlineStr">
        <is>
          <t>Nickel</t>
        </is>
      </c>
      <c r="AT25" t="inlineStr">
        <is>
          <t>UN1759</t>
        </is>
      </c>
      <c r="BE25" t="inlineStr">
        <is>
          <t>Chop Saw</t>
        </is>
      </c>
      <c r="BF25" t="inlineStr">
        <is>
          <t>No Commercial Warranty</t>
        </is>
      </c>
    </row>
    <row r="26">
      <c r="F26" t="inlineStr">
        <is>
          <t>o-Aminoazotoluene</t>
        </is>
      </c>
      <c r="H26" t="inlineStr">
        <is>
          <t>Belize</t>
        </is>
      </c>
      <c r="J26" t="inlineStr">
        <is>
          <t>ANSI Z21.88-2017/CSA 2.33-2017- Standard for Vented Gas Fireplace Heaters</t>
        </is>
      </c>
      <c r="L26" t="inlineStr">
        <is>
          <t>Swedish</t>
        </is>
      </c>
      <c r="N26" t="inlineStr">
        <is>
          <t>Does Not Apply</t>
        </is>
      </c>
      <c r="V26" t="inlineStr">
        <is>
          <t>Walnut</t>
        </is>
      </c>
      <c r="AD26" t="inlineStr">
        <is>
          <t>Vacuum with upholstery attachment</t>
        </is>
      </c>
      <c r="AE26" t="inlineStr">
        <is>
          <t>Wicker</t>
        </is>
      </c>
      <c r="AF26" t="inlineStr">
        <is>
          <t>Ivory</t>
        </is>
      </c>
      <c r="AT26" t="inlineStr">
        <is>
          <t>UN3171</t>
        </is>
      </c>
      <c r="BE26" t="inlineStr">
        <is>
          <t>Circular Saw</t>
        </is>
      </c>
      <c r="BF26" t="inlineStr">
        <is>
          <t>Does Not Apply</t>
        </is>
      </c>
    </row>
    <row r="27">
      <c r="F27" t="inlineStr">
        <is>
          <t>4-Aminobiphenyl (4-aminodiphenyl)</t>
        </is>
      </c>
      <c r="H27" t="inlineStr">
        <is>
          <t>Benin</t>
        </is>
      </c>
      <c r="J27" t="inlineStr">
        <is>
          <t>ANSI Z358 Compliant</t>
        </is>
      </c>
      <c r="L27" t="inlineStr">
        <is>
          <t>Ukrainian</t>
        </is>
      </c>
      <c r="V27" t="inlineStr">
        <is>
          <t>Wenge</t>
        </is>
      </c>
      <c r="AD27" t="inlineStr">
        <is>
          <t>Vacuum with beater bar/rotating brush</t>
        </is>
      </c>
      <c r="AE27" t="inlineStr">
        <is>
          <t>Iron</t>
        </is>
      </c>
      <c r="AF27" t="inlineStr">
        <is>
          <t>Green</t>
        </is>
      </c>
      <c r="AT27" t="inlineStr">
        <is>
          <t>UN1987</t>
        </is>
      </c>
      <c r="BE27" t="inlineStr">
        <is>
          <t>Phillips Head Screwdriver</t>
        </is>
      </c>
    </row>
    <row r="28">
      <c r="F28" t="inlineStr">
        <is>
          <t>1-Amino-2,4-dibromoanthraquinone</t>
        </is>
      </c>
      <c r="H28" t="inlineStr">
        <is>
          <t>Bermuda</t>
        </is>
      </c>
      <c r="J28" t="inlineStr">
        <is>
          <t>ANSI/BHMA A156 Certified</t>
        </is>
      </c>
      <c r="L28" t="inlineStr">
        <is>
          <t>Vietnamese</t>
        </is>
      </c>
      <c r="V28" t="inlineStr">
        <is>
          <t>Pecan</t>
        </is>
      </c>
      <c r="AD28" t="inlineStr">
        <is>
          <t>Clean with bleach and water</t>
        </is>
      </c>
      <c r="AE28" t="inlineStr">
        <is>
          <t>Solid Wood</t>
        </is>
      </c>
      <c r="AF28" t="inlineStr">
        <is>
          <t>Orange</t>
        </is>
      </c>
      <c r="AT28" t="inlineStr">
        <is>
          <t>UN1263</t>
        </is>
      </c>
      <c r="BE28" t="inlineStr">
        <is>
          <t>Crescent Wrench</t>
        </is>
      </c>
    </row>
    <row r="29">
      <c r="F29" t="inlineStr">
        <is>
          <t>3-Amino-9-ethylcarbazole hydrochloride</t>
        </is>
      </c>
      <c r="H29" t="inlineStr">
        <is>
          <t>Bhutan</t>
        </is>
      </c>
      <c r="J29" t="inlineStr">
        <is>
          <t>ANSI/BIFMA M7.1 Standard Test Method for Determining VOC Emissions</t>
        </is>
      </c>
      <c r="L29" t="inlineStr">
        <is>
          <t>Chinese (S)</t>
        </is>
      </c>
      <c r="V29" t="inlineStr">
        <is>
          <t>Shorea</t>
        </is>
      </c>
      <c r="AD29" t="inlineStr">
        <is>
          <t>Use product specific cleaner</t>
        </is>
      </c>
      <c r="AE29" t="inlineStr">
        <is>
          <t>Granite</t>
        </is>
      </c>
      <c r="AF29" t="inlineStr">
        <is>
          <t>Beige</t>
        </is>
      </c>
      <c r="AT29" t="inlineStr">
        <is>
          <t>UN1170</t>
        </is>
      </c>
      <c r="BE29" t="inlineStr">
        <is>
          <t>Flat Screwdriver</t>
        </is>
      </c>
    </row>
    <row r="30">
      <c r="F30" t="i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
          <t>Unavailable</t>
        </is>
      </c>
      <c r="AF30" t="inlineStr">
        <is>
          <t>Teal</t>
        </is>
      </c>
      <c r="AT30" t="inlineStr">
        <is>
          <t>UN3265</t>
        </is>
      </c>
      <c r="BE30" t="inlineStr">
        <is>
          <t>Adhesive Roller / Tray</t>
        </is>
      </c>
    </row>
    <row r="31">
      <c r="F31" t="inlineStr">
        <is>
          <t>Aminoglutethimide</t>
        </is>
      </c>
      <c r="H31" t="inlineStr">
        <is>
          <t>Bosnia and Herzegovina</t>
        </is>
      </c>
      <c r="J31" t="inlineStr">
        <is>
          <t>ANSI/BIFMA X5.11 Large Occupant Office Seating</t>
        </is>
      </c>
      <c r="V31" t="inlineStr">
        <is>
          <t>Chestnut</t>
        </is>
      </c>
      <c r="AD31" t="inlineStr">
        <is>
          <t>Shake to remove dust</t>
        </is>
      </c>
      <c r="AE31" t="inlineStr">
        <is>
          <t>Does Not Apply</t>
        </is>
      </c>
      <c r="AF31" t="inlineStr">
        <is>
          <t>Red</t>
        </is>
      </c>
      <c r="AT31" t="inlineStr">
        <is>
          <t>UN3260</t>
        </is>
      </c>
      <c r="BE31" t="inlineStr">
        <is>
          <t>Shovel</t>
        </is>
      </c>
    </row>
    <row r="32">
      <c r="F32" t="inlineStr">
        <is>
          <t>Aminoglycosides</t>
        </is>
      </c>
      <c r="H32" t="inlineStr">
        <is>
          <t>Botswana</t>
        </is>
      </c>
      <c r="J32" t="inlineStr">
        <is>
          <t>ANSI/BIFMA X5.3 Vertical Files</t>
        </is>
      </c>
      <c r="V32" t="inlineStr">
        <is>
          <t>Hemlock</t>
        </is>
      </c>
      <c r="AD32" t="inlineStr">
        <is>
          <t>Tumble dry</t>
        </is>
      </c>
      <c r="AF32" t="inlineStr">
        <is>
          <t>Satin</t>
        </is>
      </c>
      <c r="AT32" t="inlineStr">
        <is>
          <t>UN3215</t>
        </is>
      </c>
      <c r="BE32" t="inlineStr">
        <is>
          <t>Drill</t>
        </is>
      </c>
    </row>
    <row r="33">
      <c r="F33" t="inlineStr">
        <is>
          <t>1-Amino-2-methylanthraquinone</t>
        </is>
      </c>
      <c r="H33" t="inlineStr">
        <is>
          <t>Bouvet Island</t>
        </is>
      </c>
      <c r="J33" t="inlineStr">
        <is>
          <t>ANSI/BIFMA X5.4 Lounge &amp; Public Seating</t>
        </is>
      </c>
      <c r="V33" t="inlineStr">
        <is>
          <t>Aspen</t>
        </is>
      </c>
      <c r="AD33" t="inlineStr">
        <is>
          <t>Iron safe</t>
        </is>
      </c>
      <c r="AF33" t="inlineStr">
        <is>
          <t>Yellow</t>
        </is>
      </c>
      <c r="AT33" t="inlineStr">
        <is>
          <t>UN1006</t>
        </is>
      </c>
      <c r="BE33" t="inlineStr">
        <is>
          <t>Smoother / Squeegee</t>
        </is>
      </c>
    </row>
    <row r="34">
      <c r="F34" t="inlineStr">
        <is>
          <t>2-Amino-5-(5-nitro-2-furyl)-1,3,4-thiadiazole</t>
        </is>
      </c>
      <c r="H34" t="inlineStr">
        <is>
          <t>Brazil</t>
        </is>
      </c>
      <c r="J34" t="inlineStr">
        <is>
          <t>ANSI/BIFMA X5.5 Desk Products</t>
        </is>
      </c>
      <c r="V34" t="inlineStr">
        <is>
          <t>Mindi</t>
        </is>
      </c>
      <c r="AD34" t="inlineStr">
        <is>
          <t>Wipe clean with a dry cloth</t>
        </is>
      </c>
      <c r="AF34" t="inlineStr">
        <is>
          <t>Pink</t>
        </is>
      </c>
      <c r="AT34" t="inlineStr">
        <is>
          <t>UN3175</t>
        </is>
      </c>
      <c r="BE34" t="inlineStr">
        <is>
          <t>Ladder</t>
        </is>
      </c>
    </row>
    <row r="35">
      <c r="F35" t="inlineStr">
        <is>
          <t>4-Amino-2-nitrophenol</t>
        </is>
      </c>
      <c r="H35" t="inlineStr">
        <is>
          <t>British Indian Ocean Territory</t>
        </is>
      </c>
      <c r="J35" t="inlineStr">
        <is>
          <t>ANSI/BIFMA X5.6 Panel Systems</t>
        </is>
      </c>
      <c r="V35" t="inlineStr">
        <is>
          <t>Ipe</t>
        </is>
      </c>
      <c r="AD35" t="inlineStr">
        <is>
          <t>Cover when not in use</t>
        </is>
      </c>
      <c r="AF35" t="inlineStr">
        <is>
          <t>White</t>
        </is>
      </c>
      <c r="AT35" t="inlineStr">
        <is>
          <t>Does Not Apply</t>
        </is>
      </c>
      <c r="BE35" t="inlineStr">
        <is>
          <t>Wire Stripper</t>
        </is>
      </c>
    </row>
    <row r="36">
      <c r="F36" t="inlineStr">
        <is>
          <t>Aminopterin</t>
        </is>
      </c>
      <c r="H36" t="inlineStr">
        <is>
          <t>Brunei Darussalam</t>
        </is>
      </c>
      <c r="J36" t="inlineStr">
        <is>
          <t>ANSI/BIFMA X5.9 Storage</t>
        </is>
      </c>
      <c r="V36" t="inlineStr">
        <is>
          <t>Olive</t>
        </is>
      </c>
      <c r="AD36" t="inlineStr">
        <is>
          <t>Avoid use of abrasive cleaners</t>
        </is>
      </c>
      <c r="AF36" t="inlineStr">
        <is>
          <t>Brown</t>
        </is>
      </c>
      <c r="BE36" t="inlineStr">
        <is>
          <t>Razor Knife</t>
        </is>
      </c>
    </row>
    <row r="37">
      <c r="F37" t="inlineStr">
        <is>
          <t>Amiodarone hydrochloride</t>
        </is>
      </c>
      <c r="H37" t="inlineStr">
        <is>
          <t>Bulgaria</t>
        </is>
      </c>
      <c r="J37" t="inlineStr">
        <is>
          <t>ANSI/BIFMA X6.1 Educational Seating</t>
        </is>
      </c>
      <c r="V37" t="inlineStr">
        <is>
          <t>Ajo</t>
        </is>
      </c>
      <c r="AD37" t="inlineStr">
        <is>
          <t>Tile specific cleaner</t>
        </is>
      </c>
      <c r="AF37" t="inlineStr">
        <is>
          <t>Blue</t>
        </is>
      </c>
      <c r="BE37" t="inlineStr">
        <is>
          <t>Pencil</t>
        </is>
      </c>
    </row>
    <row r="38">
      <c r="F38" t="inlineStr">
        <is>
          <t>Amitraz</t>
        </is>
      </c>
      <c r="H38" t="inlineStr">
        <is>
          <t>Burkina Faso</t>
        </is>
      </c>
      <c r="J38" t="inlineStr">
        <is>
          <t>ANSI/BIFMA X7.1 Standard for Formaldehyde &amp; TVOC Emissions</t>
        </is>
      </c>
      <c r="V38" t="inlineStr">
        <is>
          <t>Agarwood</t>
        </is>
      </c>
      <c r="AD38" t="inlineStr">
        <is>
          <t>Do not wash</t>
        </is>
      </c>
      <c r="AF38" t="inlineStr">
        <is>
          <t>Satin Black</t>
        </is>
      </c>
      <c r="BE38" t="inlineStr">
        <is>
          <t>Electric Drill</t>
        </is>
      </c>
    </row>
    <row r="39">
      <c r="F39" t="inlineStr">
        <is>
          <t>Amitrole</t>
        </is>
      </c>
      <c r="H39" t="inlineStr">
        <is>
          <t>Burundi</t>
        </is>
      </c>
      <c r="J39" t="inlineStr">
        <is>
          <t>ANSI/ESD S20.20 Certified</t>
        </is>
      </c>
      <c r="V39" t="inlineStr">
        <is>
          <t>Afzelia</t>
        </is>
      </c>
      <c r="AD39" t="inlineStr">
        <is>
          <t>Dust mop</t>
        </is>
      </c>
      <c r="AF39" t="inlineStr">
        <is>
          <t>Rose Gold</t>
        </is>
      </c>
      <c r="BE39" t="inlineStr">
        <is>
          <t>Screw Gun</t>
        </is>
      </c>
    </row>
    <row r="40">
      <c r="F40" t="inlineStr">
        <is>
          <t>Amoxapine</t>
        </is>
      </c>
      <c r="H40" t="inlineStr">
        <is>
          <t>Cambodia</t>
        </is>
      </c>
      <c r="J40" t="inlineStr">
        <is>
          <t>ANSI/NISO Z39.48 Compliant</t>
        </is>
      </c>
      <c r="V40" t="inlineStr">
        <is>
          <t>Afrormosia</t>
        </is>
      </c>
      <c r="AD40" t="inlineStr">
        <is>
          <t>Hose down</t>
        </is>
      </c>
      <c r="AF40" t="inlineStr">
        <is>
          <t>Navy</t>
        </is>
      </c>
      <c r="BE40" t="inlineStr">
        <is>
          <t>Scissors</t>
        </is>
      </c>
    </row>
    <row r="41">
      <c r="F41" t="inlineStr">
        <is>
          <t>Amsacrine</t>
        </is>
      </c>
      <c r="H41" t="inlineStr">
        <is>
          <t>Cameroon</t>
        </is>
      </c>
      <c r="J41" t="inlineStr">
        <is>
          <t>ANSI/SOHO S6.5 Small Office/Home Office</t>
        </is>
      </c>
      <c r="V41" t="inlineStr">
        <is>
          <t>Bubinga</t>
        </is>
      </c>
      <c r="AD41" t="inlineStr">
        <is>
          <t>Towel dry immediately</t>
        </is>
      </c>
      <c r="AF41" t="inlineStr">
        <is>
          <t>Black</t>
        </is>
      </c>
      <c r="BE41" t="inlineStr">
        <is>
          <t>Ruler</t>
        </is>
      </c>
    </row>
    <row r="42">
      <c r="F42" t="inlineStr">
        <is>
          <t>Analgesic mixtures containing Phenacetin</t>
        </is>
      </c>
      <c r="H42" t="inlineStr">
        <is>
          <t>Cape Verde</t>
        </is>
      </c>
      <c r="J42" t="inlineStr">
        <is>
          <t>APMA Certified</t>
        </is>
      </c>
      <c r="V42" t="inlineStr">
        <is>
          <t>Brazilwood</t>
        </is>
      </c>
      <c r="AD42" t="inlineStr">
        <is>
          <t>Household floor cleaner</t>
        </is>
      </c>
      <c r="AF42" t="inlineStr">
        <is>
          <t>Tan</t>
        </is>
      </c>
      <c r="BE42" t="inlineStr">
        <is>
          <t>Safety Glasses</t>
        </is>
      </c>
    </row>
    <row r="43">
      <c r="F43" t="inlineStr">
        <is>
          <t>Androstenedione</t>
        </is>
      </c>
      <c r="H43" t="inlineStr">
        <is>
          <t>Cayman Islands</t>
        </is>
      </c>
      <c r="J43" t="inlineStr">
        <is>
          <t>ASHRAE 62.2 Standard Compliant</t>
        </is>
      </c>
      <c r="V43" t="inlineStr">
        <is>
          <t>Cumaru</t>
        </is>
      </c>
      <c r="AD43" t="inlineStr">
        <is>
          <t>Spot clean</t>
        </is>
      </c>
      <c r="AF43" t="inlineStr">
        <is>
          <t>Gray</t>
        </is>
      </c>
      <c r="BE43" t="inlineStr">
        <is>
          <t>Utility Knife</t>
        </is>
      </c>
    </row>
    <row r="44">
      <c r="F44" t="inlineStr">
        <is>
          <t>Angiotensin converting enzyme  (ACE) inhibitors</t>
        </is>
      </c>
      <c r="H44" t="inlineStr">
        <is>
          <t>Central African Republic</t>
        </is>
      </c>
      <c r="J44" t="inlineStr">
        <is>
          <t>ASME A112.18.1 Compliant</t>
        </is>
      </c>
      <c r="V44" t="inlineStr">
        <is>
          <t>Cedar, Mulanje</t>
        </is>
      </c>
      <c r="AD44" t="inlineStr">
        <is>
          <t>Wipe with wet cloth</t>
        </is>
      </c>
      <c r="AF44" t="inlineStr">
        <is>
          <t>Brown Wood</t>
        </is>
      </c>
      <c r="BE44" t="inlineStr">
        <is>
          <t>Rope</t>
        </is>
      </c>
    </row>
    <row r="45">
      <c r="F45" t="inlineStr">
        <is>
          <t>Aniline</t>
        </is>
      </c>
      <c r="H45" t="inlineStr">
        <is>
          <t>Chad</t>
        </is>
      </c>
      <c r="J45" t="inlineStr">
        <is>
          <t>ASME A112.18.2 Compliant</t>
        </is>
      </c>
      <c r="V45" t="inlineStr">
        <is>
          <t>Cedar, Spanish</t>
        </is>
      </c>
      <c r="AD45" t="inlineStr">
        <is>
          <t>Spot clean with water</t>
        </is>
      </c>
      <c r="AF45" t="inlineStr">
        <is>
          <t>Dark Brown Wood</t>
        </is>
      </c>
      <c r="BE45" t="inlineStr">
        <is>
          <t>Ear Protection</t>
        </is>
      </c>
    </row>
    <row r="46">
      <c r="F46" t="inlineStr">
        <is>
          <t>Aniline hydrochloride</t>
        </is>
      </c>
      <c r="H46" t="inlineStr">
        <is>
          <t>Chile</t>
        </is>
      </c>
      <c r="J46" t="inlineStr">
        <is>
          <t>ASME A112.19.1 Compliant</t>
        </is>
      </c>
      <c r="V46" t="inlineStr">
        <is>
          <t>Aloewood</t>
        </is>
      </c>
      <c r="AD46" t="inlineStr">
        <is>
          <t>When cushions are wet, open cushion zippers and prop up to dry in order to maintain quality</t>
        </is>
      </c>
      <c r="AF46" t="inlineStr">
        <is>
          <t>Medium Yellow Wood</t>
        </is>
      </c>
      <c r="BE46" t="inlineStr">
        <is>
          <t>Stud Finder</t>
        </is>
      </c>
    </row>
    <row r="47">
      <c r="F47" t="inlineStr">
        <is>
          <t>o-Anisidine</t>
        </is>
      </c>
      <c r="H47" t="inlineStr">
        <is>
          <t>China</t>
        </is>
      </c>
      <c r="J47" t="inlineStr">
        <is>
          <t>ASME A112.19.2 Compliant</t>
        </is>
      </c>
      <c r="V47" t="inlineStr">
        <is>
          <t>Lignum vitae</t>
        </is>
      </c>
      <c r="AD47" t="inlineStr">
        <is>
          <t>Oil 1-2 times per year</t>
        </is>
      </c>
      <c r="AF47" t="inlineStr">
        <is>
          <t>Espresso Wood</t>
        </is>
      </c>
      <c r="BE47" t="inlineStr">
        <is>
          <t>Wrench</t>
        </is>
      </c>
    </row>
    <row r="48">
      <c r="F48" t="inlineStr">
        <is>
          <t>o-Anisidine hydrochloride</t>
        </is>
      </c>
      <c r="H48" t="inlineStr">
        <is>
          <t>Christmas Island</t>
        </is>
      </c>
      <c r="J48" t="inlineStr">
        <is>
          <t>ASME A112.19.3 Compliant</t>
        </is>
      </c>
      <c r="V48" t="inlineStr">
        <is>
          <t>Mahogany, African</t>
        </is>
      </c>
      <c r="AD48" t="inlineStr">
        <is>
          <t>No washing / drying care</t>
        </is>
      </c>
      <c r="AF48" t="inlineStr">
        <is>
          <t>Medium Wood</t>
        </is>
      </c>
      <c r="BE48" t="inlineStr">
        <is>
          <t>Tape Measure</t>
        </is>
      </c>
    </row>
    <row r="49">
      <c r="F49" t="inlineStr">
        <is>
          <t>Anisindione</t>
        </is>
      </c>
      <c r="H49" t="inlineStr">
        <is>
          <t>Cocos (Keeling) Islands</t>
        </is>
      </c>
      <c r="J49" t="inlineStr">
        <is>
          <t>ASP:02:01 Certification</t>
        </is>
      </c>
      <c r="V49" t="inlineStr">
        <is>
          <t>Mahogany, Mexican</t>
        </is>
      </c>
      <c r="AD49" t="inlineStr">
        <is>
          <t>Do not bleach</t>
        </is>
      </c>
      <c r="AF49" t="inlineStr">
        <is>
          <t>Red Wood</t>
        </is>
      </c>
      <c r="BE49" t="inlineStr">
        <is>
          <t>Screws</t>
        </is>
      </c>
    </row>
    <row r="50">
      <c r="F50" t="inlineStr">
        <is>
          <t>Anthraquinone</t>
        </is>
      </c>
      <c r="H50" t="inlineStr">
        <is>
          <t>Colombia</t>
        </is>
      </c>
      <c r="J50" t="inlineStr">
        <is>
          <t>ASSE 1001 Certified</t>
        </is>
      </c>
      <c r="V50" t="inlineStr">
        <is>
          <t>Padauk, African</t>
        </is>
      </c>
      <c r="AD50" t="inlineStr">
        <is>
          <t>Treat with wood protector</t>
        </is>
      </c>
      <c r="AF50" t="inlineStr">
        <is>
          <t>Beige Wood</t>
        </is>
      </c>
      <c r="BE50" t="inlineStr">
        <is>
          <t>Wire Cap</t>
        </is>
      </c>
    </row>
    <row r="51">
      <c r="F51" t="inlineStr">
        <is>
          <t>Antimony oxide (Antimony trioxide)</t>
        </is>
      </c>
      <c r="H51" t="inlineStr">
        <is>
          <t>Comoros</t>
        </is>
      </c>
      <c r="J51" t="inlineStr">
        <is>
          <t>ASSE 1006 Certified</t>
        </is>
      </c>
      <c r="V51" t="inlineStr">
        <is>
          <t>Macacauba</t>
        </is>
      </c>
      <c r="AD51" t="inlineStr">
        <is>
          <t>Do not dry clean</t>
        </is>
      </c>
      <c r="AF51" t="inlineStr">
        <is>
          <t>Natural Wood</t>
        </is>
      </c>
      <c r="BE51" t="inlineStr">
        <is>
          <t>Hammer / Mallet</t>
        </is>
      </c>
    </row>
    <row r="52">
      <c r="F52" t="inlineStr">
        <is>
          <t>Aramite</t>
        </is>
      </c>
      <c r="H52" t="inlineStr">
        <is>
          <t>Congo</t>
        </is>
      </c>
      <c r="J52" t="inlineStr">
        <is>
          <t>ASSE 1016 Certified</t>
        </is>
      </c>
      <c r="V52" t="inlineStr">
        <is>
          <t>Ebony, Madagascar</t>
        </is>
      </c>
      <c r="AD52" t="inlineStr">
        <is>
          <t>Clean with diluted vinegar and water</t>
        </is>
      </c>
      <c r="AF52" t="inlineStr">
        <is>
          <t>Gray Wood</t>
        </is>
      </c>
      <c r="BE52" t="inlineStr">
        <is>
          <t>Chalk Line</t>
        </is>
      </c>
    </row>
    <row r="53">
      <c r="F53" t="inlineStr">
        <is>
          <t>Areca nut</t>
        </is>
      </c>
      <c r="H53" t="inlineStr">
        <is>
          <t>Congo, The Democratic Republic of the</t>
        </is>
      </c>
      <c r="J53" t="inlineStr">
        <is>
          <t>ASTM 1821-19</t>
        </is>
      </c>
      <c r="V53" t="inlineStr">
        <is>
          <t>Lignum vitae, Argentine</t>
        </is>
      </c>
      <c r="AD53" t="inlineStr">
        <is>
          <t>Store indoors or cover when not in use</t>
        </is>
      </c>
      <c r="AF53" t="inlineStr">
        <is>
          <t>Light Yellow Wood</t>
        </is>
      </c>
      <c r="BE53" t="inlineStr">
        <is>
          <t>Landscaping Fabric</t>
        </is>
      </c>
    </row>
    <row r="54">
      <c r="F54" t="inlineStr">
        <is>
          <t>Aristolochic acids</t>
        </is>
      </c>
      <c r="H54" t="inlineStr">
        <is>
          <t>Cook Islands</t>
        </is>
      </c>
      <c r="J54" t="inlineStr">
        <is>
          <t>ASTM E1590-07 Compliant</t>
        </is>
      </c>
      <c r="V54" t="inlineStr">
        <is>
          <t>Gavilan</t>
        </is>
      </c>
      <c r="AD54" t="inlineStr">
        <is>
          <t>Use carpet cleaner</t>
        </is>
      </c>
      <c r="AF54" t="inlineStr">
        <is>
          <t>White Wood</t>
        </is>
      </c>
      <c r="BE54" t="inlineStr">
        <is>
          <t>No Tools Needed</t>
        </is>
      </c>
    </row>
    <row r="55">
      <c r="F55" t="inlineStr">
        <is>
          <t>Arsenic (inorganic arsenic compounds)</t>
        </is>
      </c>
      <c r="H55" t="inlineStr">
        <is>
          <t>Costa Rica</t>
        </is>
      </c>
      <c r="J55" t="inlineStr">
        <is>
          <t>ASTM F1004-19 Certified</t>
        </is>
      </c>
      <c r="V55" t="inlineStr">
        <is>
          <t>Mahogany, Honduran</t>
        </is>
      </c>
      <c r="AD55" t="inlineStr">
        <is>
          <t>Air dry cushions covers</t>
        </is>
      </c>
      <c r="AF55" t="inlineStr">
        <is>
          <t>Oak Wood</t>
        </is>
      </c>
      <c r="BE55" t="inlineStr">
        <is>
          <t>Tile Cutter</t>
        </is>
      </c>
    </row>
    <row r="56">
      <c r="F56" t="inlineStr">
        <is>
          <t>Arsenic (inorganic oxides)</t>
        </is>
      </c>
      <c r="H56" t="inlineStr">
        <is>
          <t>Côte D'Ivoire</t>
        </is>
      </c>
      <c r="J56" t="inlineStr">
        <is>
          <t>ASTM F1148-17 Compliant</t>
        </is>
      </c>
      <c r="V56" t="inlineStr">
        <is>
          <t>Mahogany, Cuban</t>
        </is>
      </c>
      <c r="AD56" t="inlineStr">
        <is>
          <t>Do not use bleach or bleach solutions</t>
        </is>
      </c>
      <c r="BE56" t="inlineStr">
        <is>
          <t>Straight Edge</t>
        </is>
      </c>
    </row>
    <row r="57">
      <c r="F57" t="inlineStr">
        <is>
          <t>Asbestos</t>
        </is>
      </c>
      <c r="H57" t="inlineStr">
        <is>
          <t>Croatia</t>
        </is>
      </c>
      <c r="J57" t="inlineStr">
        <is>
          <t>ASTM F1148-18 Compliant</t>
        </is>
      </c>
      <c r="V57" t="inlineStr">
        <is>
          <t>Stinkwood, red</t>
        </is>
      </c>
      <c r="AD57" t="inlineStr">
        <is>
          <t>Rinse with water only</t>
        </is>
      </c>
      <c r="BE57" t="inlineStr">
        <is>
          <t>Silicone</t>
        </is>
      </c>
    </row>
    <row r="58">
      <c r="F58" t="inlineStr">
        <is>
          <t>Aspirin (NOTE: It is especially important not to use aspirin during the last three months of pregnancy, unless specifically directed to do so by a physician because it may cause problems in the unborn child or complications during delivery.)</t>
        </is>
      </c>
      <c r="H58" t="inlineStr">
        <is>
          <t>Cuba</t>
        </is>
      </c>
      <c r="J58" t="inlineStr">
        <is>
          <t>ASTM F1148-18 Certified</t>
        </is>
      </c>
      <c r="V58" t="inlineStr">
        <is>
          <t>Yew, Chinese</t>
        </is>
      </c>
      <c r="AD58" t="inlineStr">
        <is>
          <t>Dishwasher safe removable parts</t>
        </is>
      </c>
      <c r="BE58" t="inlineStr">
        <is>
          <t>Wet Saw</t>
        </is>
      </c>
    </row>
    <row r="59">
      <c r="F59" t="inlineStr">
        <is>
          <t>Atenolol</t>
        </is>
      </c>
      <c r="H59" t="inlineStr">
        <is>
          <t>Cyprus</t>
        </is>
      </c>
      <c r="J59" t="inlineStr">
        <is>
          <t>ASTM F1169 - 13 Compliant</t>
        </is>
      </c>
      <c r="V59" t="inlineStr">
        <is>
          <t>Pau rosa, Brazilian</t>
        </is>
      </c>
      <c r="AD59" t="inlineStr">
        <is>
          <t>Clean and re-seal with natural stone sealant</t>
        </is>
      </c>
      <c r="BE59" t="inlineStr">
        <is>
          <t>Torx Bit</t>
        </is>
      </c>
    </row>
    <row r="60">
      <c r="F60" t="inlineStr">
        <is>
          <t>Atrazine</t>
        </is>
      </c>
      <c r="H60" t="inlineStr">
        <is>
          <t>Czech Republic</t>
        </is>
      </c>
      <c r="J60" t="inlineStr">
        <is>
          <t>ASTM F1487-17 Compliant</t>
        </is>
      </c>
      <c r="V60" t="inlineStr">
        <is>
          <t>Sandalwood, East African</t>
        </is>
      </c>
      <c r="AD60" t="inlineStr">
        <is>
          <t>To prevent oil stains wipe with a damp cloth before using</t>
        </is>
      </c>
      <c r="BE60" t="inlineStr">
        <is>
          <t>Unavailable</t>
        </is>
      </c>
    </row>
    <row r="61">
      <c r="F61" t="inlineStr">
        <is>
          <t>Auramine</t>
        </is>
      </c>
      <c r="H61" t="inlineStr">
        <is>
          <t>Denmark</t>
        </is>
      </c>
      <c r="J61" t="inlineStr">
        <is>
          <t>ASTM F1821 - 16 Compliant</t>
        </is>
      </c>
      <c r="V61" t="inlineStr">
        <is>
          <t>Ramin</t>
        </is>
      </c>
      <c r="AD61" t="inlineStr">
        <is>
          <t>After cleaning, use sealant</t>
        </is>
      </c>
      <c r="BE61" t="inlineStr">
        <is>
          <t>Does Not Apply</t>
        </is>
      </c>
    </row>
    <row r="62">
      <c r="F62" t="inlineStr">
        <is>
          <t>Auranofin</t>
        </is>
      </c>
      <c r="H62" t="inlineStr">
        <is>
          <t>Djibouti</t>
        </is>
      </c>
      <c r="J62" t="inlineStr">
        <is>
          <t>ASTM F1912-17 Compliant</t>
        </is>
      </c>
      <c r="V62" t="inlineStr">
        <is>
          <t>Zitan</t>
        </is>
      </c>
      <c r="AD62" t="inlineStr">
        <is>
          <t>Apply oil to maintain color and prolong durability</t>
        </is>
      </c>
    </row>
    <row r="63">
      <c r="F63" t="inlineStr">
        <is>
          <t>Avermectin B1 (Abamectin)</t>
        </is>
      </c>
      <c r="H63" t="inlineStr">
        <is>
          <t>Dominica</t>
        </is>
      </c>
      <c r="J63" t="inlineStr">
        <is>
          <t>ASTM F1917 - 12 Compliant</t>
        </is>
      </c>
      <c r="V63" t="inlineStr">
        <is>
          <t>Yew, Himalayan</t>
        </is>
      </c>
      <c r="AD63" t="inlineStr">
        <is>
          <t>Vacuum</t>
        </is>
      </c>
    </row>
    <row r="64">
      <c r="F64" t="inlineStr">
        <is>
          <t>Azacitidine</t>
        </is>
      </c>
      <c r="H64" t="inlineStr">
        <is>
          <t>Dominican Republic</t>
        </is>
      </c>
      <c r="J64" t="inlineStr">
        <is>
          <t>ASTM F2057 - 14</t>
        </is>
      </c>
      <c r="V64" t="inlineStr">
        <is>
          <t>Yew, Japanese</t>
        </is>
      </c>
      <c r="AD64" t="inlineStr">
        <is>
          <t>Avoid direct sunlight</t>
        </is>
      </c>
    </row>
    <row r="65">
      <c r="F65" t="inlineStr">
        <is>
          <t>Azaserine</t>
        </is>
      </c>
      <c r="H65" t="inlineStr">
        <is>
          <t>Ecuador</t>
        </is>
      </c>
      <c r="J65" t="inlineStr">
        <is>
          <t>ASTM F2057 - 17</t>
        </is>
      </c>
      <c r="V65" t="inlineStr">
        <is>
          <t>Rosewood, Siamese</t>
        </is>
      </c>
      <c r="AD65" t="inlineStr">
        <is>
          <t>Dry after use</t>
        </is>
      </c>
    </row>
    <row r="66">
      <c r="F66" t="inlineStr">
        <is>
          <t>Azathioprine</t>
        </is>
      </c>
      <c r="H66" t="inlineStr">
        <is>
          <t>Egypt</t>
        </is>
      </c>
      <c r="J66" t="inlineStr">
        <is>
          <t>ASTM F2057 - 19 Certified</t>
        </is>
      </c>
      <c r="V66" t="inlineStr">
        <is>
          <t>Yew, Taiwan</t>
        </is>
      </c>
      <c r="AD66" t="inlineStr">
        <is>
          <t>Use furniture pads</t>
        </is>
      </c>
    </row>
    <row r="67">
      <c r="F67" t="inlineStr">
        <is>
          <t>Azobenzene</t>
        </is>
      </c>
      <c r="H67" t="inlineStr">
        <is>
          <t>El Salvador</t>
        </is>
      </c>
      <c r="J67" t="inlineStr">
        <is>
          <t>ASTM F2085 - 12 Compliant</t>
        </is>
      </c>
      <c r="V67" t="inlineStr">
        <is>
          <t>Burlwood</t>
        </is>
      </c>
      <c r="AD67" t="inlineStr">
        <is>
          <t>Apply epoxy clear coat once per year</t>
        </is>
      </c>
    </row>
    <row r="68">
      <c r="F68" t="inlineStr">
        <is>
          <t>Barbiturates</t>
        </is>
      </c>
      <c r="H68" t="inlineStr">
        <is>
          <t>Equatorial Guinea</t>
        </is>
      </c>
      <c r="J68" t="inlineStr">
        <is>
          <t>ASTM F2088-15 Compliant</t>
        </is>
      </c>
      <c r="V68" t="inlineStr">
        <is>
          <t>Platane Wood</t>
        </is>
      </c>
      <c r="AD68" t="inlineStr">
        <is>
          <t>Clean with cloth, mild soap, and warm water</t>
        </is>
      </c>
    </row>
    <row r="69">
      <c r="F69" t="inlineStr">
        <is>
          <t>Beclomethasone dipropionate</t>
        </is>
      </c>
      <c r="H69" t="inlineStr">
        <is>
          <t>Eritrea</t>
        </is>
      </c>
      <c r="J69" t="inlineStr">
        <is>
          <t>ASTM F2194 Compliant</t>
        </is>
      </c>
      <c r="V69" t="inlineStr">
        <is>
          <t>Sungkai</t>
        </is>
      </c>
      <c r="AD69" t="inlineStr">
        <is>
          <t>Spot clean with mild detergent</t>
        </is>
      </c>
    </row>
    <row r="70">
      <c r="F70" t="inlineStr">
        <is>
          <t>Benomyl</t>
        </is>
      </c>
      <c r="H70" t="inlineStr">
        <is>
          <t>Estonia</t>
        </is>
      </c>
      <c r="J70" t="inlineStr">
        <is>
          <t>ASTM F2225-15 Compliant</t>
        </is>
      </c>
      <c r="V70" t="inlineStr">
        <is>
          <t>Does Not Apply</t>
        </is>
      </c>
      <c r="AD70" t="inlineStr">
        <is>
          <t>Spot clean as needed</t>
        </is>
      </c>
    </row>
    <row r="71">
      <c r="F71" t="inlineStr">
        <is>
          <t>Benthiavalicarb-isopropyl</t>
        </is>
      </c>
      <c r="H71" t="inlineStr">
        <is>
          <t>Ethiopia</t>
        </is>
      </c>
      <c r="J71" t="inlineStr">
        <is>
          <t>ASTM F2388 - 18 Certified</t>
        </is>
      </c>
      <c r="AD71" t="inlineStr">
        <is>
          <t>Automatic</t>
        </is>
      </c>
    </row>
    <row r="72">
      <c r="F72" t="inlineStr">
        <is>
          <t>Benz[a]anthracene</t>
        </is>
      </c>
      <c r="H72" t="inlineStr">
        <is>
          <t>Falkland Islands (Malvinas)</t>
        </is>
      </c>
      <c r="J72" t="inlineStr">
        <is>
          <t>ASTM F2613 - 17 Compliant</t>
        </is>
      </c>
      <c r="AD72" t="inlineStr">
        <is>
          <t>Hot water extraction</t>
        </is>
      </c>
    </row>
    <row r="73">
      <c r="F73" t="inlineStr">
        <is>
          <t>Benzene</t>
        </is>
      </c>
      <c r="H73" t="inlineStr">
        <is>
          <t>Faroe Islands</t>
        </is>
      </c>
      <c r="J73" t="inlineStr">
        <is>
          <t>ASTM F2729 - 18 Compliant</t>
        </is>
      </c>
      <c r="AD73" t="inlineStr">
        <is>
          <t>Spot clean with dry cloth</t>
        </is>
      </c>
    </row>
    <row r="74">
      <c r="F74" t="inlineStr">
        <is>
          <t>Benzidine [and its salts]</t>
        </is>
      </c>
      <c r="H74" t="inlineStr">
        <is>
          <t>Fiji</t>
        </is>
      </c>
      <c r="J74" t="inlineStr">
        <is>
          <t>ASTM F2933-18 Compliant</t>
        </is>
      </c>
      <c r="AD74" t="inlineStr">
        <is>
          <t>Clean the product at least one time per month. We suggest the use of Rejuvenate by Watco</t>
        </is>
      </c>
    </row>
    <row r="75">
      <c r="F75" t="inlineStr">
        <is>
          <t>Benzidine-based dyes</t>
        </is>
      </c>
      <c r="H75" t="inlineStr">
        <is>
          <t>Finland</t>
        </is>
      </c>
      <c r="J75" t="inlineStr">
        <is>
          <t>ASTM F3084 - 16 Compliant</t>
        </is>
      </c>
      <c r="AD75" t="inlineStr">
        <is>
          <t>Wash with warm water and soap</t>
        </is>
      </c>
    </row>
    <row r="76">
      <c r="F76" t="inlineStr">
        <is>
          <t>Benzodiazepines</t>
        </is>
      </c>
      <c r="H76" t="inlineStr">
        <is>
          <t>France</t>
        </is>
      </c>
      <c r="J76" t="inlineStr">
        <is>
          <t>ASTM F3096 - 14 Compliant</t>
        </is>
      </c>
      <c r="AD76" t="inlineStr">
        <is>
          <t>Regularly apply Teak oil</t>
        </is>
      </c>
    </row>
    <row r="77">
      <c r="F77" t="inlineStr">
        <is>
          <t>Benzo[b]fluoranthene</t>
        </is>
      </c>
      <c r="H77" t="inlineStr">
        <is>
          <t>French Guiana</t>
        </is>
      </c>
      <c r="J77" t="inlineStr">
        <is>
          <t>ASTM F3363-19 Compliant</t>
        </is>
      </c>
      <c r="AD77" t="inlineStr">
        <is>
          <t>Do not microwave</t>
        </is>
      </c>
    </row>
    <row r="78">
      <c r="F78" t="inlineStr">
        <is>
          <t>Benzo[j]fluoranthene</t>
        </is>
      </c>
      <c r="H78" t="inlineStr">
        <is>
          <t>French Polynesia</t>
        </is>
      </c>
      <c r="J78" t="inlineStr">
        <is>
          <t>ASTM F381-16 Compliant</t>
        </is>
      </c>
      <c r="AD78" t="inlineStr">
        <is>
          <t>Do not put in dishwasher</t>
        </is>
      </c>
    </row>
    <row r="79">
      <c r="F79" t="inlineStr">
        <is>
          <t>Benzo[k]fluoranthene</t>
        </is>
      </c>
      <c r="H79" t="inlineStr">
        <is>
          <t>French Southern Territories</t>
        </is>
      </c>
      <c r="J79" t="inlineStr">
        <is>
          <t>ASTM F406 - 10a Compliant</t>
        </is>
      </c>
      <c r="AD79" t="inlineStr">
        <is>
          <t>Do not use harsh chemicals or cleaners</t>
        </is>
      </c>
    </row>
    <row r="80">
      <c r="F80" t="inlineStr">
        <is>
          <t>Benzofuran</t>
        </is>
      </c>
      <c r="H80" t="inlineStr">
        <is>
          <t>Gabon</t>
        </is>
      </c>
      <c r="J80" t="inlineStr">
        <is>
          <t>ASTM F406 - 15 Compliant</t>
        </is>
      </c>
      <c r="AD80" t="inlineStr">
        <is>
          <t>Do not use any cleaning agents</t>
        </is>
      </c>
    </row>
    <row r="81">
      <c r="F81" t="inlineStr">
        <is>
          <t>Benzophenone</t>
        </is>
      </c>
      <c r="H81" t="inlineStr">
        <is>
          <t>Gambia</t>
        </is>
      </c>
      <c r="J81" t="inlineStr">
        <is>
          <t>ASTM F406 - 17 Certified</t>
        </is>
      </c>
      <c r="AD81" t="inlineStr">
        <is>
          <t>Do not put removable parts in dishwasher</t>
        </is>
      </c>
    </row>
    <row r="82">
      <c r="F82" t="inlineStr">
        <is>
          <t>Benzo[a]pyrene</t>
        </is>
      </c>
      <c r="H82" t="inlineStr">
        <is>
          <t>Georgia</t>
        </is>
      </c>
      <c r="J82" t="inlineStr">
        <is>
          <t>ASTM F963 - 17 Certified</t>
        </is>
      </c>
      <c r="AD82" t="inlineStr">
        <is>
          <t>Machine wash</t>
        </is>
      </c>
    </row>
    <row r="83">
      <c r="F83" t="inlineStr">
        <is>
          <t>Benzotrichloride</t>
        </is>
      </c>
      <c r="H83" t="inlineStr">
        <is>
          <t>Germany</t>
        </is>
      </c>
      <c r="J83" t="inlineStr">
        <is>
          <t>ASTM F963-11 Compliant</t>
        </is>
      </c>
      <c r="AD83" t="inlineStr">
        <is>
          <t>Hand dry</t>
        </is>
      </c>
    </row>
    <row r="84">
      <c r="F84" t="inlineStr">
        <is>
          <t>Benzphetamine hydrochloride</t>
        </is>
      </c>
      <c r="H84" t="inlineStr">
        <is>
          <t>Ghana</t>
        </is>
      </c>
      <c r="J84" t="inlineStr">
        <is>
          <t>ATA Rated</t>
        </is>
      </c>
      <c r="AD84" t="inlineStr">
        <is>
          <t>Dry clean recommended</t>
        </is>
      </c>
    </row>
    <row r="85">
      <c r="F85" t="inlineStr">
        <is>
          <t>Benzyl chloride</t>
        </is>
      </c>
      <c r="H85" t="inlineStr">
        <is>
          <t>Gibraltar</t>
        </is>
      </c>
      <c r="J85" t="inlineStr">
        <is>
          <t>BHFTI Upholstered Furniture Flammability Compliant</t>
        </is>
      </c>
      <c r="AD85" t="inlineStr">
        <is>
          <t>Microwave safe</t>
        </is>
      </c>
    </row>
    <row r="86">
      <c r="F86" t="inlineStr">
        <is>
          <t>Benzyl violet 4B</t>
        </is>
      </c>
      <c r="H86" t="inlineStr">
        <is>
          <t>Greece</t>
        </is>
      </c>
      <c r="J86" t="inlineStr">
        <is>
          <t>BIFMA G1 Ergonomics Guideline for Furniture</t>
        </is>
      </c>
      <c r="AD86" t="inlineStr">
        <is>
          <t>Spot clean insert</t>
        </is>
      </c>
    </row>
    <row r="87">
      <c r="F87" t="inlineStr">
        <is>
          <t>Beryllium and beryllium compounds</t>
        </is>
      </c>
      <c r="H87" t="inlineStr">
        <is>
          <t>Greenland</t>
        </is>
      </c>
      <c r="J87" t="inlineStr">
        <is>
          <t>BIFMA HCF 8.1 - Healthcare Furniture Design</t>
        </is>
      </c>
      <c r="AD87" t="inlineStr">
        <is>
          <t>Spot clean only with water-based shampoo or foam upholstery cleaner</t>
        </is>
      </c>
    </row>
    <row r="88">
      <c r="F88" t="inlineStr">
        <is>
          <t>Betel quid with tobacco</t>
        </is>
      </c>
      <c r="H88" t="inlineStr">
        <is>
          <t>Grenada</t>
        </is>
      </c>
      <c r="J88" t="inlineStr">
        <is>
          <t>Blauer Engel</t>
        </is>
      </c>
      <c r="AD88" t="inlineStr">
        <is>
          <t>Run at least once a week to let water circulate</t>
        </is>
      </c>
    </row>
    <row r="89">
      <c r="F89" t="inlineStr">
        <is>
          <t>Betel quid without tobacco</t>
        </is>
      </c>
      <c r="H89" t="inlineStr">
        <is>
          <t>Guadeloupe</t>
        </is>
      </c>
      <c r="J89" t="inlineStr">
        <is>
          <t>BS 5287: 1988 Certified</t>
        </is>
      </c>
      <c r="AD89" t="inlineStr">
        <is>
          <t>Use dry, solvent-based cleaner</t>
        </is>
      </c>
    </row>
    <row r="90">
      <c r="F90" t="inlineStr">
        <is>
          <t>2,2-Bis(bromomethyl)-1,3-propanediol</t>
        </is>
      </c>
      <c r="H90" t="inlineStr">
        <is>
          <t>Guam</t>
        </is>
      </c>
      <c r="J90" t="inlineStr">
        <is>
          <t>BS 5852 Certified</t>
        </is>
      </c>
      <c r="AD90" t="inlineStr">
        <is>
          <t>Steam clean</t>
        </is>
      </c>
    </row>
    <row r="91">
      <c r="F91" t="inlineStr">
        <is>
          <t>Bis(2-chloroethyl)ether</t>
        </is>
      </c>
      <c r="H91" t="inlineStr">
        <is>
          <t>Guatemala</t>
        </is>
      </c>
      <c r="J91" t="inlineStr">
        <is>
          <t>BS 5867-2:2008 Certified</t>
        </is>
      </c>
      <c r="AD91" t="inlineStr">
        <is>
          <t>Wipe down with mild soap and water</t>
        </is>
      </c>
    </row>
    <row r="92">
      <c r="F92" t="inlineStr">
        <is>
          <t>N,N-Bis(2-chloroethyl)-2-naphthylamine  (Chlornapazine)</t>
        </is>
      </c>
      <c r="H92" t="inlineStr">
        <is>
          <t>Guernsey</t>
        </is>
      </c>
      <c r="J92" t="inlineStr">
        <is>
          <t>BS 7176: 2007 Certified</t>
        </is>
      </c>
      <c r="AD92" t="inlineStr">
        <is>
          <t>Wipe with glass cleaner</t>
        </is>
      </c>
    </row>
    <row r="93">
      <c r="F93" t="inlineStr">
        <is>
          <t>Bischloroethyl nitrosourea (BCNU) (Carmustine)</t>
        </is>
      </c>
      <c r="H93" t="inlineStr">
        <is>
          <t>Guinea</t>
        </is>
      </c>
      <c r="J93" t="inlineStr">
        <is>
          <t>BS 7177:2008+A1:2011 Certified</t>
        </is>
      </c>
      <c r="AD93" t="inlineStr">
        <is>
          <t>Wipe with cloth</t>
        </is>
      </c>
    </row>
    <row r="94">
      <c r="F94" t="inlineStr">
        <is>
          <t>Bis(chloromethyl)ether</t>
        </is>
      </c>
      <c r="H94" t="inlineStr">
        <is>
          <t>Guinea-Bissau</t>
        </is>
      </c>
      <c r="J94" t="inlineStr">
        <is>
          <t>BS EN 13120: 2009 + A1: 2014 (Requirements for Window Blinds or Drapery Cords) - EU ONLY</t>
        </is>
      </c>
      <c r="AD94" t="inlineStr">
        <is>
          <t>Wipe with a lemon oil-based furniture polish</t>
        </is>
      </c>
    </row>
    <row r="95">
      <c r="F95" t="inlineStr">
        <is>
          <t>Bis(2-chloro-1-methylethyl)ether,  technical grade</t>
        </is>
      </c>
      <c r="H95" t="inlineStr">
        <is>
          <t>Guyana</t>
        </is>
      </c>
      <c r="J95" t="inlineStr">
        <is>
          <t>BS EN 716-1 Compliant - EU ONLY</t>
        </is>
      </c>
      <c r="AD95" t="inlineStr">
        <is>
          <t>Wipe Clean Only</t>
        </is>
      </c>
    </row>
    <row r="96">
      <c r="F96" t="inlineStr">
        <is>
          <t>Bisphenol A (BPA)</t>
        </is>
      </c>
      <c r="H96" t="inlineStr">
        <is>
          <t>Haiti</t>
        </is>
      </c>
      <c r="J96" t="inlineStr">
        <is>
          <t>BS EN12790 Certified</t>
        </is>
      </c>
      <c r="AD96" t="inlineStr">
        <is>
          <t>Hand Wash Only - Towel Dry Immediately</t>
        </is>
      </c>
    </row>
    <row r="97">
      <c r="F97" t="inlineStr">
        <is>
          <t>Bitumens, extracts of steam-refined and air refined</t>
        </is>
      </c>
      <c r="H97" t="inlineStr">
        <is>
          <t>Heard Island and McDonald Islands</t>
        </is>
      </c>
      <c r="J97" t="inlineStr">
        <is>
          <t>CAL TB 116 Compliant</t>
        </is>
      </c>
      <c r="AD97" t="inlineStr">
        <is>
          <t>Store flat when not in use to avoid warping</t>
        </is>
      </c>
    </row>
    <row r="98">
      <c r="F98" t="inlineStr">
        <is>
          <t>Bracken fern</t>
        </is>
      </c>
      <c r="H98" t="inlineStr">
        <is>
          <t>Holy See (Vatican City State)</t>
        </is>
      </c>
      <c r="J98" t="inlineStr">
        <is>
          <t>CAL TB 117-2013 Compliant</t>
        </is>
      </c>
      <c r="AD98" t="inlineStr">
        <is>
          <t>Wipe clean with a damp cloth</t>
        </is>
      </c>
    </row>
    <row r="99">
      <c r="F99" t="inlineStr">
        <is>
          <t>Bromacil lithium salt</t>
        </is>
      </c>
      <c r="H99" t="inlineStr">
        <is>
          <t>Honduras</t>
        </is>
      </c>
      <c r="J99" t="inlineStr">
        <is>
          <t>CALGreen Compliant</t>
        </is>
      </c>
      <c r="AD99" t="inlineStr">
        <is>
          <t>Machine wash on delicate with cold water</t>
        </is>
      </c>
    </row>
    <row r="100">
      <c r="F100" t="inlineStr">
        <is>
          <t>Bromate</t>
        </is>
      </c>
      <c r="H100" t="inlineStr">
        <is>
          <t>Hong Kong</t>
        </is>
      </c>
      <c r="J100" t="inlineStr">
        <is>
          <t>California AB 1953 Compliant</t>
        </is>
      </c>
      <c r="AD100" t="inlineStr">
        <is>
          <t>Does Not Apply</t>
        </is>
      </c>
    </row>
    <row r="101">
      <c r="F101" t="inlineStr">
        <is>
          <t>Bromochloroacetic acid</t>
        </is>
      </c>
      <c r="H101" t="inlineStr">
        <is>
          <t>Hungary</t>
        </is>
      </c>
      <c r="J101" t="inlineStr">
        <is>
          <t>CAN C22.2 No. 3 - Electrical Components of Fuel Burning Equipment</t>
        </is>
      </c>
    </row>
    <row r="102">
      <c r="F102" t="inlineStr">
        <is>
          <t>Bromodichloroacetic acid</t>
        </is>
      </c>
      <c r="H102" t="inlineStr">
        <is>
          <t>Iceland</t>
        </is>
      </c>
      <c r="J102" t="inlineStr">
        <is>
          <t>CAN/ULC-S674</t>
        </is>
      </c>
    </row>
    <row r="103">
      <c r="F103" t="inlineStr">
        <is>
          <t>Bromodichloromethane</t>
        </is>
      </c>
      <c r="H103" t="inlineStr">
        <is>
          <t>India</t>
        </is>
      </c>
      <c r="J103" t="inlineStr">
        <is>
          <t>CARB Phase II Compliant (formaldehyde emissions)</t>
        </is>
      </c>
    </row>
    <row r="104">
      <c r="F104" t="inlineStr">
        <is>
          <t>Bromoethane</t>
        </is>
      </c>
      <c r="H104" t="inlineStr">
        <is>
          <t>Indonesia</t>
        </is>
      </c>
      <c r="J104" t="inlineStr">
        <is>
          <t>CE Certified</t>
        </is>
      </c>
    </row>
    <row r="105">
      <c r="F105" t="inlineStr">
        <is>
          <t>Bromoform</t>
        </is>
      </c>
      <c r="H105" t="inlineStr">
        <is>
          <t>Iran, Islamic Republic of</t>
        </is>
      </c>
      <c r="J105" t="inlineStr">
        <is>
          <t>CEE Rating</t>
        </is>
      </c>
    </row>
    <row r="106">
      <c r="F106" t="inlineStr">
        <is>
          <t>1-Bromopropane (1-BP)</t>
        </is>
      </c>
      <c r="H106" t="inlineStr">
        <is>
          <t>Iraq</t>
        </is>
      </c>
      <c r="J106" t="inlineStr">
        <is>
          <t>CertiPUR-US Certified</t>
        </is>
      </c>
    </row>
    <row r="107">
      <c r="F107" t="inlineStr">
        <is>
          <t>Bromoxynil</t>
        </is>
      </c>
      <c r="H107" t="inlineStr">
        <is>
          <t>Ireland</t>
        </is>
      </c>
      <c r="J107" t="inlineStr">
        <is>
          <t>cETL Listed</t>
        </is>
      </c>
    </row>
    <row r="108">
      <c r="F108" t="inlineStr">
        <is>
          <t>Bromoxynil octanoate</t>
        </is>
      </c>
      <c r="H108" t="inlineStr">
        <is>
          <t>Isle of Man</t>
        </is>
      </c>
      <c r="J108" t="inlineStr">
        <is>
          <t>CGA 2.17- M91 (R2014)</t>
        </is>
      </c>
    </row>
    <row r="109">
      <c r="F109" t="inlineStr">
        <is>
          <t>Butabarbital sodium</t>
        </is>
      </c>
      <c r="H109" t="inlineStr">
        <is>
          <t>Israel</t>
        </is>
      </c>
      <c r="J109" t="inlineStr">
        <is>
          <t>Chemicals of Concern Compliant</t>
        </is>
      </c>
    </row>
    <row r="110">
      <c r="F110" t="inlineStr">
        <is>
          <t>1,3-Butadiene</t>
        </is>
      </c>
      <c r="H110" t="inlineStr">
        <is>
          <t>Italy</t>
        </is>
      </c>
      <c r="J110" t="inlineStr">
        <is>
          <t>Chemikalien-Verbotsverordnung / Section 3 Compliant</t>
        </is>
      </c>
    </row>
    <row r="111">
      <c r="F111" t="inlineStr">
        <is>
          <t>1,4-Butanediol dimethanesulfonate (Busulfan)</t>
        </is>
      </c>
      <c r="H111" t="inlineStr">
        <is>
          <t>Jamaica</t>
        </is>
      </c>
      <c r="J111" t="inlineStr">
        <is>
          <t>Children's Product Certificate (CPC)</t>
        </is>
      </c>
    </row>
    <row r="112">
      <c r="F112" t="inlineStr">
        <is>
          <t>Butylated hydroxyanisole</t>
        </is>
      </c>
      <c r="H112" t="inlineStr">
        <is>
          <t>Japan</t>
        </is>
      </c>
      <c r="J112" t="inlineStr">
        <is>
          <t>CISPR 22 Compliant</t>
        </is>
      </c>
    </row>
    <row r="113">
      <c r="F113" t="inlineStr">
        <is>
          <t>Butyl benzyl phthalate (BBP)d</t>
        </is>
      </c>
      <c r="H113" t="inlineStr">
        <is>
          <t>Jersey</t>
        </is>
      </c>
      <c r="J113" t="inlineStr">
        <is>
          <t>Complies with 16 CFR 1305.4</t>
        </is>
      </c>
    </row>
    <row r="114">
      <c r="F114" t="inlineStr">
        <is>
          <t>beta-Butyrolactone</t>
        </is>
      </c>
      <c r="H114" t="inlineStr">
        <is>
          <t>Jordan</t>
        </is>
      </c>
      <c r="J114" t="inlineStr">
        <is>
          <t>ASTM F1427 - 13 Compliant - Consumer Safety Specification for Bunk Beds</t>
        </is>
      </c>
    </row>
    <row r="115">
      <c r="F115" t="inlineStr">
        <is>
          <t>Cacodylic acid</t>
        </is>
      </c>
      <c r="H115" t="inlineStr">
        <is>
          <t>Kazakhstan</t>
        </is>
      </c>
      <c r="J115" t="inlineStr">
        <is>
          <t>CPAI-84 Compliant</t>
        </is>
      </c>
    </row>
    <row r="116">
      <c r="F116" t="inlineStr">
        <is>
          <t>Cadmium</t>
        </is>
      </c>
      <c r="H116" t="inlineStr">
        <is>
          <t>Kenya</t>
        </is>
      </c>
      <c r="J116" t="inlineStr">
        <is>
          <t>CPSC - 15 U.S. Code § 1278a - Children's Products Containing Lead</t>
        </is>
      </c>
    </row>
    <row r="117">
      <c r="F117" t="inlineStr">
        <is>
          <t>Cadmium and cadmium compounds</t>
        </is>
      </c>
      <c r="H117" t="inlineStr">
        <is>
          <t>Kiribati</t>
        </is>
      </c>
      <c r="J117" t="inlineStr">
        <is>
          <t>CPSC - 16 CFR 1213 Compliant</t>
        </is>
      </c>
    </row>
    <row r="118">
      <c r="F118" t="inlineStr">
        <is>
          <t>Caffeic acid</t>
        </is>
      </c>
      <c r="H118" t="inlineStr">
        <is>
          <t>Korea, Democratic People's Republic of</t>
        </is>
      </c>
      <c r="J118" t="inlineStr">
        <is>
          <t>CPSC - 16 CFR 1215 Compliant - Safety Standards for Infant Bath Seats</t>
        </is>
      </c>
    </row>
    <row r="119">
      <c r="F119" t="inlineStr">
        <is>
          <t>Captafol</t>
        </is>
      </c>
      <c r="H119" t="inlineStr">
        <is>
          <t>Korea, Republic of</t>
        </is>
      </c>
      <c r="J119" t="inlineStr">
        <is>
          <t>ASTM 1821-19 and/or CPSC - 16 CFR 1217 Compliant</t>
        </is>
      </c>
    </row>
    <row r="120">
      <c r="F120" t="inlineStr">
        <is>
          <t>Captan</t>
        </is>
      </c>
      <c r="H120" t="inlineStr">
        <is>
          <t>Kuwait</t>
        </is>
      </c>
      <c r="J120" t="inlineStr">
        <is>
          <t>CPSC - 16 CFR 1218 Compliant</t>
        </is>
      </c>
    </row>
    <row r="121">
      <c r="F121" t="inlineStr">
        <is>
          <t>Carbamazepine</t>
        </is>
      </c>
      <c r="H121" t="inlineStr">
        <is>
          <t>Kyrgyzstan</t>
        </is>
      </c>
      <c r="J121" t="inlineStr">
        <is>
          <t>ASTM F1169-19 Compliant and/or CPSC - 16 CFR 1219 Compliant</t>
        </is>
      </c>
    </row>
    <row r="122">
      <c r="F122" t="inlineStr">
        <is>
          <t>Carbaryl</t>
        </is>
      </c>
      <c r="H122" t="inlineStr">
        <is>
          <t>Lao People's Democratic Republic</t>
        </is>
      </c>
      <c r="J122" t="inlineStr">
        <is>
          <t>ASTM F406-22 and/or CPSC - 16 CFR 1220 Compliant</t>
        </is>
      </c>
    </row>
    <row r="123">
      <c r="F123" t="inlineStr">
        <is>
          <t>Carbazole</t>
        </is>
      </c>
      <c r="H123" t="inlineStr">
        <is>
          <t>Latvia</t>
        </is>
      </c>
      <c r="J123" t="inlineStr">
        <is>
          <t>CPSC - 16 CFR 1221 Compliant</t>
        </is>
      </c>
    </row>
    <row r="124">
      <c r="F124" t="inlineStr">
        <is>
          <t>Carbon black (airborne, unbound particles of respirable size)</t>
        </is>
      </c>
      <c r="H124" t="inlineStr">
        <is>
          <t>Lebanon</t>
        </is>
      </c>
      <c r="J124" t="inlineStr">
        <is>
          <t>CPSC - 16 CFR 1225 Compliant</t>
        </is>
      </c>
    </row>
    <row r="125">
      <c r="F125" t="inlineStr">
        <is>
          <t>Carbon-black extracts</t>
        </is>
      </c>
      <c r="H125" t="inlineStr">
        <is>
          <t>Lesotho</t>
        </is>
      </c>
      <c r="J125" t="inlineStr">
        <is>
          <t>CPSC - 16 CFR 1234 Compliant</t>
        </is>
      </c>
    </row>
    <row r="126">
      <c r="F126" t="inlineStr">
        <is>
          <t>Carbon disulfide</t>
        </is>
      </c>
      <c r="H126" t="inlineStr">
        <is>
          <t>Liberia</t>
        </is>
      </c>
      <c r="J126" t="inlineStr">
        <is>
          <t>CPSC - 16 CFR 1238 Compliant</t>
        </is>
      </c>
    </row>
    <row r="127">
      <c r="F127" t="inlineStr">
        <is>
          <t>Carbon monoxide</t>
        </is>
      </c>
      <c r="H127" t="inlineStr">
        <is>
          <t>Libyan Arab Jamahiriya</t>
        </is>
      </c>
      <c r="J127" t="inlineStr">
        <is>
          <t>CPSC - 16 CFR 1239 Compliant</t>
        </is>
      </c>
    </row>
    <row r="128">
      <c r="F128" t="inlineStr">
        <is>
          <t>Carbon tetrachloride</t>
        </is>
      </c>
      <c r="H128" t="inlineStr">
        <is>
          <t>Liechtenstein</t>
        </is>
      </c>
      <c r="J128" t="inlineStr">
        <is>
          <t>CPSC - 16 CFR 1303 Compliant</t>
        </is>
      </c>
    </row>
    <row r="129">
      <c r="F129" t="inlineStr">
        <is>
          <t>Carboplatin</t>
        </is>
      </c>
      <c r="H129" t="inlineStr">
        <is>
          <t>Lithuania</t>
        </is>
      </c>
      <c r="J129" t="inlineStr">
        <is>
          <t>CPSC - 16 CFR 1500.48 Compliant</t>
        </is>
      </c>
    </row>
    <row r="130">
      <c r="F130" t="inlineStr">
        <is>
          <t>N-Carboxymethyl-N-nitrosourea</t>
        </is>
      </c>
      <c r="H130" t="inlineStr">
        <is>
          <t>Luxembourg</t>
        </is>
      </c>
      <c r="J130" t="inlineStr">
        <is>
          <t>CPSC - 16 CFR 1500.49 Compliant</t>
        </is>
      </c>
    </row>
    <row r="131">
      <c r="F131" t="inlineStr">
        <is>
          <t>Catechol</t>
        </is>
      </c>
      <c r="H131" t="inlineStr">
        <is>
          <t>Macao</t>
        </is>
      </c>
      <c r="J131" t="inlineStr">
        <is>
          <t>CPSC - 16 CFR 1513 Compliant</t>
        </is>
      </c>
    </row>
    <row r="132">
      <c r="F132" t="inlineStr">
        <is>
          <t>Ceramic fibers (airborne particles of respirable size)</t>
        </is>
      </c>
      <c r="H132" t="inlineStr">
        <is>
          <t>Macedonia, The Former Yugoslav Republic of</t>
        </is>
      </c>
      <c r="J132" t="inlineStr">
        <is>
          <t>CPSC - 16 CFR 1630 Compliant</t>
        </is>
      </c>
    </row>
    <row r="133">
      <c r="F133" t="inlineStr">
        <is>
          <t>Certain combined chemotherapy for lymphomas</t>
        </is>
      </c>
      <c r="H133" t="inlineStr">
        <is>
          <t>Madagascar</t>
        </is>
      </c>
      <c r="J133" t="inlineStr">
        <is>
          <t>CPSC - 16 CFR 1631 Compliant</t>
        </is>
      </c>
    </row>
    <row r="134">
      <c r="F134" t="inlineStr">
        <is>
          <t>Chenodiol</t>
        </is>
      </c>
      <c r="H134" t="inlineStr">
        <is>
          <t>Malawi</t>
        </is>
      </c>
      <c r="J134" t="inlineStr">
        <is>
          <t>CPSC - 16 CFR 1632 Compliant</t>
        </is>
      </c>
    </row>
    <row r="135">
      <c r="F135" t="inlineStr">
        <is>
          <t>Chloral</t>
        </is>
      </c>
      <c r="H135" t="inlineStr">
        <is>
          <t>Malaysia</t>
        </is>
      </c>
      <c r="J135" t="inlineStr">
        <is>
          <t>CPSC - 16 CFR 1633 Compliant</t>
        </is>
      </c>
    </row>
    <row r="136">
      <c r="F136" t="inlineStr">
        <is>
          <t>Chloral hydrate</t>
        </is>
      </c>
      <c r="H136" t="inlineStr">
        <is>
          <t>Maldives</t>
        </is>
      </c>
      <c r="J136" t="inlineStr">
        <is>
          <t>CPSC - 16 CFR Part 1130-Requirements For Consumer Registration Of Durable Infant Or Toddler Products</t>
        </is>
      </c>
    </row>
    <row r="137">
      <c r="F137" t="inlineStr">
        <is>
          <t>Chlorambucil</t>
        </is>
      </c>
      <c r="H137" t="inlineStr">
        <is>
          <t>Mali</t>
        </is>
      </c>
      <c r="J137" t="inlineStr">
        <is>
          <t>CPSC - 16 CFR Part 1307-Prohibition Of Children's Toys And Child Care Articles Containing Specified Phthalates</t>
        </is>
      </c>
    </row>
    <row r="138">
      <c r="F138" t="inlineStr">
        <is>
          <t>Chloramphenicol sodium succinate</t>
        </is>
      </c>
      <c r="H138" t="inlineStr">
        <is>
          <t>Malta</t>
        </is>
      </c>
      <c r="J138" t="inlineStr">
        <is>
          <t>CPSC 16 CFR 1500.3(c)(6)(vi)</t>
        </is>
      </c>
    </row>
    <row r="139">
      <c r="F139" t="inlineStr">
        <is>
          <t>Chlorcyclizine hydrochloride</t>
        </is>
      </c>
      <c r="H139" t="inlineStr">
        <is>
          <t>Marshall Islands</t>
        </is>
      </c>
      <c r="J139" t="inlineStr">
        <is>
          <t>CPSC 16 CFR 1500.44</t>
        </is>
      </c>
    </row>
    <row r="140">
      <c r="F140" t="inlineStr">
        <is>
          <t>Chlordane</t>
        </is>
      </c>
      <c r="H140" t="inlineStr">
        <is>
          <t>Martinique</t>
        </is>
      </c>
      <c r="J140" t="inlineStr">
        <is>
          <t>CPSIA Compliant</t>
        </is>
      </c>
    </row>
    <row r="141">
      <c r="F141" t="inlineStr">
        <is>
          <t>Chlordecone (Kepone)</t>
        </is>
      </c>
      <c r="H141" t="inlineStr">
        <is>
          <t>Mauritania</t>
        </is>
      </c>
      <c r="J141" t="inlineStr">
        <is>
          <t>Cradle to Cradle Certified</t>
        </is>
      </c>
    </row>
    <row r="142">
      <c r="F142" t="inlineStr">
        <is>
          <t>Chlordiazepoxide</t>
        </is>
      </c>
      <c r="H142" t="inlineStr">
        <is>
          <t>Mauritius</t>
        </is>
      </c>
      <c r="J142" t="inlineStr">
        <is>
          <t>CRI Certified</t>
        </is>
      </c>
    </row>
    <row r="143">
      <c r="F143" t="inlineStr">
        <is>
          <t>Chlordiazepoxide hydrochloride</t>
        </is>
      </c>
      <c r="H143" t="inlineStr">
        <is>
          <t>Mayotte</t>
        </is>
      </c>
      <c r="J143" t="inlineStr">
        <is>
          <t>CRI Green Label Certified</t>
        </is>
      </c>
    </row>
    <row r="144">
      <c r="F144" t="inlineStr">
        <is>
          <t>Chlordimeform</t>
        </is>
      </c>
      <c r="H144" t="inlineStr">
        <is>
          <t>Mexico</t>
        </is>
      </c>
      <c r="J144" t="inlineStr">
        <is>
          <t>CRI Green Label Plus Certified</t>
        </is>
      </c>
    </row>
    <row r="145">
      <c r="F145" t="inlineStr">
        <is>
          <t>Chlorendic acid</t>
        </is>
      </c>
      <c r="H145" t="inlineStr">
        <is>
          <t>Micronesia, Federated States of</t>
        </is>
      </c>
      <c r="J145" t="inlineStr">
        <is>
          <t>CSA 2.41-2014/ANSI Z21.97-2014</t>
        </is>
      </c>
    </row>
    <row r="146">
      <c r="F146" t="inlineStr">
        <is>
          <t>Chlorinated paraffins (Average chain length, C12;approximately 60 percent chlorine by weight)</t>
        </is>
      </c>
      <c r="H146" t="inlineStr">
        <is>
          <t>Moldova, Republic of</t>
        </is>
      </c>
      <c r="J146" t="inlineStr">
        <is>
          <t>CSA B125.1 Certified</t>
        </is>
      </c>
    </row>
    <row r="147">
      <c r="F147" t="inlineStr">
        <is>
          <t>p-Chloroaniline</t>
        </is>
      </c>
      <c r="H147" t="inlineStr">
        <is>
          <t>Monaco</t>
        </is>
      </c>
      <c r="J147" t="inlineStr">
        <is>
          <t>CSA B13 Certified</t>
        </is>
      </c>
    </row>
    <row r="148">
      <c r="F148" t="inlineStr">
        <is>
          <t>p-Chloroaniline hydrochloride</t>
        </is>
      </c>
      <c r="H148" t="inlineStr">
        <is>
          <t>Mongolia</t>
        </is>
      </c>
      <c r="J148" t="inlineStr">
        <is>
          <t>CSA B45 Certified</t>
        </is>
      </c>
    </row>
    <row r="149">
      <c r="F149" t="inlineStr">
        <is>
          <t>Chloroethane (Ethyl chloride)</t>
        </is>
      </c>
      <c r="H149" t="inlineStr">
        <is>
          <t>Montenegro</t>
        </is>
      </c>
      <c r="J149" t="inlineStr">
        <is>
          <t>CSA B45.1 Certified</t>
        </is>
      </c>
    </row>
    <row r="150">
      <c r="F150" t="inlineStr">
        <is>
          <t>1-(2-Chloroethyl)-3-cyclohexyl-1-nitrosourea (CCNU) (Lomustine)</t>
        </is>
      </c>
      <c r="H150" t="inlineStr">
        <is>
          <t>Montserrat</t>
        </is>
      </c>
      <c r="J150" t="inlineStr">
        <is>
          <t>CSA B45.2 Certified</t>
        </is>
      </c>
    </row>
    <row r="151">
      <c r="F151" t="inlineStr">
        <is>
          <t>1-(2-Chloroethyl)-3-(4-methylcyclohexyl)-1-nitrosourea (Methyl-CCNU)</t>
        </is>
      </c>
      <c r="H151" t="inlineStr">
        <is>
          <t>Morocco</t>
        </is>
      </c>
      <c r="J151" t="inlineStr">
        <is>
          <t>CSA Certified</t>
        </is>
      </c>
    </row>
    <row r="152">
      <c r="F152" t="inlineStr">
        <is>
          <t>Chloromethyl methyl ether (technical grade)</t>
        </is>
      </c>
      <c r="H152" t="inlineStr">
        <is>
          <t>Mozambique</t>
        </is>
      </c>
      <c r="J152" t="inlineStr">
        <is>
          <t>CSA Listed for Canada</t>
        </is>
      </c>
    </row>
    <row r="153">
      <c r="F153" t="inlineStr">
        <is>
          <t>3-Chloro-2-methylpropene</t>
        </is>
      </c>
      <c r="H153" t="inlineStr">
        <is>
          <t>Myanmar</t>
        </is>
      </c>
      <c r="J153" t="inlineStr">
        <is>
          <t>CSA Listed for USA</t>
        </is>
      </c>
    </row>
    <row r="154">
      <c r="F154" t="inlineStr">
        <is>
          <t>1-Chloro-4-nitrobenzene</t>
        </is>
      </c>
      <c r="H154" t="inlineStr">
        <is>
          <t>Namibia</t>
        </is>
      </c>
      <c r="J154" t="inlineStr">
        <is>
          <t>CSPC - 16 CFR 1750 Compliant</t>
        </is>
      </c>
    </row>
    <row r="155">
      <c r="F155" t="inlineStr">
        <is>
          <t>4-Chloro-o-phenylenediamine</t>
        </is>
      </c>
      <c r="H155" t="inlineStr">
        <is>
          <t>Nauru</t>
        </is>
      </c>
      <c r="J155" t="inlineStr">
        <is>
          <t>cUL Listed</t>
        </is>
      </c>
    </row>
    <row r="156">
      <c r="F156" t="inlineStr">
        <is>
          <t>Chloroprene</t>
        </is>
      </c>
      <c r="H156" t="inlineStr">
        <is>
          <t>Nepal</t>
        </is>
      </c>
      <c r="J156" t="inlineStr">
        <is>
          <t>cUPC Certified</t>
        </is>
      </c>
    </row>
    <row r="157">
      <c r="F157" t="inlineStr">
        <is>
          <t>Chlorothalonil</t>
        </is>
      </c>
      <c r="H157" t="inlineStr">
        <is>
          <t>Netherlands</t>
        </is>
      </c>
      <c r="J157" t="inlineStr">
        <is>
          <t>DECT 6.0 Compliant</t>
        </is>
      </c>
    </row>
    <row r="158">
      <c r="F158" t="inlineStr">
        <is>
          <t>p-Chloro-o-toluidine</t>
        </is>
      </c>
      <c r="H158" t="inlineStr">
        <is>
          <t>Netherlands Antilles</t>
        </is>
      </c>
      <c r="J158" t="inlineStr">
        <is>
          <t>DIN EN 12935 Certified</t>
        </is>
      </c>
    </row>
    <row r="159">
      <c r="F159" t="inlineStr">
        <is>
          <t>p-Chloro-o-toluidine, strong acid salts of</t>
        </is>
      </c>
      <c r="H159" t="inlineStr">
        <is>
          <t>New Caledonia</t>
        </is>
      </c>
      <c r="J159" t="inlineStr">
        <is>
          <t>DIN EN 16647:2016</t>
        </is>
      </c>
    </row>
    <row r="160">
      <c r="F160" t="inlineStr">
        <is>
          <t>5-Chloro-o-toluidine and its strong acid salts</t>
        </is>
      </c>
      <c r="H160" t="inlineStr">
        <is>
          <t>New Zealand</t>
        </is>
      </c>
      <c r="J160" t="inlineStr">
        <is>
          <t>Dry/ Damp/ or Wet Location Listed - CAN</t>
        </is>
      </c>
    </row>
    <row r="161">
      <c r="F161" t="inlineStr">
        <is>
          <t>Chlorotrianisene</t>
        </is>
      </c>
      <c r="H161" t="inlineStr">
        <is>
          <t>Nicaragua</t>
        </is>
      </c>
      <c r="J161" t="inlineStr">
        <is>
          <t>Dry/ Damp/ or Wet Location Listed - USA</t>
        </is>
      </c>
    </row>
    <row r="162">
      <c r="F162" t="inlineStr">
        <is>
          <t>Chlorozotocin</t>
        </is>
      </c>
      <c r="H162" t="inlineStr">
        <is>
          <t>Niger</t>
        </is>
      </c>
      <c r="J162" t="inlineStr">
        <is>
          <t>EU 2018/2005</t>
        </is>
      </c>
    </row>
    <row r="163">
      <c r="F163" t="inlineStr">
        <is>
          <t>Chlorpyrifos</t>
        </is>
      </c>
      <c r="H163" t="inlineStr">
        <is>
          <t>Nigeria</t>
        </is>
      </c>
      <c r="J163" t="inlineStr">
        <is>
          <t>EIA Compliant</t>
        </is>
      </c>
    </row>
    <row r="164">
      <c r="F164" t="inlineStr">
        <is>
          <t>Chromium (hexavalent compounds)</t>
        </is>
      </c>
      <c r="H164" t="inlineStr">
        <is>
          <t>Niue</t>
        </is>
      </c>
      <c r="J164" t="inlineStr">
        <is>
          <t>EISA 2007 Compliant</t>
        </is>
      </c>
    </row>
    <row r="165">
      <c r="F165" t="inlineStr">
        <is>
          <t>Chrysene</t>
        </is>
      </c>
      <c r="H165" t="inlineStr">
        <is>
          <t>Norfolk Island</t>
        </is>
      </c>
      <c r="J165" t="inlineStr">
        <is>
          <t>EN 1111:2017</t>
        </is>
      </c>
    </row>
    <row r="166">
      <c r="F166" t="inlineStr">
        <is>
          <t>C.I. Acid Red 114</t>
        </is>
      </c>
      <c r="H166" t="inlineStr">
        <is>
          <t>Northern Mariana Islands</t>
        </is>
      </c>
      <c r="J166" t="inlineStr">
        <is>
          <t>EN 1130-1:1996 (Safety Requirements for Cribs and Cradles) - EU ONLY</t>
        </is>
      </c>
    </row>
    <row r="167">
      <c r="F167" t="inlineStr">
        <is>
          <t>C.I. Basic Red 9 monohydrochloride</t>
        </is>
      </c>
      <c r="H167" t="inlineStr">
        <is>
          <t>Norway</t>
        </is>
      </c>
      <c r="J167" t="inlineStr">
        <is>
          <t>EN 12221-1 (Standards for Changing Tables) - EU ONLY</t>
        </is>
      </c>
    </row>
    <row r="168">
      <c r="F168" t="inlineStr">
        <is>
          <t>C.I. Direct Blue 15</t>
        </is>
      </c>
      <c r="H168" t="inlineStr">
        <is>
          <t>Oman</t>
        </is>
      </c>
      <c r="J168" t="inlineStr">
        <is>
          <t>EN 1287:2017</t>
        </is>
      </c>
    </row>
    <row r="169">
      <c r="F169" t="inlineStr">
        <is>
          <t>C.I. Direct Blue 218</t>
        </is>
      </c>
      <c r="H169" t="inlineStr">
        <is>
          <t>Pakistan</t>
        </is>
      </c>
      <c r="J169" t="inlineStr">
        <is>
          <t>EN 13219 (Standards for Trampolines) - EU ONLY</t>
        </is>
      </c>
    </row>
    <row r="170">
      <c r="F170" t="inlineStr">
        <is>
          <t>C.I. Disperse Yellow 3</t>
        </is>
      </c>
      <c r="H170" t="inlineStr">
        <is>
          <t>Palau</t>
        </is>
      </c>
      <c r="J170" t="inlineStr">
        <is>
          <t>EN 14428:2015</t>
        </is>
      </c>
    </row>
    <row r="171">
      <c r="F171" t="inlineStr">
        <is>
          <t>C.I. Solvent Yellow 14</t>
        </is>
      </c>
      <c r="H171" t="inlineStr">
        <is>
          <t>Palestinian Territory, Occupied</t>
        </is>
      </c>
      <c r="J171" t="inlineStr">
        <is>
          <t>EN 14516:2019</t>
        </is>
      </c>
    </row>
    <row r="172">
      <c r="F172" t="inlineStr">
        <is>
          <t>Ciclosporin (Cyclosporin A; Cyclosporine)</t>
        </is>
      </c>
      <c r="H172" t="inlineStr">
        <is>
          <t>Panama</t>
        </is>
      </c>
      <c r="J172" t="inlineStr">
        <is>
          <t>EN 14527:2019 Certified</t>
        </is>
      </c>
    </row>
    <row r="173">
      <c r="F173" t="inlineStr">
        <is>
          <t>Cidofovir</t>
        </is>
      </c>
      <c r="H173" t="inlineStr">
        <is>
          <t>Papua New Guinea</t>
        </is>
      </c>
      <c r="J173" t="inlineStr">
        <is>
          <t>EN 14528:2018 Certified</t>
        </is>
      </c>
    </row>
    <row r="174">
      <c r="F174" t="inlineStr">
        <is>
          <t>Cinnamyl anthranilate</t>
        </is>
      </c>
      <c r="H174" t="inlineStr">
        <is>
          <t>Paraguay</t>
        </is>
      </c>
      <c r="J174" t="inlineStr">
        <is>
          <t>EN 1466:2014</t>
        </is>
      </c>
    </row>
    <row r="175">
      <c r="F175" t="inlineStr">
        <is>
          <t>Cisplatin</t>
        </is>
      </c>
      <c r="H175" t="inlineStr">
        <is>
          <t>Peru</t>
        </is>
      </c>
      <c r="J175" t="inlineStr">
        <is>
          <t>EN 14688:2018 Certified</t>
        </is>
      </c>
    </row>
    <row r="176">
      <c r="F176" t="inlineStr">
        <is>
          <t>Citrus Red No. 2</t>
        </is>
      </c>
      <c r="H176" t="inlineStr">
        <is>
          <t>Philippines</t>
        </is>
      </c>
      <c r="J176" t="inlineStr">
        <is>
          <t>EN 14749:2016 Certified</t>
        </is>
      </c>
    </row>
    <row r="177">
      <c r="F177" t="inlineStr">
        <is>
          <t>Cladribine</t>
        </is>
      </c>
      <c r="H177" t="inlineStr">
        <is>
          <t>Pitcairn</t>
        </is>
      </c>
      <c r="J177" t="inlineStr">
        <is>
          <t>EN 14878: 2007 (Requirements for Children's Sleepwear) - EU ONLY</t>
        </is>
      </c>
    </row>
    <row r="178">
      <c r="F178" t="inlineStr">
        <is>
          <t>Clarithromycin</t>
        </is>
      </c>
      <c r="H178" t="inlineStr">
        <is>
          <t>Poland</t>
        </is>
      </c>
      <c r="J178" t="inlineStr">
        <is>
          <t>EN 14988-1 (Safety Standards for High Chairs) - EU ONLY</t>
        </is>
      </c>
    </row>
    <row r="179">
      <c r="F179" t="inlineStr">
        <is>
          <t>Clobetasol propionate</t>
        </is>
      </c>
      <c r="H179" t="inlineStr">
        <is>
          <t>Portugal</t>
        </is>
      </c>
      <c r="J179" t="inlineStr">
        <is>
          <t>EN 15312 (Safety Standards for Multi-Sport Equipment) - EU ONLY</t>
        </is>
      </c>
    </row>
    <row r="180">
      <c r="F180" t="inlineStr">
        <is>
          <t>Clofibrate</t>
        </is>
      </c>
      <c r="H180" t="inlineStr">
        <is>
          <t>Puerto Rico</t>
        </is>
      </c>
      <c r="J180" t="inlineStr">
        <is>
          <t>EN 1725 (Safety Standards for Adult Beds) - EU ONLY</t>
        </is>
      </c>
    </row>
    <row r="181">
      <c r="F181" t="inlineStr">
        <is>
          <t>Clomiphene citrate</t>
        </is>
      </c>
      <c r="H181" t="inlineStr">
        <is>
          <t>Qatar</t>
        </is>
      </c>
      <c r="J181" t="inlineStr">
        <is>
          <t>EN 1930 (Standards for Child Gates and Safety Barriers) - EU ONLY</t>
        </is>
      </c>
    </row>
    <row r="182">
      <c r="F182" t="inlineStr">
        <is>
          <t>Clorazepate dipotassium</t>
        </is>
      </c>
      <c r="H182" t="inlineStr">
        <is>
          <t>Reunion</t>
        </is>
      </c>
      <c r="J182" t="inlineStr">
        <is>
          <t>EN 200:2008 Certified</t>
        </is>
      </c>
    </row>
    <row r="183">
      <c r="F183" t="inlineStr">
        <is>
          <t>CMNP (pyrazachlor)</t>
        </is>
      </c>
      <c r="H183" t="inlineStr">
        <is>
          <t>Romania</t>
        </is>
      </c>
      <c r="J183" t="inlineStr">
        <is>
          <t>EN 50291-1 (Standards for Smoke Detectors and CO Detectors) - EU ONLY</t>
        </is>
      </c>
    </row>
    <row r="184">
      <c r="F184" t="inlineStr">
        <is>
          <t>Cobalt metal powder</t>
        </is>
      </c>
      <c r="H184" t="inlineStr">
        <is>
          <t>Russian Federation</t>
        </is>
      </c>
      <c r="J184" t="inlineStr">
        <is>
          <t>EN 54-12 (Standards for Smoke Detectors and CO Detectors) - EU ONLY</t>
        </is>
      </c>
    </row>
    <row r="185">
      <c r="F185" t="inlineStr">
        <is>
          <t>Cobalt [II] oxide</t>
        </is>
      </c>
      <c r="H185" t="inlineStr">
        <is>
          <t>Rwanda</t>
        </is>
      </c>
      <c r="J185" t="inlineStr">
        <is>
          <t>EN 71 Compliant</t>
        </is>
      </c>
    </row>
    <row r="186">
      <c r="F186" t="inlineStr">
        <is>
          <t>Cobalt sulfate</t>
        </is>
      </c>
      <c r="H186" t="inlineStr">
        <is>
          <t>Saint Barthélemy</t>
        </is>
      </c>
      <c r="J186" t="inlineStr">
        <is>
          <t>EN 71-14:2018 Compliant</t>
        </is>
      </c>
    </row>
    <row r="187">
      <c r="F187" t="inlineStr">
        <is>
          <t>Cobalt sulfate heptahydrate</t>
        </is>
      </c>
      <c r="H187" t="inlineStr">
        <is>
          <t>Saint Helena</t>
        </is>
      </c>
      <c r="J187" t="inlineStr">
        <is>
          <t>EN 747-1 (Standards for Childrens Bunk Beds) - EU ONLY</t>
        </is>
      </c>
    </row>
    <row r="188">
      <c r="F188" t="inlineStr">
        <is>
          <t>Cocaine</t>
        </is>
      </c>
      <c r="H188" t="inlineStr">
        <is>
          <t>Saint Kitts and Nevis</t>
        </is>
      </c>
      <c r="J188" t="inlineStr">
        <is>
          <t>EN 748 (Safety Standards for Football Goals) - EU ONLY</t>
        </is>
      </c>
    </row>
    <row r="189">
      <c r="F189" t="inlineStr">
        <is>
          <t>Coconut oil diethanolamine condensate (cocamide diethanolamine)</t>
        </is>
      </c>
      <c r="H189" t="inlineStr">
        <is>
          <t>Saint Lucia</t>
        </is>
      </c>
      <c r="J189" t="inlineStr">
        <is>
          <t>EN 997:2018</t>
        </is>
      </c>
    </row>
    <row r="190">
      <c r="F190" t="inlineStr">
        <is>
          <t>Codeine phosphate</t>
        </is>
      </c>
      <c r="H190" t="inlineStr">
        <is>
          <t>Saint Martin</t>
        </is>
      </c>
      <c r="J190" t="inlineStr">
        <is>
          <t>Energy Label Type</t>
        </is>
      </c>
    </row>
    <row r="191">
      <c r="F191" t="inlineStr">
        <is>
          <t>Coke oven emissions</t>
        </is>
      </c>
      <c r="H191" t="inlineStr">
        <is>
          <t>Saint Pierre and Miquelon</t>
        </is>
      </c>
      <c r="J191" t="inlineStr">
        <is>
          <t>Energy Policy Act 1992 Compliant</t>
        </is>
      </c>
    </row>
    <row r="192">
      <c r="F192" t="inlineStr">
        <is>
          <t>Colchicine</t>
        </is>
      </c>
      <c r="H192" t="inlineStr">
        <is>
          <t>Saint Vincent and the Grenadines</t>
        </is>
      </c>
      <c r="J192" t="inlineStr">
        <is>
          <t>ENERGY STAR Certified</t>
        </is>
      </c>
    </row>
    <row r="193">
      <c r="F193" t="inlineStr">
        <is>
          <t>Conjugated estrogens</t>
        </is>
      </c>
      <c r="H193" t="inlineStr">
        <is>
          <t>Samoa</t>
        </is>
      </c>
      <c r="J193" t="inlineStr">
        <is>
          <t>EPA Compliant</t>
        </is>
      </c>
    </row>
    <row r="194">
      <c r="F194" t="inlineStr">
        <is>
          <t>Creosotes</t>
        </is>
      </c>
      <c r="H194" t="inlineStr">
        <is>
          <t>San Marino</t>
        </is>
      </c>
      <c r="J194" t="inlineStr">
        <is>
          <t>EPA Pesticide Registration Number</t>
        </is>
      </c>
    </row>
    <row r="195">
      <c r="F195" t="inlineStr">
        <is>
          <t>p-Cresidine</t>
        </is>
      </c>
      <c r="H195" t="inlineStr">
        <is>
          <t>Sao Tome and Principe</t>
        </is>
      </c>
      <c r="J195" t="inlineStr">
        <is>
          <t>EPP Compliant</t>
        </is>
      </c>
    </row>
    <row r="196">
      <c r="F196" t="inlineStr">
        <is>
          <t>Cumene</t>
        </is>
      </c>
      <c r="H196" t="inlineStr">
        <is>
          <t>Saudi Arabia</t>
        </is>
      </c>
      <c r="J196" t="inlineStr">
        <is>
          <t>ETL Listed</t>
        </is>
      </c>
    </row>
    <row r="197">
      <c r="F197" t="inlineStr">
        <is>
          <t>Cupferron</t>
        </is>
      </c>
      <c r="H197" t="inlineStr">
        <is>
          <t>Senegal</t>
        </is>
      </c>
      <c r="J197" t="inlineStr">
        <is>
          <t>EU 2018/1513</t>
        </is>
      </c>
    </row>
    <row r="198">
      <c r="F198" t="inlineStr">
        <is>
          <t>Cyanazine</t>
        </is>
      </c>
      <c r="H198" t="inlineStr">
        <is>
          <t>Serbia</t>
        </is>
      </c>
      <c r="J198" t="inlineStr">
        <is>
          <t>EU Energy Efficiency Class</t>
        </is>
      </c>
    </row>
    <row r="199">
      <c r="F199" t="inlineStr">
        <is>
          <t>Cycasin</t>
        </is>
      </c>
      <c r="H199" t="inlineStr">
        <is>
          <t>Seychelles</t>
        </is>
      </c>
      <c r="J199" t="inlineStr">
        <is>
          <t>EuroLatex ECO-Standard</t>
        </is>
      </c>
    </row>
    <row r="200">
      <c r="F200" t="inlineStr">
        <is>
          <t>Cycloate</t>
        </is>
      </c>
      <c r="H200" t="inlineStr">
        <is>
          <t>Sierra Leone</t>
        </is>
      </c>
      <c r="J200" t="inlineStr">
        <is>
          <t>FCC Compliant</t>
        </is>
      </c>
    </row>
    <row r="201">
      <c r="F201" t="inlineStr">
        <is>
          <t>Cycloheximide</t>
        </is>
      </c>
      <c r="H201" t="inlineStr">
        <is>
          <t>Singapore</t>
        </is>
      </c>
      <c r="J201" t="inlineStr">
        <is>
          <t>FCC Part 15 Compliant</t>
        </is>
      </c>
    </row>
    <row r="202">
      <c r="F202" t="inlineStr">
        <is>
          <t>Cyclopenta[cd]pyrene</t>
        </is>
      </c>
      <c r="H202" t="inlineStr">
        <is>
          <t>Slovakia</t>
        </is>
      </c>
      <c r="J202" t="inlineStr">
        <is>
          <t>FCC Part 68 Compliant</t>
        </is>
      </c>
    </row>
    <row r="203">
      <c r="F203" t="inlineStr">
        <is>
          <t>Cyclophosphamide (anhydrous)</t>
        </is>
      </c>
      <c r="H203" t="inlineStr">
        <is>
          <t>Slovenia</t>
        </is>
      </c>
      <c r="J203" t="inlineStr">
        <is>
          <t>FIRA Certified</t>
        </is>
      </c>
    </row>
    <row r="204">
      <c r="F204" t="inlineStr">
        <is>
          <t>Cyclophosphamide (hydrated)</t>
        </is>
      </c>
      <c r="H204" t="inlineStr">
        <is>
          <t>Solomon Islands</t>
        </is>
      </c>
      <c r="J204" t="inlineStr">
        <is>
          <t>Fire Rated</t>
        </is>
      </c>
    </row>
    <row r="205">
      <c r="F205" t="inlineStr">
        <is>
          <t>Cyhexatin</t>
        </is>
      </c>
      <c r="H205" t="inlineStr">
        <is>
          <t>Somalia</t>
        </is>
      </c>
      <c r="J205" t="inlineStr">
        <is>
          <t>FISP Certified</t>
        </is>
      </c>
    </row>
    <row r="206">
      <c r="F206" t="inlineStr">
        <is>
          <t>Cytarabine</t>
        </is>
      </c>
      <c r="H206" t="inlineStr">
        <is>
          <t>South Africa</t>
        </is>
      </c>
      <c r="J206" t="inlineStr">
        <is>
          <t>FloorScore Certification</t>
        </is>
      </c>
    </row>
    <row r="207">
      <c r="F207" t="inlineStr">
        <is>
          <t>Cytembena</t>
        </is>
      </c>
      <c r="H207" t="inlineStr">
        <is>
          <t>South Georgia and the South Sandwich Islands</t>
        </is>
      </c>
      <c r="J207" t="inlineStr">
        <is>
          <t>FM Approved</t>
        </is>
      </c>
    </row>
    <row r="208">
      <c r="F208" t="inlineStr">
        <is>
          <t>D&amp;C Orange No. 17</t>
        </is>
      </c>
      <c r="H208" t="inlineStr">
        <is>
          <t>Spain</t>
        </is>
      </c>
      <c r="J208" t="inlineStr">
        <is>
          <t>Food Safe</t>
        </is>
      </c>
    </row>
    <row r="209">
      <c r="F209" t="inlineStr">
        <is>
          <t>D&amp;C Red No. 8</t>
        </is>
      </c>
      <c r="H209" t="inlineStr">
        <is>
          <t>Sri Lanka</t>
        </is>
      </c>
      <c r="J209" t="inlineStr">
        <is>
          <t>FSC Certified</t>
        </is>
      </c>
    </row>
    <row r="210">
      <c r="F210" t="inlineStr">
        <is>
          <t>D&amp;C Red No. 9</t>
        </is>
      </c>
      <c r="H210" t="inlineStr">
        <is>
          <t>Sudan</t>
        </is>
      </c>
      <c r="J210" t="inlineStr">
        <is>
          <t>General Certificate of Conformity (GCC)</t>
        </is>
      </c>
    </row>
    <row r="211">
      <c r="F211" t="inlineStr">
        <is>
          <t>D&amp;C Red No. 19</t>
        </is>
      </c>
      <c r="H211" t="inlineStr">
        <is>
          <t>Suriname</t>
        </is>
      </c>
      <c r="J211" t="inlineStr">
        <is>
          <t>Glass Doors and Enclosures Regulations SOR/2016-174</t>
        </is>
      </c>
    </row>
    <row r="212">
      <c r="F212" t="inlineStr">
        <is>
          <t>Dacarbazine</t>
        </is>
      </c>
      <c r="H212" t="inlineStr">
        <is>
          <t>Svalbard and Jan Mayen</t>
        </is>
      </c>
      <c r="J212" t="inlineStr">
        <is>
          <t>Glazed Ceramics and Glassware Regulations SOR/2016-175</t>
        </is>
      </c>
    </row>
    <row r="213">
      <c r="F213" t="inlineStr">
        <is>
          <t>Daminozide</t>
        </is>
      </c>
      <c r="H213" t="inlineStr">
        <is>
          <t>Swaziland</t>
        </is>
      </c>
      <c r="J213" t="inlineStr">
        <is>
          <t>GOLS 3.0 (Global Organic Latex Standard) Certified</t>
        </is>
      </c>
    </row>
    <row r="214">
      <c r="F214" t="inlineStr">
        <is>
          <t>Danazol</t>
        </is>
      </c>
      <c r="H214" t="inlineStr">
        <is>
          <t>Sweden</t>
        </is>
      </c>
      <c r="J214" t="inlineStr">
        <is>
          <t>Goodweave Certified</t>
        </is>
      </c>
    </row>
    <row r="215">
      <c r="F215" t="inlineStr">
        <is>
          <t>Dantron (Chrysazin; 1,8-Dihydroxyanthraquinone)</t>
        </is>
      </c>
      <c r="H215" t="inlineStr">
        <is>
          <t>Switzerland</t>
        </is>
      </c>
      <c r="J215" t="inlineStr">
        <is>
          <t>GOTS 5.0 (Global Organic Textile Standard) Certified</t>
        </is>
      </c>
    </row>
    <row r="216">
      <c r="F216" t="inlineStr">
        <is>
          <t>Daunomycin</t>
        </is>
      </c>
      <c r="H216" t="inlineStr">
        <is>
          <t>Syrian Arab Republic</t>
        </is>
      </c>
      <c r="J216" t="inlineStr">
        <is>
          <t>Green Public Procurement Certified</t>
        </is>
      </c>
    </row>
    <row r="217">
      <c r="F217" t="inlineStr">
        <is>
          <t xml:space="preserve">Daunorubicin hydrochloride </t>
        </is>
      </c>
      <c r="H217" t="inlineStr">
        <is>
          <t>Taiwan</t>
        </is>
      </c>
      <c r="J217" t="inlineStr">
        <is>
          <t>GREENGUARD Certified</t>
        </is>
      </c>
    </row>
    <row r="218">
      <c r="F218" t="inlineStr">
        <is>
          <t>2,4-D butyric acid</t>
        </is>
      </c>
      <c r="H218" t="inlineStr">
        <is>
          <t>Tajikistan</t>
        </is>
      </c>
      <c r="J218" t="inlineStr">
        <is>
          <t>GREENGUARD Gold Certified</t>
        </is>
      </c>
    </row>
    <row r="219">
      <c r="F219" t="inlineStr">
        <is>
          <t>DDD (Dichlorodiphenyl-dichloroethane)</t>
        </is>
      </c>
      <c r="H219" t="inlineStr">
        <is>
          <t>Tanzania, United Republic of</t>
        </is>
      </c>
      <c r="J219" t="inlineStr">
        <is>
          <t>GS (Geprüfte Sicherheit) verzeichnet</t>
        </is>
      </c>
    </row>
    <row r="220">
      <c r="F220" t="inlineStr">
        <is>
          <t>DDE (Dichlorodiphenyl-dichloroethylene)</t>
        </is>
      </c>
      <c r="H220" t="inlineStr">
        <is>
          <t>Thailand</t>
        </is>
      </c>
      <c r="J220" t="inlineStr">
        <is>
          <t>GSA Approved</t>
        </is>
      </c>
    </row>
    <row r="221">
      <c r="F221" t="inlineStr">
        <is>
          <t>DDT (Dichlorodiphenyl-trichloroethane)</t>
        </is>
      </c>
      <c r="H221" t="inlineStr">
        <is>
          <t>Timor-Leste</t>
        </is>
      </c>
      <c r="J221" t="inlineStr">
        <is>
          <t>Health Canada - SOR/2016-176 Compliant</t>
        </is>
      </c>
    </row>
    <row r="222">
      <c r="F222" t="inlineStr">
        <is>
          <t>o,p'-DDT</t>
        </is>
      </c>
      <c r="H222" t="inlineStr">
        <is>
          <t>Togo</t>
        </is>
      </c>
      <c r="J222" t="inlineStr">
        <is>
          <t>Health Canada - SOR/2016-179 Compliant</t>
        </is>
      </c>
    </row>
    <row r="223">
      <c r="F223" t="inlineStr">
        <is>
          <t>p,p'-DDT</t>
        </is>
      </c>
      <c r="H223" t="inlineStr">
        <is>
          <t>Tokelau</t>
        </is>
      </c>
      <c r="J223" t="inlineStr">
        <is>
          <t>Health Canada - SOR/2016-183 Compliant</t>
        </is>
      </c>
    </row>
    <row r="224">
      <c r="F224" t="inlineStr">
        <is>
          <t>DDVP (Dichlorvos)</t>
        </is>
      </c>
      <c r="H224" t="inlineStr">
        <is>
          <t>Tonga</t>
        </is>
      </c>
      <c r="J224" t="inlineStr">
        <is>
          <t>Health Canada Compliant</t>
        </is>
      </c>
    </row>
    <row r="225">
      <c r="F225" t="inlineStr">
        <is>
          <t>Demeclocycline hydrochloride (internal use)</t>
        </is>
      </c>
      <c r="H225" t="inlineStr">
        <is>
          <t>Trinidad and Tobago</t>
        </is>
      </c>
      <c r="J225" t="inlineStr">
        <is>
          <t>HFES 100 Certified Ergonomic</t>
        </is>
      </c>
    </row>
    <row r="226">
      <c r="F226" t="inlineStr">
        <is>
          <t>Des-ethyl atrazine (DEA)</t>
        </is>
      </c>
      <c r="H226" t="inlineStr">
        <is>
          <t>Tunisia</t>
        </is>
      </c>
      <c r="J226" t="inlineStr">
        <is>
          <t>HVI 2100 Certified</t>
        </is>
      </c>
    </row>
    <row r="227">
      <c r="F227" t="inlineStr">
        <is>
          <t>Des-isopropyl atrazine (DIA)</t>
        </is>
      </c>
      <c r="H227" t="inlineStr">
        <is>
          <t>Turkey</t>
        </is>
      </c>
      <c r="J227" t="inlineStr">
        <is>
          <t>HVI Certified</t>
        </is>
      </c>
    </row>
    <row r="228">
      <c r="F228" t="inlineStr">
        <is>
          <t>N,N'-Diacetylbenzidine</t>
        </is>
      </c>
      <c r="H228" t="inlineStr">
        <is>
          <t>Turkmenistan</t>
        </is>
      </c>
      <c r="J228" t="inlineStr">
        <is>
          <t>IAPMO Certified</t>
        </is>
      </c>
    </row>
    <row r="229">
      <c r="F229" t="inlineStr">
        <is>
          <t>2,4-Diaminoanisole</t>
        </is>
      </c>
      <c r="H229" t="inlineStr">
        <is>
          <t>Turks and Caicos Islands</t>
        </is>
      </c>
      <c r="J229" t="inlineStr">
        <is>
          <t>IATA Compliant</t>
        </is>
      </c>
    </row>
    <row r="230">
      <c r="F230" t="inlineStr">
        <is>
          <t>2,4-Diaminoanisole sulfate</t>
        </is>
      </c>
      <c r="H230" t="inlineStr">
        <is>
          <t>Tuvalu</t>
        </is>
      </c>
      <c r="J230" t="inlineStr">
        <is>
          <t>IEC/EN 62471 Compliant</t>
        </is>
      </c>
    </row>
    <row r="231">
      <c r="F231" t="inlineStr">
        <is>
          <t>2,4-Diamino-6-chloro-s-triazine (DACT)</t>
        </is>
      </c>
      <c r="H231" t="inlineStr">
        <is>
          <t>Uganda</t>
        </is>
      </c>
      <c r="J231" t="inlineStr">
        <is>
          <t>Indoor Air Quality Certified</t>
        </is>
      </c>
    </row>
    <row r="232">
      <c r="F232" t="inlineStr">
        <is>
          <t>4,4'-Diaminodiphenyl ether (4,4'-Oxydianiline)</t>
        </is>
      </c>
      <c r="H232" t="inlineStr">
        <is>
          <t>Ukraine</t>
        </is>
      </c>
      <c r="J232" t="inlineStr">
        <is>
          <t>IP Rating</t>
        </is>
      </c>
    </row>
    <row r="233">
      <c r="F233" t="inlineStr">
        <is>
          <t>2,4-Diaminotoluene</t>
        </is>
      </c>
      <c r="H233" t="inlineStr">
        <is>
          <t>United Arab Emirates</t>
        </is>
      </c>
      <c r="J233" t="inlineStr">
        <is>
          <t>IPEMA Certified</t>
        </is>
      </c>
    </row>
    <row r="234">
      <c r="F234" t="inlineStr">
        <is>
          <t>Diazepam</t>
        </is>
      </c>
      <c r="H234" t="inlineStr">
        <is>
          <t>United Kingdom</t>
        </is>
      </c>
      <c r="J234" t="inlineStr">
        <is>
          <t>ISO 14000 Certified</t>
        </is>
      </c>
    </row>
    <row r="235">
      <c r="F235" t="inlineStr">
        <is>
          <t>Diazoaminobenzene</t>
        </is>
      </c>
      <c r="H235" t="inlineStr">
        <is>
          <t>United States Minor Outlying Islands</t>
        </is>
      </c>
      <c r="J235" t="inlineStr">
        <is>
          <t>ISO 14001 Certified</t>
        </is>
      </c>
    </row>
    <row r="236">
      <c r="F236" t="inlineStr">
        <is>
          <t>Diazoxide</t>
        </is>
      </c>
      <c r="H236" t="inlineStr">
        <is>
          <t>Uruguay</t>
        </is>
      </c>
      <c r="J236" t="inlineStr">
        <is>
          <t>ISO 9000 Certified</t>
        </is>
      </c>
    </row>
    <row r="237">
      <c r="F237" t="inlineStr">
        <is>
          <t>Dibenz[a,h]acridine</t>
        </is>
      </c>
      <c r="H237" t="inlineStr">
        <is>
          <t>Uzbekistan</t>
        </is>
      </c>
      <c r="J237" t="inlineStr">
        <is>
          <t>ISO 9001 Certified</t>
        </is>
      </c>
    </row>
    <row r="238">
      <c r="F238" t="inlineStr">
        <is>
          <t>Dibenz[a,j]acridine</t>
        </is>
      </c>
      <c r="H238" t="inlineStr">
        <is>
          <t>Vanuatu</t>
        </is>
      </c>
      <c r="J238" t="inlineStr">
        <is>
          <t>ISTA 1A Certified</t>
        </is>
      </c>
    </row>
    <row r="239">
      <c r="F239" t="inlineStr">
        <is>
          <t>Dibenzanthracenes</t>
        </is>
      </c>
      <c r="H239" t="inlineStr">
        <is>
          <t>Venezuela</t>
        </is>
      </c>
      <c r="J239" t="inlineStr">
        <is>
          <t>ISTA 3A Certified</t>
        </is>
      </c>
    </row>
    <row r="240">
      <c r="F240" t="inlineStr">
        <is>
          <t>Dibenz[a,c]anthracene</t>
        </is>
      </c>
      <c r="H240" t="inlineStr">
        <is>
          <t>Vietnam</t>
        </is>
      </c>
      <c r="J240" t="inlineStr">
        <is>
          <t>ISTA 3A or 6A Certified</t>
        </is>
      </c>
    </row>
    <row r="241">
      <c r="F241" t="inlineStr">
        <is>
          <t>Dibenz[a,h]anthracene</t>
        </is>
      </c>
      <c r="H241" t="inlineStr">
        <is>
          <t>Virgin Islands, British</t>
        </is>
      </c>
      <c r="J241" t="inlineStr">
        <is>
          <t>ISTA1ACertified</t>
        </is>
      </c>
    </row>
    <row r="242">
      <c r="F242" t="inlineStr">
        <is>
          <t>Dibenz[a,j]anthracene</t>
        </is>
      </c>
      <c r="H242" t="inlineStr">
        <is>
          <t>Virgin Islands, U.S.</t>
        </is>
      </c>
      <c r="J242" t="inlineStr">
        <is>
          <t>ISTA3Aor6ACertified</t>
        </is>
      </c>
    </row>
    <row r="243">
      <c r="F243" t="inlineStr">
        <is>
          <t>7H-Dibenzo[c,g]carbazole</t>
        </is>
      </c>
      <c r="H243" t="inlineStr">
        <is>
          <t>Wallis and Futuna</t>
        </is>
      </c>
      <c r="J243" t="inlineStr">
        <is>
          <t>ITSF Compliant</t>
        </is>
      </c>
    </row>
    <row r="244">
      <c r="F244" t="inlineStr">
        <is>
          <t>Dibenzo[a,e]pyrene</t>
        </is>
      </c>
      <c r="H244" t="inlineStr">
        <is>
          <t>Western Sahara</t>
        </is>
      </c>
      <c r="J244" t="inlineStr">
        <is>
          <t>ITTF Approved</t>
        </is>
      </c>
    </row>
    <row r="245">
      <c r="F245" t="inlineStr">
        <is>
          <t>Dibenzo[a,h]pyrene</t>
        </is>
      </c>
      <c r="H245" t="inlineStr">
        <is>
          <t>Yemen</t>
        </is>
      </c>
      <c r="J245" t="inlineStr">
        <is>
          <t>ITTO Compliant</t>
        </is>
      </c>
    </row>
    <row r="246">
      <c r="F246" t="inlineStr">
        <is>
          <t>Dibenzo[a,i]pyrene</t>
        </is>
      </c>
      <c r="H246" t="inlineStr">
        <is>
          <t>Zambia</t>
        </is>
      </c>
      <c r="J246" t="inlineStr">
        <is>
          <t>Janka Hardness Rating (PSI)</t>
        </is>
      </c>
    </row>
    <row r="247">
      <c r="F247" t="inlineStr">
        <is>
          <t>Dibenzo[a,l]pyrene</t>
        </is>
      </c>
      <c r="H247" t="inlineStr">
        <is>
          <t>Zimbabwe</t>
        </is>
      </c>
      <c r="J247" t="inlineStr">
        <is>
          <t>JPMA Certified</t>
        </is>
      </c>
    </row>
    <row r="248">
      <c r="F248" t="inlineStr">
        <is>
          <t>Dibromoacetic acid</t>
        </is>
      </c>
      <c r="H248" t="inlineStr">
        <is>
          <t>United States - APO/FPO/DPO</t>
        </is>
      </c>
      <c r="J248" t="inlineStr">
        <is>
          <t>Kettles Regulations SOR/2016-181</t>
        </is>
      </c>
    </row>
    <row r="249">
      <c r="F249" t="inlineStr">
        <is>
          <t>Dibromoacetonitrile</t>
        </is>
      </c>
      <c r="J249" t="inlineStr">
        <is>
          <t>Lacey Act Compliant</t>
        </is>
      </c>
    </row>
    <row r="250">
      <c r="F250" t="inlineStr">
        <is>
          <t>2,3-Dibromo-1-propanol</t>
        </is>
      </c>
      <c r="J250" t="inlineStr">
        <is>
          <t>LM-79 Certified</t>
        </is>
      </c>
    </row>
    <row r="251">
      <c r="F251" t="inlineStr">
        <is>
          <t>Dichloroacetic acid</t>
        </is>
      </c>
      <c r="J251" t="inlineStr">
        <is>
          <t>LM-80 Certified</t>
        </is>
      </c>
    </row>
    <row r="252">
      <c r="F252" t="inlineStr">
        <is>
          <t>p-Dichlorobenzene</t>
        </is>
      </c>
      <c r="J252" t="inlineStr">
        <is>
          <t>Low Lead Compliant</t>
        </is>
      </c>
    </row>
    <row r="253">
      <c r="F253" t="inlineStr">
        <is>
          <t>3,3'-Dichlorobenzidine</t>
        </is>
      </c>
      <c r="J253" t="inlineStr">
        <is>
          <t>Mattress Flammability Testing - Public Occupancy Use</t>
        </is>
      </c>
    </row>
    <row r="254">
      <c r="F254" t="inlineStr">
        <is>
          <t>3,3'-Dichlorobenzidine dihydrochloride</t>
        </is>
      </c>
      <c r="J254" t="inlineStr">
        <is>
          <t>MERV Rating</t>
        </is>
      </c>
    </row>
    <row r="255">
      <c r="F255" t="inlineStr">
        <is>
          <t>1,1-Dichloro-2,2-bis(p-chloropheny)ethylene (DDE)</t>
        </is>
      </c>
      <c r="J255" t="inlineStr">
        <is>
          <t>MET Listed</t>
        </is>
      </c>
    </row>
    <row r="256">
      <c r="F256" t="inlineStr">
        <is>
          <t>1,4-Dichloro-2-butene</t>
        </is>
      </c>
      <c r="J256" t="inlineStr">
        <is>
          <t>Minnesota 325F.177 Compliant</t>
        </is>
      </c>
    </row>
    <row r="257">
      <c r="F257" t="inlineStr">
        <is>
          <t>3,3'-Dichloro-4,4'-diamino-diphenyl ether</t>
        </is>
      </c>
      <c r="J257" t="inlineStr">
        <is>
          <t>MOHS - Surface Hardness</t>
        </is>
      </c>
    </row>
    <row r="258">
      <c r="F258" t="inlineStr">
        <is>
          <t>1,1-Dichloroethane</t>
        </is>
      </c>
      <c r="J258" t="inlineStr">
        <is>
          <t>NAECA Certified</t>
        </is>
      </c>
    </row>
    <row r="259">
      <c r="F259" t="inlineStr">
        <is>
          <t>Dichloromethane (Methylene chloride)</t>
        </is>
      </c>
      <c r="J259" t="inlineStr">
        <is>
          <t>NAHB Compliant</t>
        </is>
      </c>
    </row>
    <row r="260">
      <c r="F260" t="inlineStr">
        <is>
          <t>Dichlorophene</t>
        </is>
      </c>
      <c r="J260" t="inlineStr">
        <is>
          <t>NEMA Certified</t>
        </is>
      </c>
    </row>
    <row r="261">
      <c r="F261" t="inlineStr">
        <is>
          <t>Dichlorphenamide</t>
        </is>
      </c>
      <c r="J261" t="inlineStr">
        <is>
          <t>New York City Water Regulation Compliant</t>
        </is>
      </c>
    </row>
    <row r="262">
      <c r="F262" t="inlineStr">
        <is>
          <t>1,2-Dichloropropane</t>
        </is>
      </c>
      <c r="J262" t="inlineStr">
        <is>
          <t>NFPA 211 - Standard for Chimeys/ Fireplaces/ Vents and Solid Fuel-Burning Appliances</t>
        </is>
      </c>
    </row>
    <row r="263">
      <c r="F263" t="inlineStr">
        <is>
          <t>1,3-Dichloro-2-propanol (1,3-DCP)</t>
        </is>
      </c>
      <c r="J263" t="inlineStr">
        <is>
          <t>NFPA 253 or ASTM E648 Compliant</t>
        </is>
      </c>
    </row>
    <row r="264">
      <c r="F264" t="inlineStr">
        <is>
          <t>1,3-Dichloropropene</t>
        </is>
      </c>
      <c r="J264" t="inlineStr">
        <is>
          <t>NFPA Compliant</t>
        </is>
      </c>
    </row>
    <row r="265">
      <c r="F265" t="inlineStr">
        <is>
          <t>Dicumarol</t>
        </is>
      </c>
      <c r="J265" t="inlineStr">
        <is>
          <t>NFSI Certified</t>
        </is>
      </c>
    </row>
    <row r="266">
      <c r="F266" t="inlineStr">
        <is>
          <t>Dieldrin</t>
        </is>
      </c>
      <c r="J266" t="inlineStr">
        <is>
          <t>NOMITE Certified</t>
        </is>
      </c>
    </row>
    <row r="267">
      <c r="F267" t="inlineStr">
        <is>
          <t>Diepoxybutane</t>
        </is>
      </c>
      <c r="J267" t="inlineStr">
        <is>
          <t>NRPA Certified</t>
        </is>
      </c>
    </row>
    <row r="268">
      <c r="F268" t="inlineStr">
        <is>
          <t>Diesel engine exhaust</t>
        </is>
      </c>
      <c r="J268" t="inlineStr">
        <is>
          <t>NSF Certified</t>
        </is>
      </c>
    </row>
    <row r="269">
      <c r="F269" t="inlineStr">
        <is>
          <t>Diethanolamine</t>
        </is>
      </c>
      <c r="J269" t="inlineStr">
        <is>
          <t>NSF/ANSI 184 Certified</t>
        </is>
      </c>
    </row>
    <row r="270">
      <c r="F270" t="inlineStr">
        <is>
          <t>Di(2-ethylhexyl)phthalate (DEHP)</t>
        </is>
      </c>
      <c r="J270" t="inlineStr">
        <is>
          <t>NSF/ANSI 3 Certified</t>
        </is>
      </c>
    </row>
    <row r="271">
      <c r="F271" t="inlineStr">
        <is>
          <t>1,2-Diethylhydrazine</t>
        </is>
      </c>
      <c r="J271" t="inlineStr">
        <is>
          <t>FACTS - NSF/ANSI 336 –Compliant</t>
        </is>
      </c>
    </row>
    <row r="272">
      <c r="F272" t="inlineStr">
        <is>
          <t>Diethylstilbestrol (DES)</t>
        </is>
      </c>
      <c r="J272" t="inlineStr">
        <is>
          <t>NSF/ANSI 61 Certified</t>
        </is>
      </c>
    </row>
    <row r="273">
      <c r="F273" t="inlineStr">
        <is>
          <t>Diethyl sulfate</t>
        </is>
      </c>
      <c r="J273" t="inlineStr">
        <is>
          <t>OEKO-TEX Standard 100 Certified</t>
        </is>
      </c>
    </row>
    <row r="274">
      <c r="F274" t="inlineStr">
        <is>
          <t>Diflunisal</t>
        </is>
      </c>
      <c r="J274" t="inlineStr">
        <is>
          <t>OSHA Compliant</t>
        </is>
      </c>
    </row>
    <row r="275">
      <c r="F275" t="inlineStr">
        <is>
          <t>Diglycidyl resorcinol ether (DGRE)</t>
        </is>
      </c>
      <c r="J275" t="inlineStr">
        <is>
          <t>PAT Tested</t>
        </is>
      </c>
    </row>
    <row r="276">
      <c r="F276" t="inlineStr">
        <is>
          <t xml:space="preserve">Dihydroergotamine mesylate </t>
        </is>
      </c>
      <c r="J276" t="inlineStr">
        <is>
          <t>PEFC Certified</t>
        </is>
      </c>
    </row>
    <row r="277">
      <c r="F277" t="inlineStr">
        <is>
          <t>Dihydrosafrole</t>
        </is>
      </c>
      <c r="J277" t="inlineStr">
        <is>
          <t>PEI Rated</t>
        </is>
      </c>
    </row>
    <row r="278">
      <c r="F278" t="inlineStr">
        <is>
          <t>Diisononyl phthalate (DINP)</t>
        </is>
      </c>
      <c r="J278" t="inlineStr">
        <is>
          <t>PEI Rating</t>
        </is>
      </c>
    </row>
    <row r="279">
      <c r="F279" t="inlineStr">
        <is>
          <t>Diisopropyl sulfate</t>
        </is>
      </c>
      <c r="J279" t="inlineStr">
        <is>
          <t>Responsible Down Standard Certified</t>
        </is>
      </c>
    </row>
    <row r="280">
      <c r="F280" t="inlineStr">
        <is>
          <t>Diltiazem hydrochloride</t>
        </is>
      </c>
      <c r="J280" t="inlineStr">
        <is>
          <t>RoHS Compliant</t>
        </is>
      </c>
    </row>
    <row r="281">
      <c r="F281" t="inlineStr">
        <is>
          <t>3,3'-Dimethoxybenzidine (o-Dianisidine)</t>
        </is>
      </c>
      <c r="J281" t="inlineStr">
        <is>
          <t>SATRA Approved</t>
        </is>
      </c>
    </row>
    <row r="282">
      <c r="F282" t="inlineStr">
        <is>
          <t>3,3'-Dimethoxybenzidine dihydrochloride</t>
        </is>
      </c>
      <c r="J282" t="inlineStr">
        <is>
          <t>SCC Compliant</t>
        </is>
      </c>
    </row>
    <row r="283">
      <c r="F283" t="inlineStr">
        <is>
          <t>3,3'-Dimethoxybenzidine-based dyes metabolized to 3,3'-dimethoxybenzidine</t>
        </is>
      </c>
      <c r="J283" t="inlineStr">
        <is>
          <t>SCS Certified</t>
        </is>
      </c>
    </row>
    <row r="284">
      <c r="F284" t="inlineStr">
        <is>
          <t>N,N-Dimethylacetamide</t>
        </is>
      </c>
      <c r="J284" t="inlineStr">
        <is>
          <t>SDWA Compliant</t>
        </is>
      </c>
    </row>
    <row r="285">
      <c r="F285" t="inlineStr">
        <is>
          <t>4-Dimethylaminoazobenzene</t>
        </is>
      </c>
      <c r="J285" t="inlineStr">
        <is>
          <t>SFI Certified</t>
        </is>
      </c>
    </row>
    <row r="286">
      <c r="F286" t="inlineStr">
        <is>
          <t>trans-2-[(Dimethylamino)methylimino]-5-[2-(5-nitro-2-furyl)vinyl]-1,3,4-oxadiazole</t>
        </is>
      </c>
      <c r="J286" t="inlineStr">
        <is>
          <t>SOR/2016-152 - Canadian Regulation - Cribs/ Cradles and Bassinets</t>
        </is>
      </c>
    </row>
    <row r="287">
      <c r="F287" t="inlineStr">
        <is>
          <t>7,12-Dimethylbenz(a)anthracene</t>
        </is>
      </c>
      <c r="J287" t="inlineStr">
        <is>
          <t>SOR/2016-193 - Surface Coating Materials Regulations</t>
        </is>
      </c>
    </row>
    <row r="288">
      <c r="F288" t="inlineStr">
        <is>
          <t>3,3'-Dimethylbenzidine (ortho-Tolidine)</t>
        </is>
      </c>
      <c r="J288" t="inlineStr">
        <is>
          <t>SOR/2018-83 -Consumer Products Containing Lead Regulations</t>
        </is>
      </c>
    </row>
    <row r="289">
      <c r="F289" t="inlineStr">
        <is>
          <t>3,3'-Dimethylbenzidine-based dyes metabolized to 3,3'-dimethylbenzidine</t>
        </is>
      </c>
      <c r="J289" t="inlineStr">
        <is>
          <t>Stiftung Warentest Note</t>
        </is>
      </c>
    </row>
    <row r="290">
      <c r="F290" t="inlineStr">
        <is>
          <t>3,3'-Dimethylbenzidine dihydrochloride</t>
        </is>
      </c>
      <c r="J290" t="inlineStr">
        <is>
          <t>TAA Compliant</t>
        </is>
      </c>
    </row>
    <row r="291">
      <c r="F291" t="inlineStr">
        <is>
          <t>Dimethylcarbamoyl chloride</t>
        </is>
      </c>
      <c r="J291" t="inlineStr">
        <is>
          <t>TCLP Compliant</t>
        </is>
      </c>
    </row>
    <row r="292">
      <c r="F292" t="inlineStr">
        <is>
          <t>N,N-Dimethylformamide</t>
        </is>
      </c>
      <c r="J292" t="inlineStr">
        <is>
          <t>Textile Flammability Regulations SOR/2016-194</t>
        </is>
      </c>
    </row>
    <row r="293">
      <c r="F293" t="inlineStr">
        <is>
          <t>1,1-Dimethylhydrazine (UDMH)</t>
        </is>
      </c>
      <c r="J293" t="inlineStr">
        <is>
          <t>Textile Labelling and Advertising Regulations (C.R.C./ c. 1551)</t>
        </is>
      </c>
    </row>
    <row r="294">
      <c r="F294" t="inlineStr">
        <is>
          <t>1,2-Dimethylhydrazine</t>
        </is>
      </c>
      <c r="J294" t="inlineStr">
        <is>
          <t>Tipover Restraint Device Included</t>
        </is>
      </c>
    </row>
    <row r="295">
      <c r="F295" t="inlineStr">
        <is>
          <t>2,6-Dimethyl-N-nitrosomorpholine (DMNM)</t>
        </is>
      </c>
      <c r="J295" t="inlineStr">
        <is>
          <t>Title 20 - California Code of Regulations</t>
        </is>
      </c>
    </row>
    <row r="296">
      <c r="F296" t="inlineStr">
        <is>
          <t>Dimethyl sulfate</t>
        </is>
      </c>
      <c r="J296" t="inlineStr">
        <is>
          <t>Title 24 Compliant</t>
        </is>
      </c>
    </row>
    <row r="297">
      <c r="F297" t="inlineStr">
        <is>
          <t>N,N-Dimethyl-p-toluidine</t>
        </is>
      </c>
      <c r="J297" t="inlineStr">
        <is>
          <t>Toys Regulations SOR/2016-195</t>
        </is>
      </c>
    </row>
    <row r="298">
      <c r="F298" t="inlineStr">
        <is>
          <t>Dimethylvinylchloride</t>
        </is>
      </c>
      <c r="J298" t="inlineStr">
        <is>
          <t>TSA Compliant</t>
        </is>
      </c>
    </row>
    <row r="299">
      <c r="F299" t="inlineStr">
        <is>
          <t>Di-n-butyl phthalate (DBP)</t>
        </is>
      </c>
      <c r="J299" t="inlineStr">
        <is>
          <t>TSCA Title VI Compliant (formaldehyde emissions)</t>
        </is>
      </c>
    </row>
    <row r="300">
      <c r="F300" t="inlineStr">
        <is>
          <t>3,7-Dinitrofluoranthene</t>
        </is>
      </c>
      <c r="J300" t="inlineStr">
        <is>
          <t>TÜV Rheinland zertifiziert</t>
        </is>
      </c>
    </row>
    <row r="301">
      <c r="F301" t="inlineStr">
        <is>
          <t>3,9-Dinitrofluoranthene</t>
        </is>
      </c>
      <c r="J301" t="inlineStr">
        <is>
          <t>UL 10B Compliant</t>
        </is>
      </c>
    </row>
    <row r="302">
      <c r="F302" t="inlineStr">
        <is>
          <t>1,3-Dinitropyrene</t>
        </is>
      </c>
      <c r="J302" t="inlineStr">
        <is>
          <t>UL 10C Compliant</t>
        </is>
      </c>
    </row>
    <row r="303">
      <c r="F303" t="inlineStr">
        <is>
          <t>1,6-Dinitropyrene</t>
        </is>
      </c>
      <c r="J303" t="inlineStr">
        <is>
          <t>UL 1678 Listed</t>
        </is>
      </c>
    </row>
    <row r="304">
      <c r="F304" t="inlineStr">
        <is>
          <t>1,8-Dinitropyrene</t>
        </is>
      </c>
      <c r="J304" t="inlineStr">
        <is>
          <t>UL 1951 Listed</t>
        </is>
      </c>
    </row>
    <row r="305">
      <c r="F305" t="inlineStr">
        <is>
          <t>2,4-Dinitrotoluene</t>
        </is>
      </c>
      <c r="J305" t="inlineStr">
        <is>
          <t>UL 2108 Listed</t>
        </is>
      </c>
    </row>
    <row r="306">
      <c r="F306" t="inlineStr">
        <is>
          <t>2,6-Dinitrotoluene</t>
        </is>
      </c>
      <c r="J306" t="inlineStr">
        <is>
          <t>UL 4041 - Safety Standard for Outdoor Furniture</t>
        </is>
      </c>
    </row>
    <row r="307">
      <c r="F307" t="inlineStr">
        <is>
          <t>Dinitrotoluene mixture, 2,4-/2,6-</t>
        </is>
      </c>
      <c r="J307" t="inlineStr">
        <is>
          <t>UL Gas-Fired Mark</t>
        </is>
      </c>
    </row>
    <row r="308">
      <c r="F308" t="inlineStr">
        <is>
          <t>Dinocap</t>
        </is>
      </c>
      <c r="J308" t="inlineStr">
        <is>
          <t>UL Listed</t>
        </is>
      </c>
    </row>
    <row r="309">
      <c r="F309" t="inlineStr">
        <is>
          <t>Dinoseb</t>
        </is>
      </c>
      <c r="J309" t="inlineStr">
        <is>
          <t>UN 38.3 Testing Requirements</t>
        </is>
      </c>
    </row>
    <row r="310">
      <c r="F310" t="inlineStr">
        <is>
          <t>Di-n-propyl isocinchomeronate (MGK Repellent 326)</t>
        </is>
      </c>
      <c r="J310" t="inlineStr">
        <is>
          <t>Uniform Packaging and Labeling Regulations (UPLR) Compliant</t>
        </is>
      </c>
    </row>
    <row r="311">
      <c r="F311" t="inlineStr">
        <is>
          <t>1,4-Dioxane</t>
        </is>
      </c>
      <c r="J311" t="inlineStr">
        <is>
          <t>UPC Certified</t>
        </is>
      </c>
    </row>
    <row r="312">
      <c r="F312" t="inlineStr">
        <is>
          <t>Diphenylhydantoin (Phenytoin)</t>
        </is>
      </c>
      <c r="J312" t="inlineStr">
        <is>
          <t>USATT Approved</t>
        </is>
      </c>
    </row>
    <row r="313">
      <c r="F313" t="inlineStr">
        <is>
          <t>Diphenylhydantoin (Phenytoin), sodium salt</t>
        </is>
      </c>
      <c r="J313" t="inlineStr">
        <is>
          <t>USDA Compliant</t>
        </is>
      </c>
    </row>
    <row r="314">
      <c r="F314" t="inlineStr">
        <is>
          <t>Direct Black 38 (technical grade)</t>
        </is>
      </c>
      <c r="J314" t="inlineStr">
        <is>
          <t>USDA Organic/ NOP Certified</t>
        </is>
      </c>
    </row>
    <row r="315">
      <c r="F315" t="inlineStr">
        <is>
          <t>Direct Blue 6 (technical grade)</t>
        </is>
      </c>
      <c r="J315" t="inlineStr">
        <is>
          <t>USPS Approved</t>
        </is>
      </c>
    </row>
    <row r="316">
      <c r="F316" t="inlineStr">
        <is>
          <t>Direct Brown 95 (technical grade)</t>
        </is>
      </c>
      <c r="J316" t="inlineStr">
        <is>
          <t>Vermont Act 193 Compliant</t>
        </is>
      </c>
    </row>
    <row r="317">
      <c r="F317" t="inlineStr">
        <is>
          <t>Disodium cyanodithioimidocarbonate</t>
        </is>
      </c>
      <c r="J317" t="inlineStr">
        <is>
          <t>Washington Children's Safe Product Act</t>
        </is>
      </c>
    </row>
    <row r="318">
      <c r="F318" t="inlineStr">
        <is>
          <t>Disperse Blue 1</t>
        </is>
      </c>
      <c r="J318" t="inlineStr">
        <is>
          <t>Washington State VIAQ Code Compliant</t>
        </is>
      </c>
    </row>
    <row r="319">
      <c r="F319" t="inlineStr">
        <is>
          <t>Diuron</t>
        </is>
      </c>
      <c r="J319" t="inlineStr">
        <is>
          <t>WQA Gold Seal Certified</t>
        </is>
      </c>
    </row>
    <row r="320">
      <c r="F320" t="inlineStr">
        <is>
          <t>Doxorubicin hydrochloride (Adriamycin)</t>
        </is>
      </c>
      <c r="J320" t="inlineStr">
        <is>
          <t>WW-P-541 Certified</t>
        </is>
      </c>
    </row>
    <row r="321">
      <c r="F321" t="inlineStr">
        <is>
          <t>Doxycycline (internal use)</t>
        </is>
      </c>
      <c r="J321" t="inlineStr">
        <is>
          <t>Safety Data Sheets (SDS)</t>
        </is>
      </c>
    </row>
    <row r="322">
      <c r="F322" t="inlineStr">
        <is>
          <t>Doxycycline calcium (internal use)</t>
        </is>
      </c>
      <c r="J322" t="inlineStr">
        <is>
          <t>Canadian Energy Label (EnerGuide)</t>
        </is>
      </c>
    </row>
    <row r="323">
      <c r="F323" t="inlineStr">
        <is>
          <t>Doxycycline hyclate (internal use)</t>
        </is>
      </c>
      <c r="J323" t="inlineStr">
        <is>
          <t>GS Marked</t>
        </is>
      </c>
    </row>
    <row r="324">
      <c r="F324" t="inlineStr">
        <is>
          <t>Doxycycline monohydrate (internal use)</t>
        </is>
      </c>
      <c r="J324" t="inlineStr">
        <is>
          <t>DIN EN 1860</t>
        </is>
      </c>
    </row>
    <row r="325">
      <c r="F325" t="inlineStr">
        <is>
          <t>Emissions from combustion of coal</t>
        </is>
      </c>
      <c r="J325" t="inlineStr">
        <is>
          <t>EN 17072:2018</t>
        </is>
      </c>
    </row>
    <row r="326">
      <c r="F326" t="inlineStr">
        <is>
          <t>Emissions from high-temperature unrefined rapeseed oil</t>
        </is>
      </c>
      <c r="J326" t="inlineStr">
        <is>
          <t>UKCA Marked</t>
        </is>
      </c>
    </row>
    <row r="327">
      <c r="F327" t="inlineStr">
        <is>
          <t>Endrin</t>
        </is>
      </c>
      <c r="J327" t="inlineStr">
        <is>
          <t>ASTM F1169-19 Compliant - Safety Specification for Full Sized Baby Cribs</t>
        </is>
      </c>
    </row>
    <row r="328">
      <c r="F328" t="inlineStr">
        <is>
          <t>Environmental tobacco smoke (ETS)</t>
        </is>
      </c>
      <c r="J328" t="inlineStr">
        <is>
          <t>ASTM F2933-19 Certified</t>
        </is>
      </c>
    </row>
    <row r="329">
      <c r="F329" t="inlineStr">
        <is>
          <t>Epichlorohydrin</t>
        </is>
      </c>
      <c r="J329" t="inlineStr">
        <is>
          <t>ASTM F1912-19 Certified</t>
        </is>
      </c>
    </row>
    <row r="330">
      <c r="F330" t="inlineStr">
        <is>
          <t>Epoxiconazole</t>
        </is>
      </c>
      <c r="J330" t="inlineStr">
        <is>
          <t>ASTM F2088-20 Certified</t>
        </is>
      </c>
    </row>
    <row r="331">
      <c r="F331" t="inlineStr">
        <is>
          <t>Ergotamine tartrate</t>
        </is>
      </c>
      <c r="J331" t="inlineStr">
        <is>
          <t>ASTM F1427-19 - Consumer Safety Specification for Bunk Beds</t>
        </is>
      </c>
    </row>
    <row r="332">
      <c r="F332" t="inlineStr">
        <is>
          <t>Estradiol 17B</t>
        </is>
      </c>
      <c r="J332" t="inlineStr">
        <is>
          <t>ASTM F2085-19 Certified</t>
        </is>
      </c>
    </row>
    <row r="333">
      <c r="F333" t="inlineStr">
        <is>
          <t>Estragole</t>
        </is>
      </c>
      <c r="J333" t="inlineStr">
        <is>
          <t>ASTM F2613-19 Certified</t>
        </is>
      </c>
    </row>
    <row r="334">
      <c r="F334" t="inlineStr">
        <is>
          <t>Estrogens, steroidal</t>
        </is>
      </c>
      <c r="J334" t="inlineStr">
        <is>
          <t>ASTM F3084-20 Certified</t>
        </is>
      </c>
    </row>
    <row r="335">
      <c r="F335" t="inlineStr">
        <is>
          <t>Estrogen-progestogen (combined) used as menopausal therapy</t>
        </is>
      </c>
      <c r="J335" t="inlineStr">
        <is>
          <t>TÜV SÜD Certified</t>
        </is>
      </c>
    </row>
    <row r="336">
      <c r="F336" t="inlineStr">
        <is>
          <t>Estrone</t>
        </is>
      </c>
      <c r="J336" t="inlineStr">
        <is>
          <t>BS EN 442-1:2014 - Requirements for Radiators and Convectors</t>
        </is>
      </c>
    </row>
    <row r="337">
      <c r="F337" t="inlineStr">
        <is>
          <t>Estropipate</t>
        </is>
      </c>
      <c r="J337" t="inlineStr">
        <is>
          <t>CSA B45.5/IAPMO Z124</t>
        </is>
      </c>
    </row>
    <row r="338">
      <c r="F338" t="inlineStr">
        <is>
          <t>Ethanol in alcoholic beverages</t>
        </is>
      </c>
      <c r="J338" t="inlineStr">
        <is>
          <t>ASTM F3429 / F3429M – 20 Compliant - Standard Specification for Disposable Flammable Liquid Fuel Containers</t>
        </is>
      </c>
    </row>
    <row r="339">
      <c r="F339" t="inlineStr">
        <is>
          <t>Ethinylestradiol</t>
        </is>
      </c>
      <c r="J339" t="inlineStr">
        <is>
          <t>REACH (Registration/ Evaluation/ Authorisation and Restriction of Chemicals) Compliant</t>
        </is>
      </c>
    </row>
    <row r="340">
      <c r="F340" t="inlineStr">
        <is>
          <t>Ethionamide</t>
        </is>
      </c>
      <c r="J340" t="inlineStr">
        <is>
          <t>ASTM F1148-20</t>
        </is>
      </c>
    </row>
    <row r="341">
      <c r="F341" t="inlineStr">
        <is>
          <t>Ethoprop</t>
        </is>
      </c>
      <c r="J341" t="inlineStr">
        <is>
          <t>EN 1130:2019 (Safety Requirements for Cribs and Cradles) - EU ONLY</t>
        </is>
      </c>
    </row>
    <row r="342">
      <c r="F342" t="inlineStr">
        <is>
          <t>Ethyl acrylate</t>
        </is>
      </c>
      <c r="J342" t="inlineStr">
        <is>
          <t>UK General Product Safety Regulation</t>
        </is>
      </c>
    </row>
    <row r="343">
      <c r="F343" t="inlineStr">
        <is>
          <t>Ethyl alcohol in alcoholic beverages</t>
        </is>
      </c>
      <c r="J343" t="inlineStr">
        <is>
          <t>EN 16582 - Requirements for Domestic Swimming Pools</t>
        </is>
      </c>
    </row>
    <row r="344">
      <c r="F344" t="inlineStr">
        <is>
          <t>Ethylbenzene</t>
        </is>
      </c>
      <c r="J344" t="inlineStr">
        <is>
          <t>EN 16713 - Requirements for Filtration Systems/ Circulation Systems/ and Treatment in Domestic Swimming Pools</t>
        </is>
      </c>
    </row>
    <row r="345">
      <c r="F345" t="inlineStr">
        <is>
          <t>Ethyl dipropylthiocarbamate</t>
        </is>
      </c>
      <c r="J345" t="inlineStr">
        <is>
          <t>EN 1021 1&amp;2 - Furniture Flammability Standard</t>
        </is>
      </c>
    </row>
    <row r="346">
      <c r="F346" t="inlineStr">
        <is>
          <t>Ethyl-4,4'-dichlorobenzilate</t>
        </is>
      </c>
      <c r="J346" t="inlineStr">
        <is>
          <t>FIRA/FRQG C001:2016 - General Safety Requirements for Children's Furniture</t>
        </is>
      </c>
    </row>
    <row r="347">
      <c r="F347" t="inlineStr">
        <is>
          <t>Ethylene dibromide</t>
        </is>
      </c>
      <c r="J347" t="inlineStr">
        <is>
          <t>BS 8509 - British Safety Standard for Children's Beds</t>
        </is>
      </c>
    </row>
    <row r="348">
      <c r="F348" t="inlineStr">
        <is>
          <t>Ethylene dichloride (1,2-Dichloroethane)</t>
        </is>
      </c>
      <c r="J348" t="inlineStr">
        <is>
          <t>FIRA/FRQG C002:2016 - Seating: Requirements for Strength/ Stability/ and Durability</t>
        </is>
      </c>
    </row>
    <row r="349">
      <c r="F349" t="inlineStr">
        <is>
          <t>Ethylene glycol (ingested)</t>
        </is>
      </c>
      <c r="J349" t="inlineStr">
        <is>
          <t>FIRA/FRQG C003:2016 - Tables and desks: Requirements for strength/ stability and durability</t>
        </is>
      </c>
    </row>
    <row r="350">
      <c r="F350" t="inlineStr">
        <is>
          <t>Ethylene glycol monoethyl ether</t>
        </is>
      </c>
      <c r="J350" t="inlineStr">
        <is>
          <t>FIRA/FRQG C004:2016 - Storage furniture – Requirements for strength/ stability and durability</t>
        </is>
      </c>
    </row>
    <row r="351">
      <c r="F351" t="inlineStr">
        <is>
          <t>Ethylene glycol monoethyl ether acetate</t>
        </is>
      </c>
      <c r="J351" t="inlineStr">
        <is>
          <t>EN 71-8:2018 Compliant</t>
        </is>
      </c>
    </row>
    <row r="352">
      <c r="F352" t="inlineStr">
        <is>
          <t>Ethylene glycol monomethyl ether</t>
        </is>
      </c>
      <c r="J352" t="inlineStr">
        <is>
          <t>EN 71-1:2014 + A1:2018</t>
        </is>
      </c>
    </row>
    <row r="353">
      <c r="F353" t="inlineStr">
        <is>
          <t>Ethylene glycol monomethyl ether acetate</t>
        </is>
      </c>
      <c r="J353" t="inlineStr">
        <is>
          <t>EN 62115:2005+A11:2012</t>
        </is>
      </c>
    </row>
    <row r="354">
      <c r="F354" t="inlineStr">
        <is>
          <t>Ethyleneimine (Aziridine)</t>
        </is>
      </c>
      <c r="J354" t="inlineStr">
        <is>
          <t>EU: 2006/42/EC - EU Machinery Directive</t>
        </is>
      </c>
    </row>
    <row r="355">
      <c r="F355" t="inlineStr">
        <is>
          <t>Ethylene oxide</t>
        </is>
      </c>
      <c r="J355" t="inlineStr">
        <is>
          <t>CPSC - 16 CFR 1222 Compliant</t>
        </is>
      </c>
    </row>
    <row r="356">
      <c r="F356" t="inlineStr">
        <is>
          <t>Ethylene thiourea</t>
        </is>
      </c>
      <c r="J356" t="inlineStr">
        <is>
          <t>CPSC 16 CFR 1227.2</t>
        </is>
      </c>
    </row>
    <row r="357">
      <c r="F357" t="inlineStr">
        <is>
          <t>Ethyl methanesulfonate</t>
        </is>
      </c>
      <c r="J357" t="inlineStr">
        <is>
          <t>EN 16890: 2017</t>
        </is>
      </c>
    </row>
    <row r="358">
      <c r="F358" t="inlineStr">
        <is>
          <t>Etodolac</t>
        </is>
      </c>
      <c r="J358" t="inlineStr">
        <is>
          <t>SOR/2016-167 - Carriages and Strollers Regulations</t>
        </is>
      </c>
    </row>
    <row r="359">
      <c r="F359" t="inlineStr">
        <is>
          <t>Etoposide</t>
        </is>
      </c>
      <c r="J359" t="inlineStr">
        <is>
          <t>Recycled Content</t>
        </is>
      </c>
    </row>
    <row r="360">
      <c r="F360" t="inlineStr">
        <is>
          <t>Etoposide in combination with cisplatin and bleomycin</t>
        </is>
      </c>
      <c r="J360" t="inlineStr">
        <is>
          <t>Global Recycled Standard (Textile Exchange) Certified</t>
        </is>
      </c>
    </row>
    <row r="361">
      <c r="F361" t="inlineStr">
        <is>
          <t>Etretinate</t>
        </is>
      </c>
      <c r="J361" t="inlineStr">
        <is>
          <t>Recycled Claim Standard (Textile Exchange) Certified</t>
        </is>
      </c>
    </row>
    <row r="362">
      <c r="F362" t="inlineStr">
        <is>
          <t>Fenoxaprop ethyl</t>
        </is>
      </c>
      <c r="J362" t="inlineStr">
        <is>
          <t>ISO 14021 Recycled Content Standard Certified</t>
        </is>
      </c>
    </row>
    <row r="363">
      <c r="F363" t="inlineStr">
        <is>
          <t>Fenoxycarb</t>
        </is>
      </c>
      <c r="J363" t="inlineStr">
        <is>
          <t>Organic Content Standard (Textile Exchange) Certified</t>
        </is>
      </c>
    </row>
    <row r="364">
      <c r="F364" t="inlineStr">
        <is>
          <t>Filgrastim</t>
        </is>
      </c>
      <c r="J364" t="inlineStr">
        <is>
          <t>Asthma and Allergy Friendly Certified</t>
        </is>
      </c>
    </row>
    <row r="365">
      <c r="F365" t="inlineStr">
        <is>
          <t>Fluazifop butyl</t>
        </is>
      </c>
      <c r="J365" t="inlineStr">
        <is>
          <t>British Allergy Foundation Seal of Approval</t>
        </is>
      </c>
    </row>
    <row r="366">
      <c r="F366" t="inlineStr">
        <is>
          <t>Flunisolide</t>
        </is>
      </c>
      <c r="J366" t="inlineStr">
        <is>
          <t>Carbon Neutral Certifications</t>
        </is>
      </c>
    </row>
    <row r="367">
      <c r="F367" t="inlineStr">
        <is>
          <t>Fluorouracil</t>
        </is>
      </c>
      <c r="J367" t="inlineStr">
        <is>
          <t>Golden M Certified</t>
        </is>
      </c>
    </row>
    <row r="368">
      <c r="F368" t="inlineStr">
        <is>
          <t>Fluoxymesterone</t>
        </is>
      </c>
      <c r="J368" t="inlineStr">
        <is>
          <t>MAS Certified Green</t>
        </is>
      </c>
    </row>
    <row r="369">
      <c r="F369" t="inlineStr">
        <is>
          <t>Flurazepam hydrochloride</t>
        </is>
      </c>
      <c r="J369" t="inlineStr">
        <is>
          <t>FloorScore Certified</t>
        </is>
      </c>
    </row>
    <row r="370">
      <c r="F370" t="inlineStr">
        <is>
          <t>Flurbiprofen</t>
        </is>
      </c>
      <c r="J370" t="inlineStr">
        <is>
          <t>CertiPUR-EU Certified</t>
        </is>
      </c>
    </row>
    <row r="371">
      <c r="F371" t="inlineStr">
        <is>
          <t>Flutamide</t>
        </is>
      </c>
      <c r="J371" t="inlineStr">
        <is>
          <t>EU Ecolabel</t>
        </is>
      </c>
    </row>
    <row r="372">
      <c r="F372" t="inlineStr">
        <is>
          <t>Fluticasone propionate</t>
        </is>
      </c>
      <c r="J372" t="inlineStr">
        <is>
          <t>EPA WaterSense Certified</t>
        </is>
      </c>
    </row>
    <row r="373">
      <c r="F373" t="inlineStr">
        <is>
          <t>Fluvalinate</t>
        </is>
      </c>
      <c r="J373" t="inlineStr">
        <is>
          <t>Blue Angel Certified</t>
        </is>
      </c>
    </row>
    <row r="374">
      <c r="F374" t="inlineStr">
        <is>
          <t>Folpet</t>
        </is>
      </c>
      <c r="J374" t="inlineStr">
        <is>
          <t>Responsible Down Standard (Textile Exchange) Certified</t>
        </is>
      </c>
    </row>
    <row r="375">
      <c r="F375" t="inlineStr">
        <is>
          <t>Formaldehyde (gas)</t>
        </is>
      </c>
      <c r="J375" t="inlineStr">
        <is>
          <t>Bluesign Certified</t>
        </is>
      </c>
    </row>
    <row r="376">
      <c r="F376" t="inlineStr">
        <is>
          <t>2-(2-Formylhydrazino)-4-(5-nitro-2-furyl)thiazole</t>
        </is>
      </c>
      <c r="J376" t="inlineStr">
        <is>
          <t>GreenScreen Certified</t>
        </is>
      </c>
    </row>
    <row r="377">
      <c r="F377" t="inlineStr">
        <is>
          <t>Fumonisin B1</t>
        </is>
      </c>
      <c r="J377" t="inlineStr">
        <is>
          <t>MADE SAFE Certified</t>
        </is>
      </c>
    </row>
    <row r="378">
      <c r="F378" t="inlineStr">
        <is>
          <t>Furan</t>
        </is>
      </c>
      <c r="J378" t="inlineStr">
        <is>
          <t>Responsible Wool Standard (Textile Exchange) Certified</t>
        </is>
      </c>
    </row>
    <row r="379">
      <c r="F379" t="inlineStr">
        <is>
          <t>Furazolidone</t>
        </is>
      </c>
      <c r="J379" t="inlineStr">
        <is>
          <t>Das Kork Logo Certified</t>
        </is>
      </c>
    </row>
    <row r="380">
      <c r="F380" t="inlineStr">
        <is>
          <t>Furfuryl alcohol</t>
        </is>
      </c>
      <c r="J380" t="inlineStr">
        <is>
          <t>DGM Emissions Label for Furniture</t>
        </is>
      </c>
    </row>
    <row r="381">
      <c r="F381" t="inlineStr">
        <is>
          <t>Furmecyclox</t>
        </is>
      </c>
      <c r="J381" t="inlineStr">
        <is>
          <t>GUT Label</t>
        </is>
      </c>
    </row>
    <row r="382">
      <c r="F382" t="inlineStr">
        <is>
          <t>Fusarin C</t>
        </is>
      </c>
      <c r="J382" t="inlineStr">
        <is>
          <t>LEVEL - ANSI/BIFMA e3 Furniture Sustainability Standard - Certified</t>
        </is>
      </c>
    </row>
    <row r="383">
      <c r="F383" t="inlineStr">
        <is>
          <t>Gallium arsenide</t>
        </is>
      </c>
      <c r="J383" t="inlineStr">
        <is>
          <t>Natureplus Eco-Label</t>
        </is>
      </c>
    </row>
    <row r="384">
      <c r="F384" t="inlineStr">
        <is>
          <t>Ganciclovir</t>
        </is>
      </c>
      <c r="J384" t="inlineStr">
        <is>
          <t>NATURLEDER IVN Certified</t>
        </is>
      </c>
    </row>
    <row r="385">
      <c r="F385" t="inlineStr">
        <is>
          <t>Ganciclovir sodium</t>
        </is>
      </c>
      <c r="J385" t="inlineStr">
        <is>
          <t>NATURTEXTIL IVN Certified BEST</t>
        </is>
      </c>
    </row>
    <row r="386">
      <c r="F386" t="inlineStr">
        <is>
          <t>Gasoline engine exhaust (condensates/extracts)</t>
        </is>
      </c>
      <c r="J386" t="inlineStr">
        <is>
          <t>ÖkoControl Seal</t>
        </is>
      </c>
    </row>
    <row r="387">
      <c r="F387" t="inlineStr">
        <is>
          <t>Gemfibrozil</t>
        </is>
      </c>
      <c r="J387" t="inlineStr">
        <is>
          <t>Sustainability Assessment for Carpet - NSF/ANSI 140 - Compliant</t>
        </is>
      </c>
    </row>
    <row r="388">
      <c r="F388" t="inlineStr">
        <is>
          <t>Glass wool fibers (inhalable and biopersistent)</t>
        </is>
      </c>
      <c r="J388" t="inlineStr">
        <is>
          <t>Sustainability Assessment for Wallcovering Products - NSF/ANSI 342 - Compliant</t>
        </is>
      </c>
    </row>
    <row r="389">
      <c r="F389" t="inlineStr">
        <is>
          <t>Glu-P-1 (2-Amino-6-methyldipyrido[1,2- a:3',2'-d]imidazole)</t>
        </is>
      </c>
      <c r="J389" t="inlineStr">
        <is>
          <t>Type III Product Specific Environmental Product Declaration (EPD)</t>
        </is>
      </c>
    </row>
    <row r="390">
      <c r="F390" t="inlineStr">
        <is>
          <t>Glu-P-2 (2-Aminodipyrido[1,2-a:3',2'-d]imidazole)</t>
        </is>
      </c>
      <c r="J390" t="inlineStr">
        <is>
          <t>UL ECOLOGO Certified</t>
        </is>
      </c>
    </row>
    <row r="391">
      <c r="F391" t="inlineStr">
        <is>
          <t>Glycidaldehyde</t>
        </is>
      </c>
      <c r="J391" t="inlineStr">
        <is>
          <t>USDA BioBased Product</t>
        </is>
      </c>
    </row>
    <row r="392">
      <c r="F392" t="inlineStr">
        <is>
          <t>Glycidol</t>
        </is>
      </c>
      <c r="J392" t="inlineStr">
        <is>
          <t>DOWNPASS Certified</t>
        </is>
      </c>
    </row>
    <row r="393">
      <c r="F393" t="inlineStr">
        <is>
          <t>Glyphosate</t>
        </is>
      </c>
      <c r="J393" t="inlineStr">
        <is>
          <t>Green Squared (G2) Certified</t>
        </is>
      </c>
    </row>
    <row r="394">
      <c r="F394" t="inlineStr">
        <is>
          <t>Goldenseal root powder</t>
        </is>
      </c>
      <c r="J394" t="inlineStr">
        <is>
          <t>FairTrade Certified</t>
        </is>
      </c>
    </row>
    <row r="395">
      <c r="F395" t="inlineStr">
        <is>
          <t>Goserelin acetate</t>
        </is>
      </c>
      <c r="J395" t="inlineStr">
        <is>
          <t>FairTrade Certified Cotton</t>
        </is>
      </c>
    </row>
    <row r="396">
      <c r="F396" t="inlineStr">
        <is>
          <t>Griseofulvin</t>
        </is>
      </c>
      <c r="J396" t="inlineStr">
        <is>
          <t>FSC 100% Certified</t>
        </is>
      </c>
    </row>
    <row r="397">
      <c r="F397" t="inlineStr">
        <is>
          <t>Gyromitrin (Acetaldehyde methylformylhydrazone)</t>
        </is>
      </c>
      <c r="J397" t="inlineStr">
        <is>
          <t>FSC MIX Certified</t>
        </is>
      </c>
    </row>
    <row r="398">
      <c r="F398" t="inlineStr">
        <is>
          <t>Halazepam</t>
        </is>
      </c>
      <c r="J398" t="inlineStr">
        <is>
          <t>FSC Recycled</t>
        </is>
      </c>
    </row>
    <row r="399">
      <c r="F399" t="inlineStr">
        <is>
          <t>Halobetasol propionate</t>
        </is>
      </c>
      <c r="J399" t="inlineStr">
        <is>
          <t>SFI Certified Sourcing</t>
        </is>
      </c>
    </row>
    <row r="400">
      <c r="F400" t="inlineStr">
        <is>
          <t>Haloperidol</t>
        </is>
      </c>
      <c r="J400" t="inlineStr">
        <is>
          <t>SFI Chain-of-Custody Certified</t>
        </is>
      </c>
    </row>
    <row r="401">
      <c r="F401" t="inlineStr">
        <is>
          <t>Halothane</t>
        </is>
      </c>
      <c r="J401" t="inlineStr">
        <is>
          <t>SFI Fiber Sourcing Certified</t>
        </is>
      </c>
    </row>
    <row r="402">
      <c r="F402" t="inlineStr">
        <is>
          <t>HC Blue 1</t>
        </is>
      </c>
      <c r="J402" t="inlineStr">
        <is>
          <t>ENERGY STAR Canada Certified</t>
        </is>
      </c>
    </row>
    <row r="403">
      <c r="F403" t="inlineStr">
        <is>
          <t>Heptachlor</t>
        </is>
      </c>
      <c r="J403" t="inlineStr">
        <is>
          <t>Carbon Neutral - PAS 2060 - Certified</t>
        </is>
      </c>
    </row>
    <row r="404">
      <c r="F404" t="inlineStr">
        <is>
          <t>Heptachlor epoxide</t>
        </is>
      </c>
      <c r="J404" t="inlineStr">
        <is>
          <t>Carbonfree Product Certification</t>
        </is>
      </c>
    </row>
    <row r="405">
      <c r="F405" t="inlineStr">
        <is>
          <t>Herbal remedies containing plant species of the genus Aristolochia</t>
        </is>
      </c>
      <c r="J405" t="inlineStr">
        <is>
          <t>Indoor Advantage Certified</t>
        </is>
      </c>
    </row>
    <row r="406">
      <c r="F406" t="inlineStr">
        <is>
          <t>Hexachlorobenzene</t>
        </is>
      </c>
      <c r="J406" t="inlineStr">
        <is>
          <t>Indoor Advantage Gold Certified</t>
        </is>
      </c>
    </row>
    <row r="407">
      <c r="F407" t="inlineStr">
        <is>
          <t>Hexachlorobutadiene</t>
        </is>
      </c>
      <c r="J407" t="inlineStr">
        <is>
          <t>Indoor Air Comfort Certified</t>
        </is>
      </c>
    </row>
    <row r="408">
      <c r="F408" t="inlineStr">
        <is>
          <t>Hexachlorodibenzodioxin</t>
        </is>
      </c>
      <c r="J408" t="inlineStr">
        <is>
          <t>Indoor Air Comfort GOLD Certified</t>
        </is>
      </c>
    </row>
    <row r="409">
      <c r="F409" t="inlineStr">
        <is>
          <t>Hexachloroethane</t>
        </is>
      </c>
      <c r="J409" t="inlineStr">
        <is>
          <t>OEKO-TEX LEATHER STANDARD Certified</t>
        </is>
      </c>
    </row>
    <row r="410">
      <c r="F410" t="inlineStr">
        <is>
          <t>2,4-Hexadienal (89% trans, trans isomer; 11% cis, trans isomer)</t>
        </is>
      </c>
      <c r="J410" t="inlineStr">
        <is>
          <t>OEKO-TEX MADE IN GREEN Certified</t>
        </is>
      </c>
    </row>
    <row r="411">
      <c r="F411" t="inlineStr">
        <is>
          <t>Hexafluoroacetone</t>
        </is>
      </c>
      <c r="J411" t="inlineStr">
        <is>
          <t>Cradle to Cradle Material Health Certificate</t>
        </is>
      </c>
    </row>
    <row r="412">
      <c r="F412" t="inlineStr">
        <is>
          <t>Hexamethylphosphoramide</t>
        </is>
      </c>
      <c r="J412" t="inlineStr">
        <is>
          <t>eco-INSTITUT-Label</t>
        </is>
      </c>
    </row>
    <row r="413">
      <c r="F413" t="inlineStr">
        <is>
          <t>Histrelin acetate</t>
        </is>
      </c>
      <c r="J413" t="inlineStr">
        <is>
          <t>CARB Certified (Ozone Emissions for Air Cleaners)</t>
        </is>
      </c>
    </row>
    <row r="414">
      <c r="F414" t="inlineStr">
        <is>
          <t>Hydramethylnon</t>
        </is>
      </c>
      <c r="J414" t="inlineStr">
        <is>
          <t>EN 1103:2006</t>
        </is>
      </c>
    </row>
    <row r="415">
      <c r="F415" t="inlineStr">
        <is>
          <t>Hydrazine</t>
        </is>
      </c>
      <c r="J415" t="inlineStr">
        <is>
          <t>Code of Practice for Fire Safety of Furnishings and Fittings in Places of Assembly</t>
        </is>
      </c>
    </row>
    <row r="416">
      <c r="F416" t="inlineStr">
        <is>
          <t>Hydrazine sulfate</t>
        </is>
      </c>
      <c r="J416" t="inlineStr">
        <is>
          <t>EN 13773</t>
        </is>
      </c>
    </row>
    <row r="417">
      <c r="F417" t="inlineStr">
        <is>
          <t>Hydrazobenzene (1,2-Diphenylhydrazine)</t>
        </is>
      </c>
      <c r="J417" t="inlineStr">
        <is>
          <t>I.S. 419:2011</t>
        </is>
      </c>
    </row>
    <row r="418">
      <c r="F418" t="inlineStr">
        <is>
          <t>1-Hydroxyanthraquinone</t>
        </is>
      </c>
      <c r="J418" t="inlineStr">
        <is>
          <t>ÖNORM A3800-1</t>
        </is>
      </c>
    </row>
    <row r="419">
      <c r="F419" t="inlineStr">
        <is>
          <t>Hydroxyurea</t>
        </is>
      </c>
      <c r="J419" t="inlineStr">
        <is>
          <t>ÖNORM B 3825</t>
        </is>
      </c>
    </row>
    <row r="420">
      <c r="F420" t="inlineStr">
        <is>
          <t>Idarubicin hydrochloride</t>
        </is>
      </c>
      <c r="J420" t="inlineStr">
        <is>
          <t>EN 14619:2019</t>
        </is>
      </c>
    </row>
    <row r="421">
      <c r="F421" t="inlineStr">
        <is>
          <t>Ifosfamide</t>
        </is>
      </c>
      <c r="J421" t="inlineStr">
        <is>
          <t>Product Attestation</t>
        </is>
      </c>
    </row>
    <row r="422">
      <c r="F422" t="inlineStr">
        <is>
          <t>Iodine-131</t>
        </is>
      </c>
      <c r="J422" t="inlineStr">
        <is>
          <t>California Carpet Stewardship Program Compliant</t>
        </is>
      </c>
    </row>
    <row r="423">
      <c r="F423" t="inlineStr">
        <is>
          <t>Imazalil</t>
        </is>
      </c>
      <c r="J423" t="inlineStr">
        <is>
          <t>Is Responsible Person Information Available</t>
        </is>
      </c>
    </row>
    <row r="424">
      <c r="F424" t="inlineStr">
        <is>
          <t>Indeno[1,2,3-cd]pyrene</t>
        </is>
      </c>
      <c r="J424" t="inlineStr">
        <is>
          <t>FIRA/FRQG C001: 2021 Furniture - Children’s Domestic Furniture – General Safety Requirements</t>
        </is>
      </c>
    </row>
    <row r="425">
      <c r="F425" t="inlineStr">
        <is>
          <t>Indium phosphide</t>
        </is>
      </c>
      <c r="J425" t="inlineStr">
        <is>
          <t>BS EN 17191:2021</t>
        </is>
      </c>
    </row>
    <row r="426">
      <c r="F426" t="inlineStr">
        <is>
          <t>IQ (2-Amino-3-methylimidazo[4,5-f] quinoline)</t>
        </is>
      </c>
      <c r="J426" t="inlineStr">
        <is>
          <t>FIRA/FRQG C003: 2021 Furniture - Children’s Domestic Furniture – Tables &amp; Desks – Requirements for Strength/ Stability and Durability</t>
        </is>
      </c>
    </row>
    <row r="427">
      <c r="F427" t="inlineStr">
        <is>
          <t>Iprodione</t>
        </is>
      </c>
      <c r="J427" t="inlineStr">
        <is>
          <t>National Minority Supplier Development Council Certification</t>
        </is>
      </c>
    </row>
    <row r="428">
      <c r="F428" t="inlineStr">
        <is>
          <t>Iron dextran complex</t>
        </is>
      </c>
      <c r="J428" t="inlineStr">
        <is>
          <t>Small Business Administration Certification</t>
        </is>
      </c>
    </row>
    <row r="429">
      <c r="F429" t="inlineStr">
        <is>
          <t>Isobutyl nitrite</t>
        </is>
      </c>
      <c r="J429" t="inlineStr">
        <is>
          <t>SupplierGATEWAY Enhanced Digital Certification</t>
        </is>
      </c>
    </row>
    <row r="430">
      <c r="F430" t="inlineStr">
        <is>
          <t>Isoprene</t>
        </is>
      </c>
      <c r="J430" t="inlineStr">
        <is>
          <t>System for Award Management Certification</t>
        </is>
      </c>
    </row>
    <row r="431">
      <c r="F431" t="inlineStr">
        <is>
          <t>Isopyrazam</t>
        </is>
      </c>
      <c r="J431" t="inlineStr">
        <is>
          <t>Women’s Business Enterprise National Council Certification</t>
        </is>
      </c>
    </row>
    <row r="432">
      <c r="F432" t="inlineStr">
        <is>
          <t>Isotretinoin</t>
        </is>
      </c>
      <c r="J432" t="inlineStr">
        <is>
          <t>Other Minority Business Enterprise Certification</t>
        </is>
      </c>
    </row>
    <row r="433">
      <c r="F433" t="inlineStr">
        <is>
          <t>Isoxaflutole</t>
        </is>
      </c>
      <c r="J433" t="inlineStr">
        <is>
          <t>&gt; 50% Black/ Women or LatinX Certification</t>
        </is>
      </c>
    </row>
    <row r="434">
      <c r="F434" t="inlineStr">
        <is>
          <t>Kresoxim-methyl</t>
        </is>
      </c>
      <c r="J434" t="inlineStr">
        <is>
          <t>EU Food Contact Regulation - Plastics</t>
        </is>
      </c>
    </row>
    <row r="435">
      <c r="F435" t="inlineStr">
        <is>
          <t>Lactofen</t>
        </is>
      </c>
      <c r="J435" t="inlineStr">
        <is>
          <t>Fairtrade International Certified - Sports Ball</t>
        </is>
      </c>
    </row>
    <row r="436">
      <c r="F436" t="inlineStr">
        <is>
          <t>Lasiocarpine</t>
        </is>
      </c>
      <c r="J436" t="inlineStr">
        <is>
          <t>FLOCERT Expiration Date</t>
        </is>
      </c>
    </row>
    <row r="437">
      <c r="F437" t="inlineStr">
        <is>
          <t>Lead</t>
        </is>
      </c>
      <c r="J437" t="inlineStr">
        <is>
          <t>CANFER Compliant</t>
        </is>
      </c>
    </row>
    <row r="438">
      <c r="F438" t="inlineStr">
        <is>
          <t>Lead and lead compounds</t>
        </is>
      </c>
      <c r="J438" t="inlineStr">
        <is>
          <t>ASTM F2710-19 Compliant</t>
        </is>
      </c>
    </row>
    <row r="439">
      <c r="F439" t="inlineStr">
        <is>
          <t>Lead acetate</t>
        </is>
      </c>
      <c r="J439" t="inlineStr">
        <is>
          <t>CPSC 16 CFR 1207</t>
        </is>
      </c>
    </row>
    <row r="440">
      <c r="F440" t="inlineStr">
        <is>
          <t>Lead phosphate</t>
        </is>
      </c>
      <c r="J440" t="inlineStr">
        <is>
          <t>ASTM F1004-22 Compliant</t>
        </is>
      </c>
    </row>
    <row r="441">
      <c r="F441" t="inlineStr">
        <is>
          <t>Lead subacetate</t>
        </is>
      </c>
      <c r="J441" t="inlineStr">
        <is>
          <t>BS EN 14960 Compliant (Inflatables)</t>
        </is>
      </c>
    </row>
    <row r="442">
      <c r="F442" t="inlineStr">
        <is>
          <t>Leather dust</t>
        </is>
      </c>
      <c r="J442" t="inlineStr">
        <is>
          <t>EN 14468-1:2015 Compliant (Table Tennis Tables)</t>
        </is>
      </c>
    </row>
    <row r="443">
      <c r="F443" t="inlineStr">
        <is>
          <t>Leuprolide acetate</t>
        </is>
      </c>
      <c r="J443" t="inlineStr">
        <is>
          <t>BS 7972:2001+A1:2009 Compliant (Children's bedguards)</t>
        </is>
      </c>
    </row>
    <row r="444">
      <c r="F444" t="inlineStr">
        <is>
          <t>Levodopa</t>
        </is>
      </c>
      <c r="J444" t="inlineStr">
        <is>
          <t>Energy Efficiency Regulations Compliant</t>
        </is>
      </c>
    </row>
    <row r="445">
      <c r="F445" t="inlineStr">
        <is>
          <t>Lindane and other hexachlorocyclohexane isomers</t>
        </is>
      </c>
      <c r="J445" t="inlineStr">
        <is>
          <t>EU/UK Timber Compliant</t>
        </is>
      </c>
    </row>
    <row r="446">
      <c r="F446" t="inlineStr">
        <is>
          <t>Linuron</t>
        </is>
      </c>
      <c r="J446" t="inlineStr">
        <is>
          <t>SOR/2023-101 - Carriages and Strollers</t>
        </is>
      </c>
    </row>
    <row r="447">
      <c r="F447" t="inlineStr">
        <is>
          <t>Lithium carbonate</t>
        </is>
      </c>
      <c r="J447" t="inlineStr">
        <is>
          <t>ASTM F2388-21</t>
        </is>
      </c>
    </row>
    <row r="448">
      <c r="F448" t="inlineStr">
        <is>
          <t>Lithium citrate</t>
        </is>
      </c>
      <c r="J448" t="inlineStr">
        <is>
          <t>EN 16779-1: 2018</t>
        </is>
      </c>
    </row>
    <row r="449">
      <c r="F449" t="inlineStr">
        <is>
          <t>Lorazepam</t>
        </is>
      </c>
      <c r="J449" t="inlineStr">
        <is>
          <t>ASTM F406-22</t>
        </is>
      </c>
    </row>
    <row r="450">
      <c r="F450" t="inlineStr">
        <is>
          <t>Lovastatin</t>
        </is>
      </c>
      <c r="J450" t="inlineStr">
        <is>
          <t>ANSI Z21.11.2-2019</t>
        </is>
      </c>
    </row>
    <row r="451">
      <c r="F451" t="inlineStr">
        <is>
          <t>Lynestrenol</t>
        </is>
      </c>
      <c r="J451" t="inlineStr">
        <is>
          <t>ASTM B117-19</t>
        </is>
      </c>
    </row>
    <row r="452">
      <c r="F452" t="inlineStr">
        <is>
          <t>Malathion</t>
        </is>
      </c>
      <c r="J452" t="inlineStr">
        <is>
          <t>CPSC - 40 CFR 60</t>
        </is>
      </c>
    </row>
    <row r="453">
      <c r="F453" t="inlineStr">
        <is>
          <t>Malonaldehyde, sodium salt</t>
        </is>
      </c>
      <c r="J453" t="inlineStr">
        <is>
          <t>CSA / ANSI Z21.58:22</t>
        </is>
      </c>
    </row>
    <row r="454">
      <c r="F454" t="inlineStr">
        <is>
          <t>Mancozeb</t>
        </is>
      </c>
      <c r="J454" t="inlineStr">
        <is>
          <t>CSA / ANSI Z83.26:20</t>
        </is>
      </c>
    </row>
    <row r="455">
      <c r="F455" t="inlineStr">
        <is>
          <t>Maneb</t>
        </is>
      </c>
      <c r="J455" t="inlineStr">
        <is>
          <t>EC No. 1907/2006 Annex XVII</t>
        </is>
      </c>
    </row>
    <row r="456">
      <c r="F456" t="inlineStr">
        <is>
          <t>Marijuana smoke</t>
        </is>
      </c>
      <c r="J456" t="inlineStr">
        <is>
          <t>EC No. 1935/2004</t>
        </is>
      </c>
    </row>
    <row r="457">
      <c r="F457" t="inlineStr">
        <is>
          <t>Me-A-alpha-C (2-Amino-3-methyl-9H-pyrido[2,3-b]indole)</t>
        </is>
      </c>
      <c r="J457" t="inlineStr">
        <is>
          <t>FDA Generally Recognized as Safe (GRAS)</t>
        </is>
      </c>
    </row>
    <row r="458">
      <c r="F458" t="inlineStr">
        <is>
          <t>Mebendazole</t>
        </is>
      </c>
      <c r="J458" t="inlineStr">
        <is>
          <t>UL 1278 4th Ed</t>
        </is>
      </c>
    </row>
    <row r="459">
      <c r="F459" t="inlineStr">
        <is>
          <t>Medroxyprogesterone acetate</t>
        </is>
      </c>
      <c r="J459" t="inlineStr">
        <is>
          <t>UL 2021 4th Ed</t>
        </is>
      </c>
    </row>
    <row r="460">
      <c r="F460" t="inlineStr">
        <is>
          <t>Megestrol acetate</t>
        </is>
      </c>
      <c r="J460" t="inlineStr">
        <is>
          <t>EN 12520</t>
        </is>
      </c>
    </row>
    <row r="461">
      <c r="F461" t="inlineStr">
        <is>
          <t>MeIQ (2-Amino-3,4-dimethylimidazo[4,5-f]quinoline)</t>
        </is>
      </c>
      <c r="J461" t="inlineStr">
        <is>
          <t>BS EN 16781</t>
        </is>
      </c>
    </row>
    <row r="462">
      <c r="F462" t="inlineStr">
        <is>
          <t>MeIQx (2-Amino-3,8-dimethylimidazo[4,5-f]quinoxaline)</t>
        </is>
      </c>
      <c r="J462" t="inlineStr">
        <is>
          <t>ASTM F2057-23 (STURDY)</t>
        </is>
      </c>
    </row>
    <row r="463">
      <c r="F463" t="inlineStr">
        <is>
          <t>Melphalan</t>
        </is>
      </c>
      <c r="J463" t="inlineStr">
        <is>
          <t>EN 16780: 2018</t>
        </is>
      </c>
    </row>
    <row r="464">
      <c r="F464" t="inlineStr">
        <is>
          <t>Menotropins</t>
        </is>
      </c>
      <c r="J464" t="inlineStr">
        <is>
          <t>ASTM F2613-21</t>
        </is>
      </c>
    </row>
    <row r="465">
      <c r="F465" t="inlineStr">
        <is>
          <t>Mepanipyrim</t>
        </is>
      </c>
      <c r="J465" t="inlineStr">
        <is>
          <t>ASTM F1427-21e1</t>
        </is>
      </c>
    </row>
    <row r="466">
      <c r="F466" t="inlineStr">
        <is>
          <t>Meprobamate</t>
        </is>
      </c>
      <c r="J466" t="inlineStr">
        <is>
          <t>Unified Water Label</t>
        </is>
      </c>
    </row>
    <row r="467">
      <c r="F467" t="inlineStr">
        <is>
          <t>2-Mercaptobenzothiazole</t>
        </is>
      </c>
      <c r="J467" t="inlineStr">
        <is>
          <t>CPSC - 16 CFR 1241</t>
        </is>
      </c>
    </row>
    <row r="468">
      <c r="F468" t="inlineStr">
        <is>
          <t>Mercaptopurine</t>
        </is>
      </c>
      <c r="J468" t="inlineStr">
        <is>
          <t>CPSC - 16 CFR 1263 Compliant (Reese's Law)</t>
        </is>
      </c>
    </row>
    <row r="469">
      <c r="F469" t="inlineStr">
        <is>
          <t>Mercury and mercury compounds</t>
        </is>
      </c>
      <c r="J469" t="inlineStr">
        <is>
          <t>Commercial Warranty</t>
        </is>
      </c>
    </row>
    <row r="470">
      <c r="F470" t="inlineStr">
        <is>
          <t>Merphalan</t>
        </is>
      </c>
      <c r="J470" t="inlineStr">
        <is>
          <t>EU 2024/590</t>
        </is>
      </c>
    </row>
    <row r="471">
      <c r="F471" t="inlineStr">
        <is>
          <t>Mestranol</t>
        </is>
      </c>
      <c r="J471" t="inlineStr">
        <is>
          <t>BS EN 597-1</t>
        </is>
      </c>
    </row>
    <row r="472">
      <c r="F472" t="inlineStr">
        <is>
          <t>Metam potassium</t>
        </is>
      </c>
      <c r="J472" t="inlineStr">
        <is>
          <t>ASTM F1912-21 Compliant</t>
        </is>
      </c>
    </row>
    <row r="473">
      <c r="F473" t="inlineStr">
        <is>
          <t>Methacycline hydrochloride</t>
        </is>
      </c>
      <c r="J473" t="inlineStr">
        <is>
          <t>ASTM F963-23 Compliant</t>
        </is>
      </c>
    </row>
    <row r="474">
      <c r="F474" t="inlineStr">
        <is>
          <t>Metham sodium</t>
        </is>
      </c>
      <c r="J474" t="inlineStr">
        <is>
          <t>FIRA/FRQG C004:2016 + A1 2017</t>
        </is>
      </c>
    </row>
    <row r="475">
      <c r="F475" t="inlineStr">
        <is>
          <t>Methanol</t>
        </is>
      </c>
      <c r="J475" t="inlineStr">
        <is>
          <t>EUDR</t>
        </is>
      </c>
    </row>
    <row r="476">
      <c r="F476" t="inlineStr">
        <is>
          <t>Methazole</t>
        </is>
      </c>
      <c r="J476" t="inlineStr">
        <is>
          <t>CA PFAS</t>
        </is>
      </c>
    </row>
    <row r="477">
      <c r="F477" t="inlineStr">
        <is>
          <t>Methimazole</t>
        </is>
      </c>
      <c r="J477" t="inlineStr">
        <is>
          <t>CPSC - 16 CFR 1242</t>
        </is>
      </c>
    </row>
    <row r="478">
      <c r="F478" t="inlineStr">
        <is>
          <t>Methotrexate</t>
        </is>
      </c>
      <c r="J478" t="inlineStr">
        <is>
          <t>EU General Product Safety Regulation</t>
        </is>
      </c>
    </row>
    <row r="479">
      <c r="F479" t="inlineStr">
        <is>
          <t>Methotrexate sodium</t>
        </is>
      </c>
      <c r="J479" t="inlineStr">
        <is>
          <t>EPA Compliant - Step 2 Certified</t>
        </is>
      </c>
    </row>
    <row r="480">
      <c r="F480" t="inlineStr">
        <is>
          <t>5-Methoxypsoralen with ultraviolet A therapy</t>
        </is>
      </c>
      <c r="J480" t="inlineStr">
        <is>
          <t>ANSI/WCMA A100.1-2018 Standard</t>
        </is>
      </c>
    </row>
    <row r="481">
      <c r="F481" t="inlineStr">
        <is>
          <t>8-Methoxypsoralen with ultraviolet A therapy</t>
        </is>
      </c>
      <c r="J481" t="inlineStr">
        <is>
          <t>SOR/2019-97 - Corded Window Coverings Regulations</t>
        </is>
      </c>
    </row>
    <row r="482">
      <c r="F482" t="inlineStr">
        <is>
          <t>2-Methylaziridine (Propyleneimine)</t>
        </is>
      </c>
      <c r="J482" t="inlineStr">
        <is>
          <t>ANSI/BIFMA X6.4 Occasional-Use Seating Standard</t>
        </is>
      </c>
    </row>
    <row r="483">
      <c r="F483" t="inlineStr">
        <is>
          <t>Methylazoxymethanol</t>
        </is>
      </c>
      <c r="J483" t="inlineStr">
        <is>
          <t>ASTM F1148-22</t>
        </is>
      </c>
    </row>
    <row r="484">
      <c r="F484" t="inlineStr">
        <is>
          <t>Methylazoxymethanol acetate</t>
        </is>
      </c>
      <c r="J484" t="inlineStr">
        <is>
          <t>SOR/2016 - 217</t>
        </is>
      </c>
    </row>
    <row r="485">
      <c r="F485" t="inlineStr">
        <is>
          <t>Methyl bromide, as a structural fumigant</t>
        </is>
      </c>
      <c r="J485" t="inlineStr">
        <is>
          <t>16 CFR 1235</t>
        </is>
      </c>
    </row>
    <row r="486">
      <c r="F486" t="inlineStr">
        <is>
          <t>Methyl carbamate</t>
        </is>
      </c>
      <c r="J486" t="inlineStr">
        <is>
          <t>ASTM F2088-24</t>
        </is>
      </c>
    </row>
    <row r="487">
      <c r="F487" t="inlineStr">
        <is>
          <t>Methyl chloride</t>
        </is>
      </c>
      <c r="J487" t="inlineStr">
        <is>
          <t>16 CFR 1243</t>
        </is>
      </c>
    </row>
    <row r="488">
      <c r="F488" t="inlineStr">
        <is>
          <t>3-Methylcholanthrene</t>
        </is>
      </c>
      <c r="J488" t="inlineStr">
        <is>
          <t>IS 419 / EN 1021</t>
        </is>
      </c>
    </row>
    <row r="489">
      <c r="F489" t="inlineStr">
        <is>
          <t>5-Methylchrysene</t>
        </is>
      </c>
      <c r="J489" t="inlineStr">
        <is>
          <t>IS 419 / EN 597/ EN 16890</t>
        </is>
      </c>
    </row>
    <row r="490">
      <c r="F490" t="inlineStr">
        <is>
          <t>4,4'-Methylene bis(2-chloroaniline)</t>
        </is>
      </c>
      <c r="J490" t="inlineStr">
        <is>
          <t>IS 419 / EN 597</t>
        </is>
      </c>
    </row>
    <row r="491">
      <c r="F491" t="inlineStr">
        <is>
          <t>4,4'-Methylene bis(N,N-dimethyl)benzenamine</t>
        </is>
      </c>
      <c r="J491" t="inlineStr">
        <is>
          <t>ASTM-1917-23</t>
        </is>
      </c>
    </row>
    <row r="492">
      <c r="F492" t="inlineStr">
        <is>
          <t>4,4'-Methylene bis(2-methylaniline)</t>
        </is>
      </c>
      <c r="J492" t="inlineStr">
        <is>
          <t>Low Voltage Directive</t>
        </is>
      </c>
    </row>
    <row r="493">
      <c r="F493" t="inlineStr">
        <is>
          <t>4,4'-Methylenedianiline</t>
        </is>
      </c>
      <c r="J493" t="inlineStr">
        <is>
          <t>Children's Furniture Safety and Stability</t>
        </is>
      </c>
    </row>
    <row r="494">
      <c r="F494" t="inlineStr">
        <is>
          <t>4,4'-Methylenedianiline dihydrochloride</t>
        </is>
      </c>
      <c r="J494" t="inlineStr">
        <is>
          <t>CPSC - 16 CFR 1224</t>
        </is>
      </c>
    </row>
    <row r="495">
      <c r="F495" t="inlineStr">
        <is>
          <t>Methyleugenol</t>
        </is>
      </c>
      <c r="J495" t="inlineStr">
        <is>
          <t>ASTM F2276-23 (General Mechanical Requirements)</t>
        </is>
      </c>
    </row>
    <row r="496">
      <c r="F496" t="inlineStr">
        <is>
          <t>Methylhydrazine and its salts</t>
        </is>
      </c>
      <c r="J496" t="inlineStr">
        <is>
          <t>ASTM F2276-23 or ASTM F2810-15</t>
        </is>
      </c>
    </row>
    <row r="497">
      <c r="F497" t="inlineStr">
        <is>
          <t>2-Methylimidazole</t>
        </is>
      </c>
      <c r="J497" t="inlineStr">
        <is>
          <t>ASTM F2276-23 or ASTM F1250-20</t>
        </is>
      </c>
    </row>
    <row r="498">
      <c r="F498" t="inlineStr">
        <is>
          <t>4-Methylimidazole</t>
        </is>
      </c>
      <c r="J498" t="inlineStr">
        <is>
          <t>ASTM F2276-23 or ASTM F2216-17a</t>
        </is>
      </c>
    </row>
    <row r="499">
      <c r="F499" t="inlineStr">
        <is>
          <t>Methyl iodide</t>
        </is>
      </c>
      <c r="J499" t="inlineStr">
        <is>
          <t>ASTM F2276-23 or ASTM F3105-20</t>
        </is>
      </c>
    </row>
    <row r="500">
      <c r="F500" t="inlineStr">
        <is>
          <t>Methyl isobutyl ketone</t>
        </is>
      </c>
      <c r="J500" t="inlineStr">
        <is>
          <t>ASTM F2276-23 or ASTM F2115-25</t>
        </is>
      </c>
    </row>
    <row r="501">
      <c r="F501" t="inlineStr">
        <is>
          <t>Methyl isobutyl ketone (MIBK)</t>
        </is>
      </c>
      <c r="J501" t="inlineStr">
        <is>
          <t>UL 1647 (Electrical Safety)</t>
        </is>
      </c>
    </row>
    <row r="502">
      <c r="F502" t="inlineStr">
        <is>
          <t>Methyl isocyanate (MIC)</t>
        </is>
      </c>
      <c r="J502" t="inlineStr">
        <is>
          <t>In-House Contract-Quality Testing Document</t>
        </is>
      </c>
    </row>
    <row r="503">
      <c r="F503" t="inlineStr">
        <is>
          <t>Methyl mercury</t>
        </is>
      </c>
      <c r="J503" t="inlineStr">
        <is>
          <t>Contract Grade Signed Verification Letter</t>
        </is>
      </c>
    </row>
    <row r="504">
      <c r="F504" t="inlineStr">
        <is>
          <t>Methylmercury compounds</t>
        </is>
      </c>
      <c r="J504" t="inlineStr">
        <is>
          <t>SOR/2018-186</t>
        </is>
      </c>
    </row>
    <row r="505">
      <c r="F505" t="inlineStr">
        <is>
          <t>Methyl methanesulfonate</t>
        </is>
      </c>
      <c r="J505" t="inlineStr">
        <is>
          <t>SOR/2024-217</t>
        </is>
      </c>
    </row>
    <row r="506">
      <c r="F506" t="inlineStr">
        <is>
          <t>Methyl-n-butyl ketone</t>
        </is>
      </c>
      <c r="J506" t="inlineStr">
        <is>
          <t>Certified Egyptian Cotton</t>
        </is>
      </c>
    </row>
    <row r="507">
      <c r="F507" t="inlineStr">
        <is>
          <t>2-Methyl-1-nitroanthraquinone (of uncertain purity)</t>
        </is>
      </c>
    </row>
    <row r="508">
      <c r="F508" t="inlineStr">
        <is>
          <t>N-Methyl-N'-nitro-N-nitrosoguanidine</t>
        </is>
      </c>
    </row>
    <row r="509">
      <c r="F509" t="inlineStr">
        <is>
          <t>N-Methylolacrylamide</t>
        </is>
      </c>
    </row>
    <row r="510">
      <c r="F510" t="inlineStr">
        <is>
          <t>N-Methylpyrrolidone</t>
        </is>
      </c>
    </row>
    <row r="511">
      <c r="F511" t="inlineStr">
        <is>
          <t>α-Methyl styrene (alpha-Methylstyrene)</t>
        </is>
      </c>
    </row>
    <row r="512">
      <c r="F512" t="inlineStr">
        <is>
          <t>Methyltestosterone</t>
        </is>
      </c>
    </row>
    <row r="513">
      <c r="F513" t="inlineStr">
        <is>
          <t>Methylthiouracil</t>
        </is>
      </c>
    </row>
    <row r="514">
      <c r="F514" t="inlineStr">
        <is>
          <t>Metiram</t>
        </is>
      </c>
    </row>
    <row r="515">
      <c r="F515" t="inlineStr">
        <is>
          <t>Metronidazole</t>
        </is>
      </c>
    </row>
    <row r="516">
      <c r="F516" t="inlineStr">
        <is>
          <t>Michler's ketone</t>
        </is>
      </c>
    </row>
    <row r="517">
      <c r="F517" t="inlineStr">
        <is>
          <t>Midazolam hydrochloride</t>
        </is>
      </c>
    </row>
    <row r="518">
      <c r="F518" t="inlineStr">
        <is>
          <t>Minocycline hydrochloride (internal use)</t>
        </is>
      </c>
    </row>
    <row r="519">
      <c r="F519" t="inlineStr">
        <is>
          <t>Mirex</t>
        </is>
      </c>
    </row>
    <row r="520">
      <c r="F520" t="inlineStr">
        <is>
          <t>Misoprostol</t>
        </is>
      </c>
    </row>
    <row r="521">
      <c r="F521" t="inlineStr">
        <is>
          <t>Mitomycin C</t>
        </is>
      </c>
    </row>
    <row r="522">
      <c r="F522" t="inlineStr">
        <is>
          <t>Mitoxantrone hydrochloride</t>
        </is>
      </c>
    </row>
    <row r="523">
      <c r="F523" t="inlineStr">
        <is>
          <t>Molinate</t>
        </is>
      </c>
    </row>
    <row r="524">
      <c r="F524" t="inlineStr">
        <is>
          <t>MON 4660 (dichloroacetyl-1-oxa-4-azaspiro(4,5)-decane</t>
        </is>
      </c>
    </row>
    <row r="525">
      <c r="F525" t="inlineStr">
        <is>
          <t>MON 13900 (furilazole)</t>
        </is>
      </c>
    </row>
    <row r="526">
      <c r="F526" t="inlineStr">
        <is>
          <t>3-Monochloropropane-1,2-diol (3-MCPD)</t>
        </is>
      </c>
    </row>
    <row r="527">
      <c r="F527" t="inlineStr">
        <is>
          <t>Monocrotaline</t>
        </is>
      </c>
    </row>
    <row r="528">
      <c r="F528" t="inlineStr">
        <is>
          <t>MOPP (vincristine-prednisone-nitrogen mustard-procarbazine mixture)</t>
        </is>
      </c>
    </row>
    <row r="529">
      <c r="F529" t="inlineStr">
        <is>
          <t>5-(Morpholinomethyl)-3-[(5-nitrofurfuryl-idene)-amino]-2-oxazolidinone</t>
        </is>
      </c>
    </row>
    <row r="530">
      <c r="F530" t="inlineStr">
        <is>
          <t>Mustard Gas</t>
        </is>
      </c>
    </row>
    <row r="531">
      <c r="F531" t="inlineStr">
        <is>
          <t>MX (3-chloro-4-dichloromethyl-5-hydroxy-2(5H)-furanone)</t>
        </is>
      </c>
    </row>
    <row r="532">
      <c r="F532" t="inlineStr">
        <is>
          <t>Myclobutanil</t>
        </is>
      </c>
    </row>
    <row r="533">
      <c r="F533" t="inlineStr">
        <is>
          <t>beta-Myrcene</t>
        </is>
      </c>
    </row>
    <row r="534">
      <c r="F534" t="inlineStr">
        <is>
          <t>Nabam</t>
        </is>
      </c>
    </row>
    <row r="535">
      <c r="F535" t="inlineStr">
        <is>
          <t>Nafarelin acetate</t>
        </is>
      </c>
    </row>
    <row r="536">
      <c r="F536" t="inlineStr">
        <is>
          <t>Nafenopin</t>
        </is>
      </c>
    </row>
    <row r="537">
      <c r="F537" t="inlineStr">
        <is>
          <t>Nalidixic acid</t>
        </is>
      </c>
    </row>
    <row r="538">
      <c r="F538" t="inlineStr">
        <is>
          <t>Naphthalene</t>
        </is>
      </c>
    </row>
    <row r="539">
      <c r="F539" t="inlineStr">
        <is>
          <t>1-Naphthylamine</t>
        </is>
      </c>
    </row>
    <row r="540">
      <c r="F540" t="inlineStr">
        <is>
          <t>2-Naphthylamine</t>
        </is>
      </c>
    </row>
    <row r="541">
      <c r="F541" t="inlineStr">
        <is>
          <t>Neomycin sulfate (internal use)</t>
        </is>
      </c>
    </row>
    <row r="542">
      <c r="F542" t="inlineStr">
        <is>
          <t>Netilmicin sulfate</t>
        </is>
      </c>
    </row>
    <row r="543">
      <c r="F543" t="inlineStr">
        <is>
          <t>Nickel (Metallic)</t>
        </is>
      </c>
    </row>
    <row r="544">
      <c r="F544" t="inlineStr">
        <is>
          <t>Nickel acetate</t>
        </is>
      </c>
    </row>
    <row r="545">
      <c r="F545" t="inlineStr">
        <is>
          <t>Nickel carbonate</t>
        </is>
      </c>
    </row>
    <row r="546">
      <c r="F546" t="inlineStr">
        <is>
          <t>Nickel carbonyl</t>
        </is>
      </c>
    </row>
    <row r="547">
      <c r="F547" t="inlineStr">
        <is>
          <t>Nickel compounds</t>
        </is>
      </c>
    </row>
    <row r="548">
      <c r="F548" t="inlineStr">
        <is>
          <t>Nickelocene</t>
        </is>
      </c>
    </row>
    <row r="549">
      <c r="F549" t="inlineStr">
        <is>
          <t>Nickel oxide</t>
        </is>
      </c>
    </row>
    <row r="550">
      <c r="F550" t="inlineStr">
        <is>
          <t>Nickel refinery dust from the pyrometallurgical process</t>
        </is>
      </c>
    </row>
    <row r="551">
      <c r="F551" t="inlineStr">
        <is>
          <t>Nickel subsulfide</t>
        </is>
      </c>
    </row>
    <row r="552">
      <c r="F552" t="inlineStr">
        <is>
          <t>Nicotine</t>
        </is>
      </c>
    </row>
    <row r="553">
      <c r="F553" t="inlineStr">
        <is>
          <t>Nifedipine</t>
        </is>
      </c>
    </row>
    <row r="554">
      <c r="F554" t="inlineStr">
        <is>
          <t>Nimodipine</t>
        </is>
      </c>
    </row>
    <row r="555">
      <c r="F555" t="inlineStr">
        <is>
          <t>Niridazole</t>
        </is>
      </c>
    </row>
    <row r="556">
      <c r="F556" t="inlineStr">
        <is>
          <t>Nitrapyrin</t>
        </is>
      </c>
    </row>
    <row r="557">
      <c r="F557" t="inlineStr">
        <is>
          <t>Nitrilotriacetic acid</t>
        </is>
      </c>
    </row>
    <row r="558">
      <c r="F558" t="inlineStr">
        <is>
          <t>Nitrilotriacetic acid, trisodium salt monohydrate</t>
        </is>
      </c>
    </row>
    <row r="559">
      <c r="F559" t="inlineStr">
        <is>
          <t>5-Nitroacenaphthene</t>
        </is>
      </c>
    </row>
    <row r="560">
      <c r="F560" t="inlineStr">
        <is>
          <t>o-Nitroanisole</t>
        </is>
      </c>
    </row>
    <row r="561">
      <c r="F561" t="inlineStr">
        <is>
          <t>Nitrobenzene</t>
        </is>
      </c>
    </row>
    <row r="562">
      <c r="F562" t="inlineStr">
        <is>
          <t>4-Nitrobiphenyl</t>
        </is>
      </c>
    </row>
    <row r="563">
      <c r="F563" t="inlineStr">
        <is>
          <t>6-Nitrochrysene</t>
        </is>
      </c>
    </row>
    <row r="564">
      <c r="F564" t="inlineStr">
        <is>
          <t>Nitrofen (technical grade)</t>
        </is>
      </c>
    </row>
    <row r="565">
      <c r="F565" t="inlineStr">
        <is>
          <t>2-Nitrofluorene</t>
        </is>
      </c>
    </row>
    <row r="566">
      <c r="F566" t="inlineStr">
        <is>
          <t>Nitrofurazone</t>
        </is>
      </c>
    </row>
    <row r="567">
      <c r="F567" t="inlineStr">
        <is>
          <t>1-[(5-Nitrofurfurylidene)-amino]-2-imidazolidinone</t>
        </is>
      </c>
    </row>
    <row r="568">
      <c r="F568" t="inlineStr">
        <is>
          <t>N-[4-(5-Nitro-2-furyl)-2-thiazolyl]acetamide</t>
        </is>
      </c>
    </row>
    <row r="569">
      <c r="F569" t="inlineStr">
        <is>
          <t>Nitrogen mustard (Mechlorethamine)</t>
        </is>
      </c>
    </row>
    <row r="570">
      <c r="F570" t="inlineStr">
        <is>
          <t>Nitrogen mustard hydrochloride (Mechlorethamine hydrochloride)</t>
        </is>
      </c>
    </row>
    <row r="571">
      <c r="F571" t="inlineStr">
        <is>
          <t>Nitrogen mustard N-oxide</t>
        </is>
      </c>
    </row>
    <row r="572">
      <c r="F572" t="inlineStr">
        <is>
          <t>Nitrogen mustard N-oxide hydrochloride</t>
        </is>
      </c>
    </row>
    <row r="573">
      <c r="F573" t="inlineStr">
        <is>
          <t>Nitromethane</t>
        </is>
      </c>
    </row>
    <row r="574">
      <c r="F574" t="inlineStr">
        <is>
          <t>2-Nitropropane</t>
        </is>
      </c>
    </row>
    <row r="575">
      <c r="F575" t="inlineStr">
        <is>
          <t>1-Nitropyrene</t>
        </is>
      </c>
    </row>
    <row r="576">
      <c r="F576" t="inlineStr">
        <is>
          <t>4-Nitropyrene</t>
        </is>
      </c>
    </row>
    <row r="577">
      <c r="F577" t="inlineStr">
        <is>
          <t>N-Nitrosodi-n-butylamine</t>
        </is>
      </c>
    </row>
    <row r="578">
      <c r="F578" t="inlineStr">
        <is>
          <t>N-Nitrosodiethanolamine</t>
        </is>
      </c>
    </row>
    <row r="579">
      <c r="F579" t="inlineStr">
        <is>
          <t>N-Nitrosodiethylamine</t>
        </is>
      </c>
    </row>
    <row r="580">
      <c r="F580" t="inlineStr">
        <is>
          <t>N-Nitrosodimethylamine</t>
        </is>
      </c>
    </row>
    <row r="581">
      <c r="F581" t="inlineStr">
        <is>
          <t>p-Nitrosodiphenylamine</t>
        </is>
      </c>
    </row>
    <row r="582">
      <c r="F582" t="inlineStr">
        <is>
          <t>N-Nitrosodiphenylamine</t>
        </is>
      </c>
    </row>
    <row r="583">
      <c r="F583" t="inlineStr">
        <is>
          <t>N-Nitrosodi-n-propylamine</t>
        </is>
      </c>
    </row>
    <row r="584">
      <c r="F584" t="inlineStr">
        <is>
          <t>N-Nitroso-N-ethylurea</t>
        </is>
      </c>
    </row>
    <row r="585">
      <c r="F585" t="inlineStr">
        <is>
          <t>3-(N-Nitrosomethylamino) propionitrile</t>
        </is>
      </c>
    </row>
    <row r="586">
      <c r="F586" t="inlineStr">
        <is>
          <t>4-(N-Nitrosomethylamino)-1-(3-pyridyl)1-butanone</t>
        </is>
      </c>
    </row>
    <row r="587">
      <c r="F587" t="inlineStr">
        <is>
          <t>N-Nitrosomethyl-n-butylamine</t>
        </is>
      </c>
    </row>
    <row r="588">
      <c r="F588" t="inlineStr">
        <is>
          <t>N-Nitrosomethyl-n-decylamine</t>
        </is>
      </c>
    </row>
    <row r="589">
      <c r="F589" t="inlineStr">
        <is>
          <t>N-Nitrosomethyl-n-dodecylamine</t>
        </is>
      </c>
    </row>
    <row r="590">
      <c r="F590" t="inlineStr">
        <is>
          <t>N-Nitrosomethylethylamine</t>
        </is>
      </c>
    </row>
    <row r="591">
      <c r="F591" t="inlineStr">
        <is>
          <t>N-Nitrosomethyl-n-heptylamine</t>
        </is>
      </c>
    </row>
    <row r="592">
      <c r="F592" t="inlineStr">
        <is>
          <t>N-Nitrosomethyl-n-hexylamine</t>
        </is>
      </c>
    </row>
    <row r="593">
      <c r="F593" t="inlineStr">
        <is>
          <t>N-Nitrosomethyl-n-nonylamine</t>
        </is>
      </c>
    </row>
    <row r="594">
      <c r="F594" t="inlineStr">
        <is>
          <t>N-Nitrosomethyl-n-octylamine</t>
        </is>
      </c>
    </row>
    <row r="595">
      <c r="F595" t="inlineStr">
        <is>
          <t>N-Nitrosomethyl-n-pentylamine</t>
        </is>
      </c>
    </row>
    <row r="596">
      <c r="F596" t="inlineStr">
        <is>
          <t>N-Nitrosomethyl-n-propylamine</t>
        </is>
      </c>
    </row>
    <row r="597">
      <c r="F597" t="inlineStr">
        <is>
          <t>N-Nitrosomethyl-n-tetradecylamine</t>
        </is>
      </c>
    </row>
    <row r="598">
      <c r="F598" t="inlineStr">
        <is>
          <t>N-Nitrosomethyl-n-undecylamine</t>
        </is>
      </c>
    </row>
    <row r="599">
      <c r="F599" t="inlineStr">
        <is>
          <t>N-Nitroso-N-methylurea</t>
        </is>
      </c>
    </row>
    <row r="600">
      <c r="F600" t="inlineStr">
        <is>
          <t>N-Nitroso-N-methylurethane</t>
        </is>
      </c>
    </row>
    <row r="601">
      <c r="F601" t="inlineStr">
        <is>
          <t>N-Nitrosomethylvinylamine</t>
        </is>
      </c>
    </row>
    <row r="602">
      <c r="F602" t="inlineStr">
        <is>
          <t>N-Nitrosomorpholine</t>
        </is>
      </c>
    </row>
    <row r="603">
      <c r="F603" t="inlineStr">
        <is>
          <t>N-Nitrosonornicotine</t>
        </is>
      </c>
    </row>
    <row r="604">
      <c r="F604" t="inlineStr">
        <is>
          <t>N-Nitrosopiperidine</t>
        </is>
      </c>
    </row>
    <row r="605">
      <c r="F605" t="inlineStr">
        <is>
          <t>N-Nitrosopyrrolidine</t>
        </is>
      </c>
    </row>
    <row r="606">
      <c r="F606" t="inlineStr">
        <is>
          <t>N-Nitrososarcosine</t>
        </is>
      </c>
    </row>
    <row r="607">
      <c r="F607" t="inlineStr">
        <is>
          <t>o-Nitrotoluene</t>
        </is>
      </c>
    </row>
    <row r="608">
      <c r="F608" t="inlineStr">
        <is>
          <t>Nitrous oxide</t>
        </is>
      </c>
    </row>
    <row r="609">
      <c r="F609" t="inlineStr">
        <is>
          <t>Norethisterone (Norethindrone)</t>
        </is>
      </c>
    </row>
    <row r="610">
      <c r="F610" t="inlineStr">
        <is>
          <t>Norethisterone acetate (Norethindrone acetate)</t>
        </is>
      </c>
    </row>
    <row r="611">
      <c r="F611" t="inlineStr">
        <is>
          <t>Norethisterone (Norethindrone)/Ethinyl estradiol</t>
        </is>
      </c>
    </row>
    <row r="612">
      <c r="F612" t="inlineStr">
        <is>
          <t>Norethynodrel</t>
        </is>
      </c>
    </row>
    <row r="613">
      <c r="F613" t="inlineStr">
        <is>
          <t>Norgestrel</t>
        </is>
      </c>
    </row>
    <row r="614">
      <c r="F614" t="inlineStr">
        <is>
          <t>Ochratoxin A</t>
        </is>
      </c>
    </row>
    <row r="615">
      <c r="F615" t="inlineStr">
        <is>
          <t>Oil Orange SS</t>
        </is>
      </c>
    </row>
    <row r="616">
      <c r="F616" t="inlineStr">
        <is>
          <t>Oral contraceptives, combined</t>
        </is>
      </c>
    </row>
    <row r="617">
      <c r="F617" t="inlineStr">
        <is>
          <t>Oral contraceptives, sequential</t>
        </is>
      </c>
    </row>
    <row r="618">
      <c r="F618" t="inlineStr">
        <is>
          <t>Oryzalin</t>
        </is>
      </c>
    </row>
    <row r="619">
      <c r="F619" t="inlineStr">
        <is>
          <t>Oxadiazon</t>
        </is>
      </c>
    </row>
    <row r="620">
      <c r="F620" t="inlineStr">
        <is>
          <t>Oxazepam</t>
        </is>
      </c>
    </row>
    <row r="621">
      <c r="F621" t="inlineStr">
        <is>
          <t>Oxymetholone</t>
        </is>
      </c>
    </row>
    <row r="622">
      <c r="F622" t="inlineStr">
        <is>
          <t>Oxytetracycline (internal use)</t>
        </is>
      </c>
    </row>
    <row r="623">
      <c r="F623" t="inlineStr">
        <is>
          <t>Oxytetracycline hydrochloride (internal use)</t>
        </is>
      </c>
    </row>
    <row r="624">
      <c r="F624" t="inlineStr">
        <is>
          <t>Oxythioquinox (Chinomethionat)</t>
        </is>
      </c>
    </row>
    <row r="625">
      <c r="F625" t="inlineStr">
        <is>
          <t>Paclitaxel</t>
        </is>
      </c>
    </row>
    <row r="626">
      <c r="F626" t="inlineStr">
        <is>
          <t>Palygorskite fibers (&gt; 5mm in length)</t>
        </is>
      </c>
    </row>
    <row r="627">
      <c r="F627" t="inlineStr">
        <is>
          <t>Panfuran S</t>
        </is>
      </c>
    </row>
    <row r="628">
      <c r="F628" t="inlineStr">
        <is>
          <t>Paramethadione</t>
        </is>
      </c>
    </row>
    <row r="629">
      <c r="F629" t="inlineStr">
        <is>
          <t>Parathion</t>
        </is>
      </c>
    </row>
    <row r="630">
      <c r="F630" t="inlineStr">
        <is>
          <t>Penicillamine</t>
        </is>
      </c>
    </row>
    <row r="631">
      <c r="F631" t="inlineStr">
        <is>
          <t>pentabromodiphenyl ether mixture [DE-71 (technical grade)]</t>
        </is>
      </c>
    </row>
    <row r="632">
      <c r="F632" t="inlineStr">
        <is>
          <t>Pentachlorophenol</t>
        </is>
      </c>
    </row>
    <row r="633">
      <c r="F633" t="inlineStr">
        <is>
          <t>Pentachlorophenol and by-products of its synthesis (complex mixture)</t>
        </is>
      </c>
    </row>
    <row r="634">
      <c r="F634" t="inlineStr">
        <is>
          <t>Pentobarbital sodium</t>
        </is>
      </c>
    </row>
    <row r="635">
      <c r="F635" t="inlineStr">
        <is>
          <t>Pentosan polysulfate sodium</t>
        </is>
      </c>
    </row>
    <row r="636">
      <c r="F636" t="inlineStr">
        <is>
          <t>Pentostatin</t>
        </is>
      </c>
    </row>
    <row r="637">
      <c r="F637" t="inlineStr">
        <is>
          <t>Perfluorooctane sulfonate (PFOS)</t>
        </is>
      </c>
    </row>
    <row r="638">
      <c r="F638" t="inlineStr">
        <is>
          <t>Perfluorooctanoic acid (PFOA)</t>
        </is>
      </c>
    </row>
    <row r="639">
      <c r="F639" t="inlineStr">
        <is>
          <t>Pertuzumab</t>
        </is>
      </c>
    </row>
    <row r="640">
      <c r="F640" t="inlineStr">
        <is>
          <t>Phenacemide</t>
        </is>
      </c>
    </row>
    <row r="641">
      <c r="F641" t="inlineStr">
        <is>
          <t>Phenacetin</t>
        </is>
      </c>
    </row>
    <row r="642">
      <c r="F642" t="inlineStr">
        <is>
          <t>Phenazopyridine</t>
        </is>
      </c>
    </row>
    <row r="643">
      <c r="F643" t="inlineStr">
        <is>
          <t>Phenazopyridine hydrochloride</t>
        </is>
      </c>
    </row>
    <row r="644">
      <c r="F644" t="inlineStr">
        <is>
          <t>Phenesterin</t>
        </is>
      </c>
    </row>
    <row r="645">
      <c r="F645" t="inlineStr">
        <is>
          <t>Phenobarbital</t>
        </is>
      </c>
    </row>
    <row r="646">
      <c r="F646" t="inlineStr">
        <is>
          <t>Phenolphthalein</t>
        </is>
      </c>
    </row>
    <row r="647">
      <c r="F647" t="inlineStr">
        <is>
          <t>Phenoxybenzamine</t>
        </is>
      </c>
    </row>
    <row r="648">
      <c r="F648" t="inlineStr">
        <is>
          <t>Phenoxybenzamine hydrochloride</t>
        </is>
      </c>
    </row>
    <row r="649">
      <c r="F649" t="inlineStr">
        <is>
          <t>Phenprocoumon</t>
        </is>
      </c>
    </row>
    <row r="650">
      <c r="F650" t="inlineStr">
        <is>
          <t>o-Phenylenediamine and its salts</t>
        </is>
      </c>
    </row>
    <row r="651">
      <c r="F651" t="inlineStr">
        <is>
          <t>Phenylhydrazine and its salts</t>
        </is>
      </c>
    </row>
    <row r="652">
      <c r="F652" t="inlineStr">
        <is>
          <t>o-Phenylphenate, sodium</t>
        </is>
      </c>
    </row>
    <row r="653">
      <c r="F653" t="inlineStr">
        <is>
          <t>o-Phenylphenol</t>
        </is>
      </c>
    </row>
    <row r="654">
      <c r="F654" t="inlineStr">
        <is>
          <t>Phenylphosphine</t>
        </is>
      </c>
    </row>
    <row r="655">
      <c r="F655" t="inlineStr">
        <is>
          <t>PhiP(2-Amino-1-methyl-6-phenylimidazol[4,5-b]pyridine)</t>
        </is>
      </c>
    </row>
    <row r="656">
      <c r="F656" t="inlineStr">
        <is>
          <t>Pimozide</t>
        </is>
      </c>
    </row>
    <row r="657">
      <c r="F657" t="inlineStr">
        <is>
          <t>Pioglitazone</t>
        </is>
      </c>
    </row>
    <row r="658">
      <c r="F658" t="inlineStr">
        <is>
          <t>Pipobroman</t>
        </is>
      </c>
    </row>
    <row r="659">
      <c r="F659" t="inlineStr">
        <is>
          <t>Pirimicarb</t>
        </is>
      </c>
    </row>
    <row r="660">
      <c r="F660" t="inlineStr">
        <is>
          <t>Plicamycin</t>
        </is>
      </c>
    </row>
    <row r="661">
      <c r="F661" t="inlineStr">
        <is>
          <t>Polybrominated biphenyls</t>
        </is>
      </c>
    </row>
    <row r="662">
      <c r="F662" t="inlineStr">
        <is>
          <t>Polychlorinated biphenyls</t>
        </is>
      </c>
    </row>
    <row r="663">
      <c r="F663" t="inlineStr">
        <is>
          <t>Polychlorinated biphenyls (containing 60 or more percent chlorine by molecular weight)</t>
        </is>
      </c>
    </row>
    <row r="664">
      <c r="F664" t="inlineStr">
        <is>
          <t>Polychlorinated dibenzo-p-dioxins</t>
        </is>
      </c>
    </row>
    <row r="665">
      <c r="F665" t="inlineStr">
        <is>
          <t>Polychlorinated dibenzofurans</t>
        </is>
      </c>
    </row>
    <row r="666">
      <c r="F666" t="inlineStr">
        <is>
          <t>Polygeenan</t>
        </is>
      </c>
    </row>
    <row r="667">
      <c r="F667" t="inlineStr">
        <is>
          <t>Ponceau MX</t>
        </is>
      </c>
    </row>
    <row r="668">
      <c r="F668" t="inlineStr">
        <is>
          <t>Ponceau 3R</t>
        </is>
      </c>
    </row>
    <row r="669">
      <c r="F669" t="inlineStr">
        <is>
          <t>Potassium bromate</t>
        </is>
      </c>
    </row>
    <row r="670">
      <c r="F670" t="inlineStr">
        <is>
          <t>Potassium dimethyldithiocarbamate</t>
        </is>
      </c>
    </row>
    <row r="671">
      <c r="F671" t="inlineStr">
        <is>
          <t>Pravastatin sodium</t>
        </is>
      </c>
    </row>
    <row r="672">
      <c r="F672" t="inlineStr">
        <is>
          <t>Prednisolone sodium phosphate</t>
        </is>
      </c>
    </row>
    <row r="673">
      <c r="F673" t="inlineStr">
        <is>
          <t>Primidone</t>
        </is>
      </c>
    </row>
    <row r="674">
      <c r="F674" t="inlineStr">
        <is>
          <t>Procarbazine</t>
        </is>
      </c>
    </row>
    <row r="675">
      <c r="F675" t="inlineStr">
        <is>
          <t>Procarbazine hydrochloride</t>
        </is>
      </c>
    </row>
    <row r="676">
      <c r="F676" t="inlineStr">
        <is>
          <t>Procymidone</t>
        </is>
      </c>
    </row>
    <row r="677">
      <c r="F677" t="inlineStr">
        <is>
          <t>Progesterone</t>
        </is>
      </c>
    </row>
    <row r="678">
      <c r="F678" t="inlineStr">
        <is>
          <t>Pronamide</t>
        </is>
      </c>
    </row>
    <row r="679">
      <c r="F679" t="inlineStr">
        <is>
          <t>Propachlor</t>
        </is>
      </c>
    </row>
    <row r="680">
      <c r="F680" t="inlineStr">
        <is>
          <t>1,3-Propane sultone</t>
        </is>
      </c>
    </row>
    <row r="681">
      <c r="F681" t="inlineStr">
        <is>
          <t>Propargite</t>
        </is>
      </c>
    </row>
    <row r="682">
      <c r="F682" t="inlineStr">
        <is>
          <t>Propazine</t>
        </is>
      </c>
    </row>
    <row r="683">
      <c r="F683" t="inlineStr">
        <is>
          <t>beta-Propiolactone</t>
        </is>
      </c>
    </row>
    <row r="684">
      <c r="F684" t="inlineStr">
        <is>
          <t>Propoxur</t>
        </is>
      </c>
    </row>
    <row r="685">
      <c r="F685" t="inlineStr">
        <is>
          <t>Propylene glycol mono-t-butyl ether</t>
        </is>
      </c>
    </row>
    <row r="686">
      <c r="F686" t="inlineStr">
        <is>
          <t>Propylene oxide</t>
        </is>
      </c>
    </row>
    <row r="687">
      <c r="F687" t="inlineStr">
        <is>
          <t>Propylthiouracil</t>
        </is>
      </c>
    </row>
    <row r="688">
      <c r="F688" t="inlineStr">
        <is>
          <t>Pulegone</t>
        </is>
      </c>
    </row>
    <row r="689">
      <c r="F689" t="inlineStr">
        <is>
          <t>Pymetrozine</t>
        </is>
      </c>
    </row>
    <row r="690">
      <c r="F690" t="inlineStr">
        <is>
          <t>Pyridine</t>
        </is>
      </c>
    </row>
    <row r="691">
      <c r="F691" t="inlineStr">
        <is>
          <t>Pyrimethamine</t>
        </is>
      </c>
    </row>
    <row r="692">
      <c r="F692" t="inlineStr">
        <is>
          <t>Quazepam</t>
        </is>
      </c>
    </row>
    <row r="693">
      <c r="F693" t="inlineStr">
        <is>
          <t>Quinoline and its strong acid salts</t>
        </is>
      </c>
    </row>
    <row r="694">
      <c r="F694" t="inlineStr">
        <is>
          <t>Radionuclides</t>
        </is>
      </c>
    </row>
    <row r="695">
      <c r="F695" t="inlineStr">
        <is>
          <t>Reserpine</t>
        </is>
      </c>
    </row>
    <row r="696">
      <c r="F696" t="inlineStr">
        <is>
          <t>Residual (heavy) fuel oils</t>
        </is>
      </c>
    </row>
    <row r="697">
      <c r="F697" t="inlineStr">
        <is>
          <t>Resmethrin</t>
        </is>
      </c>
    </row>
    <row r="698">
      <c r="F698" t="inlineStr">
        <is>
          <t>Retinol/retinyl esters, when in daily dosages in excess of 10,000 IU, or 3,000 retinol equivalents.</t>
        </is>
      </c>
    </row>
    <row r="699">
      <c r="F699" t="inlineStr">
        <is>
          <t>Ribavirin</t>
        </is>
      </c>
    </row>
    <row r="700">
      <c r="F700" t="inlineStr">
        <is>
          <t>Riddelliine</t>
        </is>
      </c>
    </row>
    <row r="701">
      <c r="F701" t="inlineStr">
        <is>
          <t>Rifampin</t>
        </is>
      </c>
    </row>
    <row r="702">
      <c r="F702" t="inlineStr">
        <is>
          <t>Safrole</t>
        </is>
      </c>
    </row>
    <row r="703">
      <c r="F703" t="inlineStr">
        <is>
          <t>Salted fish, Chinese-style</t>
        </is>
      </c>
    </row>
    <row r="704">
      <c r="F704" t="inlineStr">
        <is>
          <t>Secobarbital sodium</t>
        </is>
      </c>
    </row>
    <row r="705">
      <c r="F705" t="inlineStr">
        <is>
          <t>Sedaxane</t>
        </is>
      </c>
    </row>
    <row r="706">
      <c r="F706" t="inlineStr">
        <is>
          <t>Selenium sulfide</t>
        </is>
      </c>
    </row>
    <row r="707">
      <c r="F707" t="inlineStr">
        <is>
          <t>Sermorelin acetate</t>
        </is>
      </c>
    </row>
    <row r="708">
      <c r="F708" t="inlineStr">
        <is>
          <t>Shale-oils</t>
        </is>
      </c>
    </row>
    <row r="709">
      <c r="F709" t="inlineStr">
        <is>
          <t>Silica, crystalline (airborne particles of respirable size)</t>
        </is>
      </c>
    </row>
    <row r="710">
      <c r="F710" t="inlineStr">
        <is>
          <t>Simazine</t>
        </is>
      </c>
    </row>
    <row r="711">
      <c r="F711" t="inlineStr">
        <is>
          <t>Sodium dimethyldithiocarbamate</t>
        </is>
      </c>
    </row>
    <row r="712">
      <c r="F712" t="inlineStr">
        <is>
          <t>Soots, tars, and mineral oils (untreated and mildly treated oils and used engine oils)</t>
        </is>
      </c>
    </row>
    <row r="713">
      <c r="F713" t="inlineStr">
        <is>
          <t>Spirodiclofen</t>
        </is>
      </c>
    </row>
    <row r="714">
      <c r="F714" t="inlineStr">
        <is>
          <t>Spironolactone</t>
        </is>
      </c>
    </row>
    <row r="715">
      <c r="F715" t="inlineStr">
        <is>
          <t>Stanozolol</t>
        </is>
      </c>
    </row>
    <row r="716">
      <c r="F716" t="inlineStr">
        <is>
          <t>Sterigmatocystin</t>
        </is>
      </c>
    </row>
    <row r="717">
      <c r="F717" t="inlineStr">
        <is>
          <t>Streptomycin sulfate</t>
        </is>
      </c>
    </row>
    <row r="718">
      <c r="F718" t="inlineStr">
        <is>
          <t>Streptozocin (streptozotocin)</t>
        </is>
      </c>
    </row>
    <row r="719">
      <c r="F719" t="inlineStr">
        <is>
          <t>Streptozotocin (streptozocin)</t>
        </is>
      </c>
    </row>
    <row r="720">
      <c r="F720" t="inlineStr">
        <is>
          <t>Strong inorganic acid mists containing sulfuric acid</t>
        </is>
      </c>
    </row>
    <row r="721">
      <c r="F721" t="inlineStr">
        <is>
          <t>Styrene</t>
        </is>
      </c>
    </row>
    <row r="722">
      <c r="F722" t="inlineStr">
        <is>
          <t>Styrene oxide</t>
        </is>
      </c>
    </row>
    <row r="723">
      <c r="F723" t="inlineStr">
        <is>
          <t>Sulfallate</t>
        </is>
      </c>
    </row>
    <row r="724">
      <c r="F724" t="inlineStr">
        <is>
          <t>Sulfasalazine (Salicylazosulfapyridine)</t>
        </is>
      </c>
    </row>
    <row r="725">
      <c r="F725" t="inlineStr">
        <is>
          <t>Sulfur dioxidee</t>
        </is>
      </c>
    </row>
    <row r="726">
      <c r="F726" t="inlineStr">
        <is>
          <t>Sulindac</t>
        </is>
      </c>
    </row>
    <row r="727">
      <c r="F727" t="inlineStr">
        <is>
          <t>Talc containing asbestiform fibers</t>
        </is>
      </c>
    </row>
    <row r="728">
      <c r="F728" t="inlineStr">
        <is>
          <t>Tamoxifen and its salts</t>
        </is>
      </c>
    </row>
    <row r="729">
      <c r="F729" t="inlineStr">
        <is>
          <t>Tamoxifen citrate</t>
        </is>
      </c>
    </row>
    <row r="730">
      <c r="F730" t="inlineStr">
        <is>
          <t>Temazepam</t>
        </is>
      </c>
    </row>
    <row r="731">
      <c r="F731" t="inlineStr">
        <is>
          <t>Teniposide</t>
        </is>
      </c>
    </row>
    <row r="732">
      <c r="F732" t="inlineStr">
        <is>
          <t>Terbacil</t>
        </is>
      </c>
    </row>
    <row r="733">
      <c r="F733" t="inlineStr">
        <is>
          <t>Teriparatide</t>
        </is>
      </c>
    </row>
    <row r="734">
      <c r="F734" t="inlineStr">
        <is>
          <t>Terrazole</t>
        </is>
      </c>
    </row>
    <row r="735">
      <c r="F735" t="inlineStr">
        <is>
          <t>Testosterone and its esters</t>
        </is>
      </c>
    </row>
    <row r="736">
      <c r="F736" t="inlineStr">
        <is>
          <t>Testosterone cypionate</t>
        </is>
      </c>
    </row>
    <row r="737">
      <c r="F737" t="inlineStr">
        <is>
          <t>Testosterone enanthate</t>
        </is>
      </c>
    </row>
    <row r="738">
      <c r="F738" t="inlineStr">
        <is>
          <t>Tetrabromobisphenol A</t>
        </is>
      </c>
    </row>
    <row r="739">
      <c r="F739" t="inlineStr">
        <is>
          <t>3,3',4,4'-Tetrachloroazobenzene</t>
        </is>
      </c>
    </row>
    <row r="740">
      <c r="F740" t="inlineStr">
        <is>
          <t>2,3,7,8-Tetrachlorodibenzo-p-dioxin (TCDD)</t>
        </is>
      </c>
    </row>
    <row r="741">
      <c r="F741" t="inlineStr">
        <is>
          <t>1,1,1,2-Tetrachloroethane</t>
        </is>
      </c>
    </row>
    <row r="742">
      <c r="F742" t="inlineStr">
        <is>
          <t>1,1,2,2-Tetrachloroethane</t>
        </is>
      </c>
    </row>
    <row r="743">
      <c r="F743" t="inlineStr">
        <is>
          <t>Tetrachloroethylene (Perchloroethylene)</t>
        </is>
      </c>
    </row>
    <row r="744">
      <c r="F744" t="inlineStr">
        <is>
          <t>p-a,a,a-Tetrachlorotoluene</t>
        </is>
      </c>
    </row>
    <row r="745">
      <c r="F745" t="inlineStr">
        <is>
          <t>Tetrachlorvinphos</t>
        </is>
      </c>
    </row>
    <row r="746">
      <c r="F746" t="inlineStr">
        <is>
          <t>Tetracycline (internal use)</t>
        </is>
      </c>
    </row>
    <row r="747">
      <c r="F747" t="inlineStr">
        <is>
          <t>Tetracyclines (internal use)</t>
        </is>
      </c>
    </row>
    <row r="748">
      <c r="F748" t="inlineStr">
        <is>
          <t>Tetracycline hydrochloride (internal use)</t>
        </is>
      </c>
    </row>
    <row r="749">
      <c r="F749" t="inlineStr">
        <is>
          <t>Tetrafluoroethylene</t>
        </is>
      </c>
    </row>
    <row r="750">
      <c r="F750" t="inlineStr">
        <is>
          <t>Tetranitromethane</t>
        </is>
      </c>
    </row>
    <row r="751">
      <c r="F751" t="inlineStr">
        <is>
          <t>Thalidomide</t>
        </is>
      </c>
    </row>
    <row r="752">
      <c r="F752" t="inlineStr">
        <is>
          <t>Thioacetamide</t>
        </is>
      </c>
    </row>
    <row r="753">
      <c r="F753" t="inlineStr">
        <is>
          <t>4,4'-Thiodianiline</t>
        </is>
      </c>
    </row>
    <row r="754">
      <c r="F754" t="inlineStr">
        <is>
          <t>Thiodicarb</t>
        </is>
      </c>
    </row>
    <row r="755">
      <c r="F755" t="inlineStr">
        <is>
          <t>Thioguanine</t>
        </is>
      </c>
    </row>
    <row r="756">
      <c r="F756" t="inlineStr">
        <is>
          <t>Thiouracil</t>
        </is>
      </c>
    </row>
    <row r="757">
      <c r="F757" t="inlineStr">
        <is>
          <t>Thiourea</t>
        </is>
      </c>
    </row>
    <row r="758">
      <c r="F758" t="inlineStr">
        <is>
          <t>Thorium dioxide</t>
        </is>
      </c>
    </row>
    <row r="759">
      <c r="F759" t="inlineStr">
        <is>
          <t>Titanium dioxide (airborne, unbound particles of respirable size)</t>
        </is>
      </c>
    </row>
    <row r="760">
      <c r="F760" t="inlineStr">
        <is>
          <t>Tobacco, oral use of smokeless products</t>
        </is>
      </c>
    </row>
    <row r="761">
      <c r="F761" t="inlineStr">
        <is>
          <t>Tobacco smoke</t>
        </is>
      </c>
    </row>
    <row r="762">
      <c r="F762" t="inlineStr">
        <is>
          <t>Tobacco smoke (primary)</t>
        </is>
      </c>
    </row>
    <row r="763">
      <c r="F763" t="inlineStr">
        <is>
          <t>Tobramycin sulfate</t>
        </is>
      </c>
    </row>
    <row r="764">
      <c r="F764" t="inlineStr">
        <is>
          <t>Toluene</t>
        </is>
      </c>
    </row>
    <row r="765">
      <c r="F765" t="inlineStr">
        <is>
          <t>Toluene diisocyanate</t>
        </is>
      </c>
    </row>
    <row r="766">
      <c r="F766" t="inlineStr">
        <is>
          <t>o-Toluidine</t>
        </is>
      </c>
    </row>
    <row r="767">
      <c r="F767" t="inlineStr">
        <is>
          <t>o-Toluidine hydrochloride</t>
        </is>
      </c>
    </row>
    <row r="768">
      <c r="F768" t="inlineStr">
        <is>
          <t>Topiramate</t>
        </is>
      </c>
    </row>
    <row r="769">
      <c r="F769" t="inlineStr">
        <is>
          <t>Toxaphene (Polychlorinated camphenes)</t>
        </is>
      </c>
    </row>
    <row r="770">
      <c r="F770" t="inlineStr">
        <is>
          <t>Toxins derived from Fusarium moniliforme (Fusarium verticillioides)</t>
        </is>
      </c>
    </row>
    <row r="771">
      <c r="F771" t="inlineStr">
        <is>
          <t>Treosulfan</t>
        </is>
      </c>
    </row>
    <row r="772">
      <c r="F772" t="inlineStr">
        <is>
          <t>Triadimefon</t>
        </is>
      </c>
    </row>
    <row r="773">
      <c r="F773" t="inlineStr">
        <is>
          <t>Triamterene</t>
        </is>
      </c>
    </row>
    <row r="774">
      <c r="F774" t="inlineStr">
        <is>
          <t>Triazolam</t>
        </is>
      </c>
    </row>
    <row r="775">
      <c r="F775" t="inlineStr">
        <is>
          <t>S,S,S-Tributyl phosphorotrithioate (Tribufos, DEF)</t>
        </is>
      </c>
    </row>
    <row r="776">
      <c r="F776" t="inlineStr">
        <is>
          <t>Tributyltin methacrylate</t>
        </is>
      </c>
    </row>
    <row r="777">
      <c r="F777" t="inlineStr">
        <is>
          <t>Trichlormethine (Trimustine hydrochloride)</t>
        </is>
      </c>
    </row>
    <row r="778">
      <c r="F778" t="inlineStr">
        <is>
          <t>Trichloroacetic acid</t>
        </is>
      </c>
    </row>
    <row r="779">
      <c r="F779" t="inlineStr">
        <is>
          <t>Trichloroethylene</t>
        </is>
      </c>
    </row>
    <row r="780">
      <c r="F780" t="inlineStr">
        <is>
          <t>2,4,6-Trichlorophenol</t>
        </is>
      </c>
    </row>
    <row r="781">
      <c r="F781" t="inlineStr">
        <is>
          <t>1,2,3-Trichloropropane</t>
        </is>
      </c>
    </row>
    <row r="782">
      <c r="F782" t="inlineStr">
        <is>
          <t>Trientine hydrochloride</t>
        </is>
      </c>
    </row>
    <row r="783">
      <c r="F783" t="inlineStr">
        <is>
          <t>Triforine</t>
        </is>
      </c>
    </row>
    <row r="784">
      <c r="F784" t="inlineStr">
        <is>
          <t>Trilostane</t>
        </is>
      </c>
    </row>
    <row r="785">
      <c r="F785" t="inlineStr">
        <is>
          <t>Trimethadione</t>
        </is>
      </c>
    </row>
    <row r="786">
      <c r="F786" t="inlineStr">
        <is>
          <t>2,4,5-Trimethylaniline and its strong acid salts</t>
        </is>
      </c>
    </row>
    <row r="787">
      <c r="F787" t="inlineStr">
        <is>
          <t>Trimethyl phosphate</t>
        </is>
      </c>
    </row>
    <row r="788">
      <c r="F788" t="inlineStr">
        <is>
          <t>Trimetrexate glucuronate</t>
        </is>
      </c>
    </row>
    <row r="789">
      <c r="F789" t="inlineStr">
        <is>
          <t>2,4,6-Trinitrotoluene (TNT)</t>
        </is>
      </c>
    </row>
    <row r="790">
      <c r="F790" t="inlineStr">
        <is>
          <t>Triphenyltin hydroxide</t>
        </is>
      </c>
    </row>
    <row r="791">
      <c r="F791" t="inlineStr">
        <is>
          <t>Tris(1-aziridinyl)phosphine sulfide (Thiotepa)</t>
        </is>
      </c>
    </row>
    <row r="792">
      <c r="F792" t="inlineStr">
        <is>
          <t>Tris(2-chloroethyl) phosphate</t>
        </is>
      </c>
    </row>
    <row r="793">
      <c r="F793" t="inlineStr">
        <is>
          <t>Tris(2,3-dibromopropyl)phosphate</t>
        </is>
      </c>
    </row>
    <row r="794">
      <c r="F794" t="inlineStr">
        <is>
          <t>Tris(1,3-dichloro-2-propyl) phosphate (TDCPP)</t>
        </is>
      </c>
    </row>
    <row r="795">
      <c r="F795" t="inlineStr">
        <is>
          <t>Trp-P-1 (Tryptophan-P-1)</t>
        </is>
      </c>
    </row>
    <row r="796">
      <c r="F796" t="inlineStr">
        <is>
          <t>Trp-P-2 (Tryptophan-P-2)</t>
        </is>
      </c>
    </row>
    <row r="797">
      <c r="F797" t="inlineStr">
        <is>
          <t>Trypan blue (commercial grade)</t>
        </is>
      </c>
    </row>
    <row r="798">
      <c r="F798" t="inlineStr">
        <is>
          <t>Unleaded gasoline (wholly vaporized)</t>
        </is>
      </c>
    </row>
    <row r="799">
      <c r="F799" t="inlineStr">
        <is>
          <t>Uracil mustard</t>
        </is>
      </c>
    </row>
    <row r="800">
      <c r="F800" t="inlineStr">
        <is>
          <t>Urethane (Ethyl carbamate)</t>
        </is>
      </c>
    </row>
    <row r="801">
      <c r="F801" t="inlineStr">
        <is>
          <t>Urofollitropin</t>
        </is>
      </c>
    </row>
    <row r="802">
      <c r="F802" t="inlineStr">
        <is>
          <t>Valproate (Valproic acid)</t>
        </is>
      </c>
    </row>
    <row r="803">
      <c r="F803" t="inlineStr">
        <is>
          <t>Vanadium pentoxide (orthorhombic crystalline form)</t>
        </is>
      </c>
    </row>
    <row r="804">
      <c r="F804" t="inlineStr">
        <is>
          <t>Vinblastine sulfate</t>
        </is>
      </c>
    </row>
    <row r="805">
      <c r="F805" t="inlineStr">
        <is>
          <t>Vinclozolin</t>
        </is>
      </c>
    </row>
    <row r="806">
      <c r="F806" t="inlineStr">
        <is>
          <t>Vincristine sulfate</t>
        </is>
      </c>
    </row>
    <row r="807">
      <c r="F807" t="inlineStr">
        <is>
          <t>Vinyl bromide</t>
        </is>
      </c>
    </row>
    <row r="808">
      <c r="F808" t="inlineStr">
        <is>
          <t>Vinyl chloride</t>
        </is>
      </c>
    </row>
    <row r="809">
      <c r="F809" t="inlineStr">
        <is>
          <t>4-Vinylcyclohexene</t>
        </is>
      </c>
    </row>
    <row r="810">
      <c r="F810" t="inlineStr">
        <is>
          <t>4-Vinyl-1-cyclohexene diepoxide (Vinyl cyclohexenedioxide)</t>
        </is>
      </c>
    </row>
    <row r="811">
      <c r="F811" t="inlineStr">
        <is>
          <t>Vinyl fluoride</t>
        </is>
      </c>
    </row>
    <row r="812">
      <c r="F812" t="inlineStr">
        <is>
          <t>Vinylidene chloride (1,1-Dichloroethylene)</t>
        </is>
      </c>
    </row>
    <row r="813">
      <c r="F813" t="inlineStr">
        <is>
          <t>Vinyl trichloride (1,1,2-Trichloroethane)</t>
        </is>
      </c>
    </row>
    <row r="814">
      <c r="F814" t="inlineStr">
        <is>
          <t>Warfarin</t>
        </is>
      </c>
    </row>
    <row r="815">
      <c r="F815" t="inlineStr">
        <is>
          <t>Wood dust</t>
        </is>
      </c>
    </row>
    <row r="816">
      <c r="F816" t="inlineStr">
        <is>
          <t>2,6-Xylidine (2,6-Dimethylaniline)</t>
        </is>
      </c>
    </row>
    <row r="817">
      <c r="F817" t="inlineStr">
        <is>
          <t>Zalcitabine</t>
        </is>
      </c>
    </row>
    <row r="818">
      <c r="F818" t="inlineStr">
        <is>
          <t>Zidovudine (AZT)</t>
        </is>
      </c>
    </row>
    <row r="819">
      <c r="F819" t="inlineStr">
        <is>
          <t>Zileuton</t>
        </is>
      </c>
    </row>
    <row r="820">
      <c r="F820" t="inlineStr">
        <is>
          <t>2-Bromopropane (2-BP)</t>
        </is>
      </c>
    </row>
    <row r="821">
      <c r="F821" t="inlineStr">
        <is>
          <t>2-Chloropropionic acid</t>
        </is>
      </c>
    </row>
    <row r="822">
      <c r="F822" t="inlineStr">
        <is>
          <t>Di-n-hexyl phthalate (DnHP)</t>
        </is>
      </c>
    </row>
    <row r="823">
      <c r="F823" t="inlineStr">
        <is>
          <t>m-Dinitrobenzene</t>
        </is>
      </c>
    </row>
    <row r="824">
      <c r="F824" t="inlineStr">
        <is>
          <t>o-Dinitrobenzene</t>
        </is>
      </c>
    </row>
    <row r="825">
      <c r="F825" t="inlineStr">
        <is>
          <t>p-Dinitrobenzene</t>
        </is>
      </c>
    </row>
    <row r="826">
      <c r="F826" t="inlineStr">
        <is>
          <t>Dinitrotoluene (technical grade)</t>
        </is>
      </c>
    </row>
    <row r="827">
      <c r="F827" t="inlineStr">
        <is>
          <t>n-Hexane</t>
        </is>
      </c>
    </row>
    <row r="828">
      <c r="F828" t="inlineStr">
        <is>
          <t>2,5-Hexanedione</t>
        </is>
      </c>
    </row>
    <row r="829">
      <c r="F829" t="inlineStr">
        <is>
          <t>Hydrogen cyanide (HCN) and cyanide salts (CN salts)</t>
        </is>
      </c>
    </row>
    <row r="830">
      <c r="F830" t="inlineStr">
        <is>
          <t>Levonorgestrel implants</t>
        </is>
      </c>
    </row>
    <row r="831">
      <c r="F831" t="inlineStr">
        <is>
          <t>Nitrofurantoin</t>
        </is>
      </c>
    </row>
    <row r="832">
      <c r="F832" t="inlineStr">
        <is>
          <t>Oxydemeton methyl</t>
        </is>
      </c>
    </row>
    <row r="833">
      <c r="F833" t="inlineStr">
        <is>
          <t>Quizalofop-ethyl</t>
        </is>
      </c>
    </row>
    <row r="834">
      <c r="F834" t="inlineStr">
        <is>
          <t>Sodium fluoroacetate</t>
        </is>
      </c>
    </row>
    <row r="835">
      <c r="F835" t="inlineStr">
        <is>
          <t>Thiophanate methyl</t>
        </is>
      </c>
    </row>
    <row r="836">
      <c r="F836" t="inlineStr">
        <is>
          <t>Vinyl cyclohexene dioxide (4-Vinyl-1-cyclohexene diepoxide)</t>
        </is>
      </c>
    </row>
    <row r="837">
      <c r="F837" t="inlineStr">
        <is>
          <t>Chloroform</t>
        </is>
      </c>
    </row>
    <row r="838">
      <c r="F838" t="inlineStr">
        <is>
          <t>1,2-Dibromo-3-chloropropane (DBCP)</t>
        </is>
      </c>
    </row>
    <row r="839">
      <c r="F839" t="inlineStr">
        <is>
          <t>Diclofop-methyl</t>
        </is>
      </c>
    </row>
    <row r="840">
      <c r="F840" t="inlineStr">
        <is>
          <t>Phenyl glycidyl ether</t>
        </is>
      </c>
    </row>
    <row r="841">
      <c r="F841" t="inlineStr">
        <is>
          <t>Di-isodecyl phthalate (DIDP)</t>
        </is>
      </c>
    </row>
    <row r="842">
      <c r="F842" t="inlineStr">
        <is>
          <t>Erionite</t>
        </is>
      </c>
    </row>
    <row r="843">
      <c r="F843" t="inlineStr">
        <is>
          <t>Iprovalicarb</t>
        </is>
      </c>
    </row>
    <row r="844">
      <c r="F844" t="inlineStr">
        <is>
          <t>Nickel hydroxide</t>
        </is>
      </c>
    </row>
    <row r="845">
      <c r="F845" t="inlineStr">
        <is>
          <t>Norethisterone (Norethindrone) /Mestranol</t>
        </is>
      </c>
    </row>
    <row r="846">
      <c r="F846" t="inlineStr">
        <is>
          <t>Anabolic steroids</t>
        </is>
      </c>
    </row>
    <row r="847">
      <c r="F847" t="inlineStr">
        <is>
          <t>Altretamine</t>
        </is>
      </c>
    </row>
    <row r="848">
      <c r="F848" t="inlineStr">
        <is>
          <t>Beryllium</t>
        </is>
      </c>
    </row>
    <row r="849">
      <c r="F849" t="inlineStr">
        <is>
          <t>Beryllium Oxide</t>
        </is>
      </c>
    </row>
    <row r="850">
      <c r="F850" t="inlineStr">
        <is>
          <t>Beryllium Sulfate</t>
        </is>
      </c>
    </row>
    <row r="851">
      <c r="F851" t="inlineStr">
        <is>
          <t>Hexachlorocyclohexane (alpha isomer)</t>
        </is>
      </c>
    </row>
    <row r="852">
      <c r="F852" t="inlineStr">
        <is>
          <t>Hexachlorocyclohexane (beta isomer)</t>
        </is>
      </c>
    </row>
    <row r="853">
      <c r="F853" t="inlineStr">
        <is>
          <t>Hexachlorocyclohexane (gamma isomer)</t>
        </is>
      </c>
    </row>
    <row r="854">
      <c r="F854" t="inlineStr">
        <is>
          <t>Cyanide salts that readily dissociate in solution (expressed as cyanide)</t>
        </is>
      </c>
    </row>
    <row r="855">
      <c r="F855" t="inlineStr">
        <is>
          <t>Hydrogen cyanide</t>
        </is>
      </c>
    </row>
    <row r="856">
      <c r="F856" t="inlineStr">
        <is>
          <t>Potassium cyanide</t>
        </is>
      </c>
    </row>
    <row r="857">
      <c r="F857" t="inlineStr">
        <is>
          <t>Methylhydrazine</t>
        </is>
      </c>
    </row>
    <row r="858">
      <c r="F858" t="inlineStr">
        <is>
          <t>Methylhydrazine sulfate</t>
        </is>
      </c>
    </row>
    <row r="859">
      <c r="F859" t="inlineStr">
        <is>
          <t>o-Phenylenediamine</t>
        </is>
      </c>
    </row>
    <row r="860">
      <c r="F860" t="inlineStr">
        <is>
          <t>o-Phenylenediamine dihydochloride</t>
        </is>
      </c>
    </row>
    <row r="861">
      <c r="F861" t="inlineStr">
        <is>
          <t>Phenylhydrazine</t>
        </is>
      </c>
    </row>
    <row r="862">
      <c r="F862" t="inlineStr">
        <is>
          <t>Phenylhydrazine hydrochloride</t>
        </is>
      </c>
    </row>
    <row r="863">
      <c r="F863" t="inlineStr">
        <is>
          <t>Sodium cyanide</t>
        </is>
      </c>
    </row>
    <row r="864">
      <c r="F864" t="inlineStr">
        <is>
          <t>Short form warning</t>
        </is>
      </c>
    </row>
    <row r="865">
      <c r="F865" t="inlineStr">
        <is>
          <t>Nickel (soluble compounds)</t>
        </is>
      </c>
    </row>
    <row r="866">
      <c r="F866" t="inlineStr">
        <is>
          <t>TRIM VX</t>
        </is>
      </c>
    </row>
    <row r="867">
      <c r="F867" t="inlineStr">
        <is>
          <t>N-Nitrosohexamethyleneimine</t>
        </is>
      </c>
    </row>
    <row r="868">
      <c r="F868" t="inlineStr">
        <is>
          <t>Gentian violet (Crystal violet)</t>
        </is>
      </c>
    </row>
    <row r="869">
      <c r="F869" t="inlineStr">
        <is>
          <t>Custom warning</t>
        </is>
      </c>
    </row>
    <row r="870">
      <c r="F870" t="inlineStr">
        <is>
          <t>2-Amino-4-chlorophenol</t>
        </is>
      </c>
    </row>
    <row r="871">
      <c r="F871" t="inlineStr">
        <is>
          <t>2-Chloronitrobenzene</t>
        </is>
      </c>
    </row>
    <row r="872">
      <c r="F872" t="inlineStr">
        <is>
          <t>1,4-Dichloro-2-nitrobenzene</t>
        </is>
      </c>
    </row>
    <row r="873">
      <c r="F873" t="inlineStr">
        <is>
          <t>2,4-Dichloro-1-nitrobenzene</t>
        </is>
      </c>
    </row>
    <row r="874">
      <c r="F874" t="inlineStr">
        <is>
          <t>Bevacizumab</t>
        </is>
      </c>
    </row>
    <row r="875">
      <c r="F875" t="inlineStr">
        <is>
          <t>p-chloro-?,?,?-trifluorotoluene (para-Chlorobenzotrifluoride, PCBTF)</t>
        </is>
      </c>
    </row>
    <row r="876">
      <c r="F876" t="inlineStr">
        <is>
          <t>para-Nitroanisole</t>
        </is>
      </c>
    </row>
    <row r="877">
      <c r="F877" t="inlineStr">
        <is>
          <t>Cannabis (marijuana) smoke</t>
        </is>
      </c>
    </row>
    <row r="878">
      <c r="F878" t="inlineStr">
        <is>
          <t>?9 -Tetrahydrocannabinol (?9 -THC)</t>
        </is>
      </c>
    </row>
    <row r="879">
      <c r="F879" t="inlineStr">
        <is>
          <t>1,1,1-Trichloroethane</t>
        </is>
      </c>
    </row>
    <row r="880">
      <c r="F880" t="inlineStr">
        <is>
          <t>1-Bromo-3-chloropropane</t>
        </is>
      </c>
    </row>
    <row r="881">
      <c r="F881" t="inlineStr">
        <is>
          <t>1-Butyl glycidyl ether</t>
        </is>
      </c>
    </row>
    <row r="882">
      <c r="F882" t="inlineStr">
        <is>
          <t>2-Ethylhexyl acrylate</t>
        </is>
      </c>
    </row>
    <row r="883">
      <c r="F883" t="inlineStr">
        <is>
          <t>Alcoholic beverages</t>
        </is>
      </c>
    </row>
    <row r="884">
      <c r="F884" t="inlineStr">
        <is>
          <t>Anthracene</t>
        </is>
      </c>
    </row>
    <row r="885">
      <c r="F885" t="inlineStr">
        <is>
          <t>Bisphenol S (BPS)</t>
        </is>
      </c>
    </row>
    <row r="886">
      <c r="F886" t="inlineStr">
        <is>
          <t>Coal-tar pitch</t>
        </is>
      </c>
    </row>
    <row r="887">
      <c r="F887" t="inlineStr">
        <is>
          <t>Dimethyl hydrogen phosphite</t>
        </is>
      </c>
    </row>
    <row r="888">
      <c r="F888" t="inlineStr">
        <is>
          <t>Fluoro-edenite fibrous amphibole</t>
        </is>
      </c>
    </row>
    <row r="889">
      <c r="F889" t="inlineStr">
        <is>
          <t>Glycidyl methacrylate</t>
        </is>
      </c>
    </row>
    <row r="890">
      <c r="F890" t="inlineStr">
        <is>
          <t>Hexachlorocyclohexane (technical grade)</t>
        </is>
      </c>
    </row>
    <row r="891">
      <c r="F891" t="inlineStr">
        <is>
          <t>Indium tin oxide</t>
        </is>
      </c>
    </row>
    <row r="892">
      <c r="F892" t="inlineStr">
        <is>
          <t>Leucomalachite green</t>
        </is>
      </c>
    </row>
    <row r="893">
      <c r="F893" t="inlineStr">
        <is>
          <t>Methyl acrylate</t>
        </is>
      </c>
    </row>
    <row r="894">
      <c r="F894" t="inlineStr">
        <is>
          <t>Molybdenum trioxide</t>
        </is>
      </c>
    </row>
    <row r="895">
      <c r="F895" t="inlineStr">
        <is>
          <t>p-Chloro-o-toluidine, hydrochloride</t>
        </is>
      </c>
    </row>
    <row r="896">
      <c r="F896" t="inlineStr">
        <is>
          <t>Perfluorononanoic acid (PFNA) and its salts</t>
        </is>
      </c>
    </row>
    <row r="897">
      <c r="F897" t="inlineStr">
        <is>
          <t>Perfluorooctane sulfonic acid (PFOS) and its salts and transformation and degradation precursors</t>
        </is>
      </c>
    </row>
    <row r="898">
      <c r="F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F899" t="inlineStr">
        <is>
          <t>Silicon carbide whiskers</t>
        </is>
      </c>
    </row>
    <row r="900">
      <c r="F900" t="inlineStr">
        <is>
          <t>Tetrahydrofuran</t>
        </is>
      </c>
    </row>
    <row r="901">
      <c r="F901" t="inlineStr">
        <is>
          <t>Trimethylolpropane triacrylate, technical grade</t>
        </is>
      </c>
    </row>
    <row r="902">
      <c r="F902" t="inlineStr">
        <is>
          <t>Vismodegib</t>
        </is>
      </c>
    </row>
  </sheetData>
  <hyperlinks>
    <hyperlink ref="A1" location="#'6 - TV Stands &amp; Enterta'!D6" display="Brand"/>
    <hyperlink ref="B1" location="#'6 - TV Stands &amp; Enterta'!W6" display="Ship Type"/>
    <hyperlink ref="C1" location="#'6 - TV Stands &amp; Enterta'!X6" display="Freight Class"/>
    <hyperlink ref="D1" location="#'6 - TV Stands &amp; Enterta'!Y6" display="Lead Time"/>
    <hyperlink ref="E1" location="#'6 - TV Stands &amp; Enterta'!Z6" display="Replacement Lead Time"/>
    <hyperlink ref="F1" location="#'Additional Chemicals'!C6" display="Chemical"/>
    <hyperlink ref="G1" location="#'Additional Chemicals'!D6" display="Toxicity"/>
    <hyperlink ref="H1" location="#'6 - TV Stands &amp; Enterta'!AK6" display="Country Of Manufacturer"/>
    <hyperlink ref="I1" location="#'Additional Documents'!D6" display="Document Type"/>
    <hyperlink ref="J1" location="#'Additional Documents'!E6" display="Legal Document Type"/>
    <hyperlink ref="K1" location="#'Additional Documents'!F6" display="Document Region"/>
    <hyperlink ref="L1" location="#'Additional Documents'!G6" display="Document Language"/>
    <hyperlink ref="M1" location="#'6 - TV Stands &amp; Enterta'!BG6" display="Product Type"/>
    <hyperlink ref="N1" location="#'6 - TV Stands &amp; Enterta'!BP6" display="Furniture Design"/>
    <hyperlink ref="O1" location="#'6 - TV Stands &amp; Enterta'!BQ6" display="Material"/>
    <hyperlink ref="P1" location="#'6 - TV Stands &amp; Enterta'!BR6" display="Purposeful Distressing Type"/>
    <hyperlink ref="Q1" location="#'6 - TV Stands &amp; Enterta'!BS6" display="Natural Variation Type"/>
    <hyperlink ref="R1" location="#'6 - TV Stands &amp; Enterta'!CC6" display="Tipover Restraint Device Included"/>
    <hyperlink ref="S1" location="#'6 - TV Stands &amp; Enterta'!CF6" display="Supplier Intended and Approved Use"/>
    <hyperlink ref="T1" location="#'6 - TV Stands &amp; Enterta'!CG6" display="Country of Origin - Additional Details"/>
    <hyperlink ref="U1" location="#'6 - TV Stands &amp; Enterta'!CH6" display="Main Wood Joinery Method"/>
    <hyperlink ref="V1" location="#'6 - TV Stands &amp; Enterta'!CJ6" display="Wood Species"/>
    <hyperlink ref="W1" location="#'6 - TV Stands &amp; Enterta'!CL6" display="Battery Composition"/>
    <hyperlink ref="X1" location="#'6 - TV Stands &amp; Enterta'!CM6" display="Battery Type"/>
    <hyperlink ref="Y1" location="#'6 - TV Stands &amp; Enterta'!CN6" display="Number of Batteries"/>
    <hyperlink ref="Z1" location="#'6 - TV Stands &amp; Enterta'!CO6" display="Battery Shipment"/>
    <hyperlink ref="AA1" location="#'6 - TV Stands &amp; Enterta'!CP6" display="Lithium Content"/>
    <hyperlink ref="AB1" location="#'6 - TV Stands &amp; Enterta'!CQ6" display="Watt Rating of Cells / Battery"/>
    <hyperlink ref="AC1" location="#'6 - TV Stands &amp; Enterta'!CR6" display="Weight of Cells / Battery"/>
    <hyperlink ref="AD1" location="#'6 - TV Stands &amp; Enterta'!CV6" display="Product Care"/>
    <hyperlink ref="AE1" location="#'6 - TV Stands &amp; Enterta'!CX6" display="Shelf Material"/>
    <hyperlink ref="AF1" location="#'6 - TV Stands &amp; Enterta'!CY6" display="Color / Finish"/>
    <hyperlink ref="AG1" location="#'6 - TV Stands &amp; Enterta'!CZ6" display="Drawer Glide Type &amp; Extension"/>
    <hyperlink ref="AH1" location="#'6 - TV Stands &amp; Enterta'!DA6" display="Vent Type"/>
    <hyperlink ref="AI1" location="#'6 - TV Stands &amp; Enterta'!DB6" display="Fuel Type"/>
    <hyperlink ref="AJ1" location="#'6 - TV Stands &amp; Enterta'!DC6" display="Door Design"/>
    <hyperlink ref="AK1" location="#'6 - TV Stands &amp; Enterta'!DF6" display="Pieces Included"/>
    <hyperlink ref="AL1" location="#'6 - TV Stands &amp; Enterta'!DI6" display="Fireplace Type"/>
    <hyperlink ref="AM1" location="#'6 - TV Stands &amp; Enterta'!DJ6" display="General Certificate of Conformity (GCC)"/>
    <hyperlink ref="AN1" location="#'6 - TV Stands &amp; Enterta'!DL6" display="CARB Phase II Compliant (formaldehyde emissions)"/>
    <hyperlink ref="AO1" location="#'6 - TV Stands &amp; Enterta'!DM6" display="TSCA Title VI Compliant (formaldehyde emissions)"/>
    <hyperlink ref="AP1" location="#'6 - TV Stands &amp; Enterta'!DN6" display="CANFER Compliant"/>
    <hyperlink ref="AQ1" location="#'6 - TV Stands &amp; Enterta'!DO6" display="Uniform Packaging and Labeling Regulations (UPLR) Compliant"/>
    <hyperlink ref="AR1" location="#'6 - TV Stands &amp; Enterta'!DQ6" display="Reason for Restriction"/>
    <hyperlink ref="AS1" location="#'6 - TV Stands &amp; Enterta'!DR6" display="UL 1678 Listed"/>
    <hyperlink ref="AT1" location="#'6 - TV Stands &amp; Enterta'!DT6" display="UN or ID number"/>
    <hyperlink ref="AU1" location="#'6 - TV Stands &amp; Enterta'!DU6" display="Hazard Class(es)"/>
    <hyperlink ref="AV1" location="#'6 - TV Stands &amp; Enterta'!DV6" display="Packing Group"/>
    <hyperlink ref="AW1" location="#'6 - TV Stands &amp; Enterta'!DW6" display="Hazardous Material Weight"/>
    <hyperlink ref="AX1" location="#'6 - TV Stands &amp; Enterta'!DX6" display="Energy Efficiency Regulations Compliant"/>
    <hyperlink ref="AY1" location="#'6 - TV Stands &amp; Enterta'!DY6" display="Safety Listing(s)"/>
    <hyperlink ref="AZ1" location="#'6 - TV Stands &amp; Enterta'!EA6" display="CPSC - 16 CFR 1263 Compliant (Reese's Law)"/>
    <hyperlink ref="BA1" location="#'6 - TV Stands &amp; Enterta'!EB6" display="ISTA Certified"/>
    <hyperlink ref="BB1" location="#'6 - TV Stands &amp; Enterta'!ED6" display="Commercial Certifications"/>
    <hyperlink ref="BC1" location="#'6 - TV Stands &amp; Enterta'!EK6" display="Maximum TV Screen Size Accommodated"/>
    <hyperlink ref="BD1" location="#'6 - TV Stands &amp; Enterta'!EN6" display="Level of Assembly"/>
    <hyperlink ref="BE1" location="#'6 - TV Stands &amp; Enterta'!EO6" display="Additional Tools Required (Not Included)"/>
    <hyperlink ref="BF1" location="#'6 - TV Stands &amp; Enterta'!EQ6" display="Commercial Warranty Length"/>
    <hyperlink ref="BG1" location="#'6 - TV Stands &amp; Enterta'!ES6" display="Full or Limited Warranty"/>
    <hyperlink ref="BH1" location="#'6 - TV Stands &amp; Enterta'!ET6" display="Warranty Length"/>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8:EQ22"/>
  <sheetViews>
    <sheetView workbookViewId="0">
      <selection activeCell="A1" sqref="A1"/>
    </sheetView>
  </sheetViews>
  <sheetFormatPr baseColWidth="8" defaultRowHeight="15"/>
  <sheetData>
    <row r="8">
      <c r="B8" t="inlineStr">
        <is>
          <t>CASA-TV-018</t>
        </is>
      </c>
      <c r="D8" t="inlineStr">
        <is>
          <t>Casa Design Furniture</t>
        </is>
      </c>
      <c r="E8" t="inlineStr">
        <is>
          <t>CASA-TV-018</t>
        </is>
      </c>
      <c r="F8" t="inlineStr">
        <is>
          <t>840134100181</t>
        </is>
      </c>
      <c r="G8" t="inlineStr">
        <is>
          <t>#018 NORALIE TV STAND &amp; FIREPLACE</t>
        </is>
      </c>
      <c r="J8" t="inlineStr">
        <is>
          <t>899</t>
        </is>
      </c>
      <c r="M8" t="inlineStr">
        <is>
          <t>The #018 NORALIE TV STAND &amp; FIREPLACE offers a stunning modern design with high-end materials. Perfect for elevating your living space.</t>
        </is>
      </c>
      <c r="N8" t="inlineStr">
        <is>
          <t>Sleek Modern Aesthetic</t>
        </is>
      </c>
      <c r="O8" t="inlineStr">
        <is>
          <t>High-Durability Construction</t>
        </is>
      </c>
      <c r="P8" t="inlineStr">
        <is>
          <t>Easy Assembly with Storage</t>
        </is>
      </c>
      <c r="S8" t="inlineStr">
        <is>
          <t>1</t>
        </is>
      </c>
      <c r="T8" t="inlineStr">
        <is>
          <t>1</t>
        </is>
      </c>
      <c r="U8" t="inlineStr">
        <is>
          <t>1</t>
        </is>
      </c>
      <c r="V8" t="inlineStr">
        <is>
          <t>110</t>
        </is>
      </c>
      <c r="W8" t="inlineStr">
        <is>
          <t>Small Parcel</t>
        </is>
      </c>
      <c r="Y8" t="inlineStr">
        <is>
          <t>4</t>
        </is>
      </c>
      <c r="Z8" t="inlineStr">
        <is>
          <t>7</t>
        </is>
      </c>
      <c r="AD8" t="inlineStr">
        <is>
          <t>122</t>
        </is>
      </c>
      <c r="AE8" t="inlineStr">
        <is>
          <t>23</t>
        </is>
      </c>
      <c r="AF8" t="inlineStr">
        <is>
          <t>84</t>
        </is>
      </c>
      <c r="AG8" t="inlineStr">
        <is>
          <t>21</t>
        </is>
      </c>
      <c r="AH8" t="inlineStr">
        <is>
          <t>No</t>
        </is>
      </c>
      <c r="AK8" t="inlineStr">
        <is>
          <t>United States</t>
        </is>
      </c>
      <c r="AL8" s="40" t="inlineStr">
        <is>
          <t>https://casadesignfurniture.com/wp-content/uploads/2023/07/018-NORALIE-TV-STAND-FIREPLACE.jpg</t>
        </is>
      </c>
      <c r="BG8" t="inlineStr">
        <is>
          <t>TV Stand</t>
        </is>
      </c>
      <c r="BH8" t="inlineStr">
        <is>
          <t>No</t>
        </is>
      </c>
      <c r="BI8" t="inlineStr">
        <is>
          <t>Yes</t>
        </is>
      </c>
      <c r="BJ8" t="inlineStr">
        <is>
          <t>2</t>
        </is>
      </c>
      <c r="BK8" t="inlineStr">
        <is>
          <t>Yes</t>
        </is>
      </c>
      <c r="BO8" t="inlineStr">
        <is>
          <t>No</t>
        </is>
      </c>
      <c r="BP8" t="inlineStr">
        <is>
          <t>Cabinet/Enclosed storage</t>
        </is>
      </c>
      <c r="BQ8" t="inlineStr">
        <is>
          <t>Solid + Manufactured Wood</t>
        </is>
      </c>
      <c r="BS8" t="inlineStr">
        <is>
          <t>No Natural Variation</t>
        </is>
      </c>
      <c r="CA8" t="inlineStr">
        <is>
          <t>Yes</t>
        </is>
      </c>
      <c r="CB8" t="inlineStr">
        <is>
          <t>Yes</t>
        </is>
      </c>
      <c r="CC8" t="inlineStr">
        <is>
          <t>Yes</t>
        </is>
      </c>
      <c r="CF8" t="inlineStr">
        <is>
          <t>Residential Use</t>
        </is>
      </c>
      <c r="CH8" t="inlineStr">
        <is>
          <t>Does Not Apply</t>
        </is>
      </c>
      <c r="CK8" t="inlineStr">
        <is>
          <t>No</t>
        </is>
      </c>
      <c r="CL8" t="inlineStr">
        <is>
          <t>Standard</t>
        </is>
      </c>
      <c r="CM8" t="inlineStr">
        <is>
          <t>Standard</t>
        </is>
      </c>
      <c r="CN8" t="inlineStr">
        <is>
          <t>1</t>
        </is>
      </c>
      <c r="CO8" t="inlineStr">
        <is>
          <t>Does Not Apply</t>
        </is>
      </c>
      <c r="CP8" t="inlineStr">
        <is>
          <t>Does Not Apply</t>
        </is>
      </c>
      <c r="CQ8" t="inlineStr">
        <is>
          <t>Does Not Apply</t>
        </is>
      </c>
      <c r="CR8" t="inlineStr">
        <is>
          <t>Does Not Apply</t>
        </is>
      </c>
      <c r="CU8" t="inlineStr">
        <is>
          <t>150</t>
        </is>
      </c>
      <c r="CY8" t="inlineStr">
        <is>
          <t>White/Mirrored</t>
        </is>
      </c>
      <c r="DA8" t="inlineStr">
        <is>
          <t>Vent Free</t>
        </is>
      </c>
      <c r="DB8" t="inlineStr">
        <is>
          <t>Electric</t>
        </is>
      </c>
      <c r="DF8" t="inlineStr">
        <is>
          <t>1</t>
        </is>
      </c>
      <c r="DG8" t="inlineStr">
        <is>
          <t>2</t>
        </is>
      </c>
      <c r="DJ8" t="inlineStr">
        <is>
          <t>No</t>
        </is>
      </c>
      <c r="DK8" t="inlineStr">
        <is>
          <t>Yes</t>
        </is>
      </c>
      <c r="DL8" t="inlineStr">
        <is>
          <t>Yes</t>
        </is>
      </c>
      <c r="DM8" t="inlineStr">
        <is>
          <t>Yes</t>
        </is>
      </c>
      <c r="DN8" t="inlineStr">
        <is>
          <t>Yes</t>
        </is>
      </c>
      <c r="DO8" t="inlineStr">
        <is>
          <t>Yes</t>
        </is>
      </c>
      <c r="DP8" t="inlineStr">
        <is>
          <t>No</t>
        </is>
      </c>
      <c r="DQ8" t="inlineStr">
        <is>
          <t>None</t>
        </is>
      </c>
      <c r="DX8" t="inlineStr">
        <is>
          <t>Yes</t>
        </is>
      </c>
      <c r="DY8" t="inlineStr">
        <is>
          <t>Not Applicable</t>
        </is>
      </c>
      <c r="DZ8" t="inlineStr">
        <is>
          <t>Standard</t>
        </is>
      </c>
      <c r="EA8" t="inlineStr">
        <is>
          <t>Standard</t>
        </is>
      </c>
      <c r="EE8" t="inlineStr">
        <is>
          <t>79</t>
        </is>
      </c>
      <c r="EF8" t="inlineStr">
        <is>
          <t>16</t>
        </is>
      </c>
      <c r="EG8" t="inlineStr">
        <is>
          <t>18</t>
        </is>
      </c>
      <c r="EH8" t="inlineStr">
        <is>
          <t>79</t>
        </is>
      </c>
      <c r="EI8" t="inlineStr">
        <is>
          <t>16</t>
        </is>
      </c>
      <c r="EJ8" t="inlineStr">
        <is>
          <t>110</t>
        </is>
      </c>
      <c r="EK8" t="inlineStr">
        <is>
          <t>75"</t>
        </is>
      </c>
      <c r="EL8" t="inlineStr">
        <is>
          <t>18</t>
        </is>
      </c>
      <c r="EM8" t="inlineStr">
        <is>
          <t>Yes</t>
        </is>
      </c>
      <c r="EN8" t="inlineStr">
        <is>
          <t>Full Assembly Needed</t>
        </is>
      </c>
      <c r="EP8" t="inlineStr">
        <is>
          <t>No</t>
        </is>
      </c>
      <c r="EQ8" t="inlineStr">
        <is>
          <t>Does Not Apply</t>
        </is>
      </c>
    </row>
    <row r="9">
      <c r="B9" t="inlineStr">
        <is>
          <t>CASA-TV-013</t>
        </is>
      </c>
      <c r="D9" t="inlineStr">
        <is>
          <t>Casa Design Furniture</t>
        </is>
      </c>
      <c r="E9" t="inlineStr">
        <is>
          <t>CASA-TV-013</t>
        </is>
      </c>
      <c r="F9" t="inlineStr">
        <is>
          <t>840134100136</t>
        </is>
      </c>
      <c r="G9" t="inlineStr">
        <is>
          <t>#013 TV STAND IN WHITE LACQUER</t>
        </is>
      </c>
      <c r="J9" t="inlineStr">
        <is>
          <t>750</t>
        </is>
      </c>
      <c r="M9" t="inlineStr">
        <is>
          <t>The #013 TV STAND IN WHITE LACQUER offers a stunning modern design with high-end materials. Perfect for elevating your living space.</t>
        </is>
      </c>
      <c r="N9" t="inlineStr">
        <is>
          <t>Sleek Modern Aesthetic</t>
        </is>
      </c>
      <c r="O9" t="inlineStr">
        <is>
          <t>High-Durability Construction</t>
        </is>
      </c>
      <c r="P9" t="inlineStr">
        <is>
          <t>Easy Assembly with Storage</t>
        </is>
      </c>
      <c r="S9" t="inlineStr">
        <is>
          <t>1</t>
        </is>
      </c>
      <c r="T9" t="inlineStr">
        <is>
          <t>1</t>
        </is>
      </c>
      <c r="U9" t="inlineStr">
        <is>
          <t>1</t>
        </is>
      </c>
      <c r="V9" t="inlineStr">
        <is>
          <t>95</t>
        </is>
      </c>
      <c r="W9" t="inlineStr">
        <is>
          <t>Small Parcel</t>
        </is>
      </c>
      <c r="Y9" t="inlineStr">
        <is>
          <t>4</t>
        </is>
      </c>
      <c r="Z9" t="inlineStr">
        <is>
          <t>7</t>
        </is>
      </c>
      <c r="AD9" t="inlineStr">
        <is>
          <t>107</t>
        </is>
      </c>
      <c r="AE9" t="inlineStr">
        <is>
          <t>23</t>
        </is>
      </c>
      <c r="AF9" t="inlineStr">
        <is>
          <t>84</t>
        </is>
      </c>
      <c r="AG9" t="inlineStr">
        <is>
          <t>21</t>
        </is>
      </c>
      <c r="AH9" t="inlineStr">
        <is>
          <t>No</t>
        </is>
      </c>
      <c r="AK9" t="inlineStr">
        <is>
          <t>United States</t>
        </is>
      </c>
      <c r="AL9" s="40" t="inlineStr">
        <is>
          <t>https://casadesignfurniture.com/wp-content/uploads/2023/07/013-TV-STAND-IN-WHITE-LACQUER.jpg</t>
        </is>
      </c>
      <c r="BG9" t="inlineStr">
        <is>
          <t>TV Stand</t>
        </is>
      </c>
      <c r="BH9" t="inlineStr">
        <is>
          <t>No</t>
        </is>
      </c>
      <c r="BI9" t="inlineStr">
        <is>
          <t>Yes</t>
        </is>
      </c>
      <c r="BJ9" t="inlineStr">
        <is>
          <t>2</t>
        </is>
      </c>
      <c r="BK9" t="inlineStr">
        <is>
          <t>Yes</t>
        </is>
      </c>
      <c r="BO9" t="inlineStr">
        <is>
          <t>No</t>
        </is>
      </c>
      <c r="BP9" t="inlineStr">
        <is>
          <t>Cabinet/Enclosed storage</t>
        </is>
      </c>
      <c r="BQ9" t="inlineStr">
        <is>
          <t>Solid + Manufactured Wood</t>
        </is>
      </c>
      <c r="BS9" t="inlineStr">
        <is>
          <t>No Natural Variation</t>
        </is>
      </c>
      <c r="CA9" t="inlineStr">
        <is>
          <t>No</t>
        </is>
      </c>
      <c r="CB9" t="inlineStr">
        <is>
          <t>No</t>
        </is>
      </c>
      <c r="CC9" t="inlineStr">
        <is>
          <t>Yes</t>
        </is>
      </c>
      <c r="CF9" t="inlineStr">
        <is>
          <t>Residential Use</t>
        </is>
      </c>
      <c r="CH9" t="inlineStr">
        <is>
          <t>Does Not Apply</t>
        </is>
      </c>
      <c r="CK9" t="inlineStr">
        <is>
          <t>No</t>
        </is>
      </c>
      <c r="CL9" t="inlineStr">
        <is>
          <t>Standard</t>
        </is>
      </c>
      <c r="CM9" t="inlineStr">
        <is>
          <t>Standard</t>
        </is>
      </c>
      <c r="CN9" t="inlineStr">
        <is>
          <t>1</t>
        </is>
      </c>
      <c r="CO9" t="inlineStr">
        <is>
          <t>Does Not Apply</t>
        </is>
      </c>
      <c r="CP9" t="inlineStr">
        <is>
          <t>Does Not Apply</t>
        </is>
      </c>
      <c r="CQ9" t="inlineStr">
        <is>
          <t>Does Not Apply</t>
        </is>
      </c>
      <c r="CR9" t="inlineStr">
        <is>
          <t>Does Not Apply</t>
        </is>
      </c>
      <c r="CS9" t="inlineStr">
        <is>
          <t>No</t>
        </is>
      </c>
      <c r="CT9" t="inlineStr">
        <is>
          <t>Does Not Apply</t>
        </is>
      </c>
      <c r="CU9" t="inlineStr">
        <is>
          <t>150</t>
        </is>
      </c>
      <c r="CY9" t="inlineStr">
        <is>
          <t>White/Mirrored</t>
        </is>
      </c>
      <c r="DA9" t="inlineStr">
        <is>
          <t>Standard</t>
        </is>
      </c>
      <c r="DB9" t="inlineStr">
        <is>
          <t>Standard</t>
        </is>
      </c>
      <c r="DF9" t="inlineStr">
        <is>
          <t>1</t>
        </is>
      </c>
      <c r="DG9" t="inlineStr">
        <is>
          <t>2</t>
        </is>
      </c>
      <c r="DJ9" t="inlineStr">
        <is>
          <t>No</t>
        </is>
      </c>
      <c r="DK9" t="inlineStr">
        <is>
          <t>Yes</t>
        </is>
      </c>
      <c r="DL9" t="inlineStr">
        <is>
          <t>Yes</t>
        </is>
      </c>
      <c r="DM9" t="inlineStr">
        <is>
          <t>Yes</t>
        </is>
      </c>
      <c r="DN9" t="inlineStr">
        <is>
          <t>Yes</t>
        </is>
      </c>
      <c r="DO9" t="inlineStr">
        <is>
          <t>Yes</t>
        </is>
      </c>
      <c r="DP9" t="inlineStr">
        <is>
          <t>No</t>
        </is>
      </c>
      <c r="DQ9" t="inlineStr">
        <is>
          <t>None</t>
        </is>
      </c>
      <c r="DX9" t="inlineStr">
        <is>
          <t>Yes</t>
        </is>
      </c>
      <c r="DY9" t="inlineStr">
        <is>
          <t>Not Applicable</t>
        </is>
      </c>
      <c r="DZ9" t="inlineStr">
        <is>
          <t>Standard</t>
        </is>
      </c>
      <c r="EA9" t="inlineStr">
        <is>
          <t>Standard</t>
        </is>
      </c>
      <c r="EE9" t="inlineStr">
        <is>
          <t>79</t>
        </is>
      </c>
      <c r="EF9" t="inlineStr">
        <is>
          <t>16</t>
        </is>
      </c>
      <c r="EG9" t="inlineStr">
        <is>
          <t>18</t>
        </is>
      </c>
      <c r="EH9" t="inlineStr">
        <is>
          <t>79</t>
        </is>
      </c>
      <c r="EI9" t="inlineStr">
        <is>
          <t>16</t>
        </is>
      </c>
      <c r="EJ9" t="inlineStr">
        <is>
          <t>95</t>
        </is>
      </c>
      <c r="EK9" t="inlineStr">
        <is>
          <t>75"</t>
        </is>
      </c>
      <c r="EL9" t="inlineStr">
        <is>
          <t>18</t>
        </is>
      </c>
      <c r="EM9" t="inlineStr">
        <is>
          <t>Yes</t>
        </is>
      </c>
      <c r="EN9" t="inlineStr">
        <is>
          <t>Full Assembly Needed</t>
        </is>
      </c>
      <c r="EP9" t="inlineStr">
        <is>
          <t>No</t>
        </is>
      </c>
      <c r="EQ9" t="inlineStr">
        <is>
          <t>Does Not Apply</t>
        </is>
      </c>
    </row>
    <row r="10">
      <c r="B10" t="inlineStr">
        <is>
          <t>CASA-TV-015</t>
        </is>
      </c>
      <c r="D10" t="inlineStr">
        <is>
          <t>Casa Design Furniture</t>
        </is>
      </c>
      <c r="E10" t="inlineStr">
        <is>
          <t>CASA-TV-015</t>
        </is>
      </c>
      <c r="F10" t="inlineStr">
        <is>
          <t>840134100150</t>
        </is>
      </c>
      <c r="G10" t="inlineStr">
        <is>
          <t>#015 LED LIGHT TV STAND</t>
        </is>
      </c>
      <c r="J10" t="inlineStr">
        <is>
          <t>680</t>
        </is>
      </c>
      <c r="M10" t="inlineStr">
        <is>
          <t>The #015 LED LIGHT TV STAND offers a stunning modern design with high-end materials. Perfect for elevating your living space.</t>
        </is>
      </c>
      <c r="N10" t="inlineStr">
        <is>
          <t>Sleek Modern Aesthetic</t>
        </is>
      </c>
      <c r="O10" t="inlineStr">
        <is>
          <t>High-Durability Construction</t>
        </is>
      </c>
      <c r="P10" t="inlineStr">
        <is>
          <t>Easy Assembly with Storage</t>
        </is>
      </c>
      <c r="S10" t="inlineStr">
        <is>
          <t>1</t>
        </is>
      </c>
      <c r="T10" t="inlineStr">
        <is>
          <t>1</t>
        </is>
      </c>
      <c r="U10" t="inlineStr">
        <is>
          <t>1</t>
        </is>
      </c>
      <c r="V10" t="inlineStr">
        <is>
          <t>88</t>
        </is>
      </c>
      <c r="W10" t="inlineStr">
        <is>
          <t>Small Parcel</t>
        </is>
      </c>
      <c r="Y10" t="inlineStr">
        <is>
          <t>4</t>
        </is>
      </c>
      <c r="Z10" t="inlineStr">
        <is>
          <t>7</t>
        </is>
      </c>
      <c r="AD10" t="inlineStr">
        <is>
          <t>100</t>
        </is>
      </c>
      <c r="AE10" t="inlineStr">
        <is>
          <t>25</t>
        </is>
      </c>
      <c r="AF10" t="inlineStr">
        <is>
          <t>75</t>
        </is>
      </c>
      <c r="AG10" t="inlineStr">
        <is>
          <t>21</t>
        </is>
      </c>
      <c r="AH10" t="inlineStr">
        <is>
          <t>No</t>
        </is>
      </c>
      <c r="AK10" t="inlineStr">
        <is>
          <t>United States</t>
        </is>
      </c>
      <c r="AL10" s="40" t="inlineStr">
        <is>
          <t>https://casadesignfurniture.com/wp-content/uploads/2023/07/015-LED-LIGHT-TV-STAND.jpg</t>
        </is>
      </c>
      <c r="BG10" t="inlineStr">
        <is>
          <t>TV Stand</t>
        </is>
      </c>
      <c r="BH10" t="inlineStr">
        <is>
          <t>No</t>
        </is>
      </c>
      <c r="BI10" t="inlineStr">
        <is>
          <t>Yes</t>
        </is>
      </c>
      <c r="BJ10" t="inlineStr">
        <is>
          <t>2</t>
        </is>
      </c>
      <c r="BK10" t="inlineStr">
        <is>
          <t>Yes</t>
        </is>
      </c>
      <c r="BO10" t="inlineStr">
        <is>
          <t>No</t>
        </is>
      </c>
      <c r="BP10" t="inlineStr">
        <is>
          <t>Cabinet/Enclosed storage</t>
        </is>
      </c>
      <c r="BQ10" t="inlineStr">
        <is>
          <t>Solid + Manufactured Wood</t>
        </is>
      </c>
      <c r="BS10" t="inlineStr">
        <is>
          <t>No Natural Variation</t>
        </is>
      </c>
      <c r="CA10" t="inlineStr">
        <is>
          <t>No</t>
        </is>
      </c>
      <c r="CB10" t="inlineStr">
        <is>
          <t>Yes</t>
        </is>
      </c>
      <c r="CC10" t="inlineStr">
        <is>
          <t>Yes</t>
        </is>
      </c>
      <c r="CF10" t="inlineStr">
        <is>
          <t>Residential Use</t>
        </is>
      </c>
      <c r="CH10" t="inlineStr">
        <is>
          <t>Does Not Apply</t>
        </is>
      </c>
      <c r="CK10" t="inlineStr">
        <is>
          <t>No</t>
        </is>
      </c>
      <c r="CL10" t="inlineStr">
        <is>
          <t>Standard</t>
        </is>
      </c>
      <c r="CM10" t="inlineStr">
        <is>
          <t>Standard</t>
        </is>
      </c>
      <c r="CN10" t="inlineStr">
        <is>
          <t>1</t>
        </is>
      </c>
      <c r="CO10" t="inlineStr">
        <is>
          <t>Does Not Apply</t>
        </is>
      </c>
      <c r="CP10" t="inlineStr">
        <is>
          <t>Does Not Apply</t>
        </is>
      </c>
      <c r="CQ10" t="inlineStr">
        <is>
          <t>Does Not Apply</t>
        </is>
      </c>
      <c r="CR10" t="inlineStr">
        <is>
          <t>Does Not Apply</t>
        </is>
      </c>
      <c r="CS10" t="inlineStr">
        <is>
          <t>No</t>
        </is>
      </c>
      <c r="CT10" t="inlineStr">
        <is>
          <t>Does Not Apply</t>
        </is>
      </c>
      <c r="CU10" t="inlineStr">
        <is>
          <t>150</t>
        </is>
      </c>
      <c r="CY10" t="inlineStr">
        <is>
          <t>White/Mirrored</t>
        </is>
      </c>
      <c r="DA10" t="inlineStr">
        <is>
          <t>Standard</t>
        </is>
      </c>
      <c r="DB10" t="inlineStr">
        <is>
          <t>Standard</t>
        </is>
      </c>
      <c r="DF10" t="inlineStr">
        <is>
          <t>1</t>
        </is>
      </c>
      <c r="DG10" t="inlineStr">
        <is>
          <t>2</t>
        </is>
      </c>
      <c r="DJ10" t="inlineStr">
        <is>
          <t>No</t>
        </is>
      </c>
      <c r="DK10" t="inlineStr">
        <is>
          <t>Yes</t>
        </is>
      </c>
      <c r="DL10" t="inlineStr">
        <is>
          <t>Yes</t>
        </is>
      </c>
      <c r="DM10" t="inlineStr">
        <is>
          <t>Yes</t>
        </is>
      </c>
      <c r="DN10" t="inlineStr">
        <is>
          <t>Yes</t>
        </is>
      </c>
      <c r="DO10" t="inlineStr">
        <is>
          <t>Yes</t>
        </is>
      </c>
      <c r="DP10" t="inlineStr">
        <is>
          <t>No</t>
        </is>
      </c>
      <c r="DQ10" t="inlineStr">
        <is>
          <t>None</t>
        </is>
      </c>
      <c r="DX10" t="inlineStr">
        <is>
          <t>Yes</t>
        </is>
      </c>
      <c r="DY10" t="inlineStr">
        <is>
          <t>Not Applicable</t>
        </is>
      </c>
      <c r="DZ10" t="inlineStr">
        <is>
          <t>Standard</t>
        </is>
      </c>
      <c r="EA10" t="inlineStr">
        <is>
          <t>Standard</t>
        </is>
      </c>
      <c r="EE10" t="inlineStr">
        <is>
          <t>70</t>
        </is>
      </c>
      <c r="EF10" t="inlineStr">
        <is>
          <t>16</t>
        </is>
      </c>
      <c r="EG10" t="inlineStr">
        <is>
          <t>20</t>
        </is>
      </c>
      <c r="EH10" t="inlineStr">
        <is>
          <t>70</t>
        </is>
      </c>
      <c r="EI10" t="inlineStr">
        <is>
          <t>16</t>
        </is>
      </c>
      <c r="EJ10" t="inlineStr">
        <is>
          <t>88</t>
        </is>
      </c>
      <c r="EK10" t="inlineStr">
        <is>
          <t>75"</t>
        </is>
      </c>
      <c r="EL10" t="inlineStr">
        <is>
          <t>20</t>
        </is>
      </c>
      <c r="EM10" t="inlineStr">
        <is>
          <t>Yes</t>
        </is>
      </c>
      <c r="EN10" t="inlineStr">
        <is>
          <t>Full Assembly Needed</t>
        </is>
      </c>
      <c r="EP10" t="inlineStr">
        <is>
          <t>No</t>
        </is>
      </c>
      <c r="EQ10" t="inlineStr">
        <is>
          <t>Does Not Apply</t>
        </is>
      </c>
    </row>
    <row r="11">
      <c r="B11" t="inlineStr">
        <is>
          <t>CASA-TV-016</t>
        </is>
      </c>
      <c r="D11" t="inlineStr">
        <is>
          <t>Casa Design Furniture</t>
        </is>
      </c>
      <c r="E11" t="inlineStr">
        <is>
          <t>CASA-TV-016</t>
        </is>
      </c>
      <c r="F11" t="inlineStr">
        <is>
          <t>840134100167</t>
        </is>
      </c>
      <c r="G11" t="inlineStr">
        <is>
          <t>#016 TV STAND WHITE &amp; LED LIGHT</t>
        </is>
      </c>
      <c r="J11" t="inlineStr">
        <is>
          <t>720</t>
        </is>
      </c>
      <c r="M11" t="inlineStr">
        <is>
          <t>The #016 TV STAND WHITE &amp; LED LIGHT offers a stunning modern design with high-end materials. Perfect for elevating your living space.</t>
        </is>
      </c>
      <c r="N11" t="inlineStr">
        <is>
          <t>Sleek Modern Aesthetic</t>
        </is>
      </c>
      <c r="O11" t="inlineStr">
        <is>
          <t>High-Durability Construction</t>
        </is>
      </c>
      <c r="P11" t="inlineStr">
        <is>
          <t>Easy Assembly with Storage</t>
        </is>
      </c>
      <c r="S11" t="inlineStr">
        <is>
          <t>1</t>
        </is>
      </c>
      <c r="T11" t="inlineStr">
        <is>
          <t>1</t>
        </is>
      </c>
      <c r="U11" t="inlineStr">
        <is>
          <t>1</t>
        </is>
      </c>
      <c r="V11" t="inlineStr">
        <is>
          <t>90</t>
        </is>
      </c>
      <c r="W11" t="inlineStr">
        <is>
          <t>Small Parcel</t>
        </is>
      </c>
      <c r="Y11" t="inlineStr">
        <is>
          <t>4</t>
        </is>
      </c>
      <c r="Z11" t="inlineStr">
        <is>
          <t>7</t>
        </is>
      </c>
      <c r="AD11" t="inlineStr">
        <is>
          <t>102</t>
        </is>
      </c>
      <c r="AE11" t="inlineStr">
        <is>
          <t>23</t>
        </is>
      </c>
      <c r="AF11" t="inlineStr">
        <is>
          <t>77</t>
        </is>
      </c>
      <c r="AG11" t="inlineStr">
        <is>
          <t>21</t>
        </is>
      </c>
      <c r="AH11" t="inlineStr">
        <is>
          <t>No</t>
        </is>
      </c>
      <c r="AK11" t="inlineStr">
        <is>
          <t>United States</t>
        </is>
      </c>
      <c r="AL11" s="40" t="inlineStr">
        <is>
          <t>https://casadesignfurniture.com/wp-content/uploads/2023/07/016-TV-STAND-WHITE-LED-LIGHT.jpg</t>
        </is>
      </c>
      <c r="BG11" t="inlineStr">
        <is>
          <t>TV Stand</t>
        </is>
      </c>
      <c r="BH11" t="inlineStr">
        <is>
          <t>No</t>
        </is>
      </c>
      <c r="BI11" t="inlineStr">
        <is>
          <t>Yes</t>
        </is>
      </c>
      <c r="BJ11" t="inlineStr">
        <is>
          <t>2</t>
        </is>
      </c>
      <c r="BK11" t="inlineStr">
        <is>
          <t>Yes</t>
        </is>
      </c>
      <c r="BO11" t="inlineStr">
        <is>
          <t>No</t>
        </is>
      </c>
      <c r="BP11" t="inlineStr">
        <is>
          <t>Cabinet/Enclosed storage</t>
        </is>
      </c>
      <c r="BQ11" t="inlineStr">
        <is>
          <t>Solid + Manufactured Wood</t>
        </is>
      </c>
      <c r="BS11" t="inlineStr">
        <is>
          <t>No Natural Variation</t>
        </is>
      </c>
      <c r="CA11" t="inlineStr">
        <is>
          <t>No</t>
        </is>
      </c>
      <c r="CB11" t="inlineStr">
        <is>
          <t>Yes</t>
        </is>
      </c>
      <c r="CC11" t="inlineStr">
        <is>
          <t>Yes</t>
        </is>
      </c>
      <c r="CF11" t="inlineStr">
        <is>
          <t>Residential Use</t>
        </is>
      </c>
      <c r="CH11" t="inlineStr">
        <is>
          <t>Does Not Apply</t>
        </is>
      </c>
      <c r="CK11" t="inlineStr">
        <is>
          <t>No</t>
        </is>
      </c>
      <c r="CL11" t="inlineStr">
        <is>
          <t>Standard</t>
        </is>
      </c>
      <c r="CM11" t="inlineStr">
        <is>
          <t>Standard</t>
        </is>
      </c>
      <c r="CN11" t="inlineStr">
        <is>
          <t>1</t>
        </is>
      </c>
      <c r="CO11" t="inlineStr">
        <is>
          <t>Does Not Apply</t>
        </is>
      </c>
      <c r="CP11" t="inlineStr">
        <is>
          <t>Does Not Apply</t>
        </is>
      </c>
      <c r="CQ11" t="inlineStr">
        <is>
          <t>Does Not Apply</t>
        </is>
      </c>
      <c r="CR11" t="inlineStr">
        <is>
          <t>Does Not Apply</t>
        </is>
      </c>
      <c r="CS11" t="inlineStr">
        <is>
          <t>No</t>
        </is>
      </c>
      <c r="CT11" t="inlineStr">
        <is>
          <t>Does Not Apply</t>
        </is>
      </c>
      <c r="CU11" t="inlineStr">
        <is>
          <t>150</t>
        </is>
      </c>
      <c r="CY11" t="inlineStr">
        <is>
          <t>White/Mirrored</t>
        </is>
      </c>
      <c r="DA11" t="inlineStr">
        <is>
          <t>Standard</t>
        </is>
      </c>
      <c r="DB11" t="inlineStr">
        <is>
          <t>Standard</t>
        </is>
      </c>
      <c r="DF11" t="inlineStr">
        <is>
          <t>1</t>
        </is>
      </c>
      <c r="DG11" t="inlineStr">
        <is>
          <t>2</t>
        </is>
      </c>
      <c r="DJ11" t="inlineStr">
        <is>
          <t>No</t>
        </is>
      </c>
      <c r="DK11" t="inlineStr">
        <is>
          <t>Yes</t>
        </is>
      </c>
      <c r="DL11" t="inlineStr">
        <is>
          <t>Yes</t>
        </is>
      </c>
      <c r="DM11" t="inlineStr">
        <is>
          <t>Yes</t>
        </is>
      </c>
      <c r="DN11" t="inlineStr">
        <is>
          <t>Yes</t>
        </is>
      </c>
      <c r="DO11" t="inlineStr">
        <is>
          <t>Yes</t>
        </is>
      </c>
      <c r="DP11" t="inlineStr">
        <is>
          <t>No</t>
        </is>
      </c>
      <c r="DQ11" t="inlineStr">
        <is>
          <t>None</t>
        </is>
      </c>
      <c r="DX11" t="inlineStr">
        <is>
          <t>Yes</t>
        </is>
      </c>
      <c r="DY11" t="inlineStr">
        <is>
          <t>Not Applicable</t>
        </is>
      </c>
      <c r="DZ11" t="inlineStr">
        <is>
          <t>Standard</t>
        </is>
      </c>
      <c r="EA11" t="inlineStr">
        <is>
          <t>Standard</t>
        </is>
      </c>
      <c r="EE11" t="inlineStr">
        <is>
          <t>72</t>
        </is>
      </c>
      <c r="EF11" t="inlineStr">
        <is>
          <t>16</t>
        </is>
      </c>
      <c r="EG11" t="inlineStr">
        <is>
          <t>18</t>
        </is>
      </c>
      <c r="EH11" t="inlineStr">
        <is>
          <t>72</t>
        </is>
      </c>
      <c r="EI11" t="inlineStr">
        <is>
          <t>16</t>
        </is>
      </c>
      <c r="EJ11" t="inlineStr">
        <is>
          <t>90</t>
        </is>
      </c>
      <c r="EK11" t="inlineStr">
        <is>
          <t>75"</t>
        </is>
      </c>
      <c r="EL11" t="inlineStr">
        <is>
          <t>18</t>
        </is>
      </c>
      <c r="EM11" t="inlineStr">
        <is>
          <t>Yes</t>
        </is>
      </c>
      <c r="EN11" t="inlineStr">
        <is>
          <t>Full Assembly Needed</t>
        </is>
      </c>
      <c r="EP11" t="inlineStr">
        <is>
          <t>No</t>
        </is>
      </c>
      <c r="EQ11" t="inlineStr">
        <is>
          <t>Does Not Apply</t>
        </is>
      </c>
    </row>
    <row r="12">
      <c r="B12" t="inlineStr">
        <is>
          <t>CASA-TV-017</t>
        </is>
      </c>
      <c r="D12" t="inlineStr">
        <is>
          <t>Casa Design Furniture</t>
        </is>
      </c>
      <c r="E12" t="inlineStr">
        <is>
          <t>CASA-TV-017</t>
        </is>
      </c>
      <c r="F12" t="inlineStr">
        <is>
          <t>840134100174</t>
        </is>
      </c>
      <c r="G12" t="inlineStr">
        <is>
          <t>#017 KL TV STAND</t>
        </is>
      </c>
      <c r="J12" t="inlineStr">
        <is>
          <t>810</t>
        </is>
      </c>
      <c r="M12" t="inlineStr">
        <is>
          <t>The #017 KL TV STAND offers a stunning modern design with high-end materials. Perfect for elevating your living space.</t>
        </is>
      </c>
      <c r="N12" t="inlineStr">
        <is>
          <t>Sleek Modern Aesthetic</t>
        </is>
      </c>
      <c r="O12" t="inlineStr">
        <is>
          <t>High-Durability Construction</t>
        </is>
      </c>
      <c r="P12" t="inlineStr">
        <is>
          <t>Easy Assembly with Storage</t>
        </is>
      </c>
      <c r="S12" t="inlineStr">
        <is>
          <t>1</t>
        </is>
      </c>
      <c r="T12" t="inlineStr">
        <is>
          <t>1</t>
        </is>
      </c>
      <c r="U12" t="inlineStr">
        <is>
          <t>1</t>
        </is>
      </c>
      <c r="V12" t="inlineStr">
        <is>
          <t>80</t>
        </is>
      </c>
      <c r="W12" t="inlineStr">
        <is>
          <t>Small Parcel</t>
        </is>
      </c>
      <c r="Y12" t="inlineStr">
        <is>
          <t>4</t>
        </is>
      </c>
      <c r="Z12" t="inlineStr">
        <is>
          <t>7</t>
        </is>
      </c>
      <c r="AD12" t="inlineStr">
        <is>
          <t>92</t>
        </is>
      </c>
      <c r="AE12" t="inlineStr">
        <is>
          <t>27</t>
        </is>
      </c>
      <c r="AF12" t="inlineStr">
        <is>
          <t>70</t>
        </is>
      </c>
      <c r="AG12" t="inlineStr">
        <is>
          <t>20</t>
        </is>
      </c>
      <c r="AH12" t="inlineStr">
        <is>
          <t>No</t>
        </is>
      </c>
      <c r="AK12" t="inlineStr">
        <is>
          <t>United States</t>
        </is>
      </c>
      <c r="AL12" s="40" t="inlineStr">
        <is>
          <t>https://casadesignfurniture.com/wp-content/uploads/2023/12/Group-4-1.png</t>
        </is>
      </c>
      <c r="BG12" t="inlineStr">
        <is>
          <t>TV Stand</t>
        </is>
      </c>
      <c r="BH12" t="inlineStr">
        <is>
          <t>No</t>
        </is>
      </c>
      <c r="BI12" t="inlineStr">
        <is>
          <t>Yes</t>
        </is>
      </c>
      <c r="BJ12" t="inlineStr">
        <is>
          <t>2</t>
        </is>
      </c>
      <c r="BK12" t="inlineStr">
        <is>
          <t>Yes</t>
        </is>
      </c>
      <c r="BO12" t="inlineStr">
        <is>
          <t>No</t>
        </is>
      </c>
      <c r="BP12" t="inlineStr">
        <is>
          <t>Cabinet/Enclosed storage</t>
        </is>
      </c>
      <c r="BQ12" t="inlineStr">
        <is>
          <t>Solid + Manufactured Wood</t>
        </is>
      </c>
      <c r="BS12" t="inlineStr">
        <is>
          <t>No Natural Variation</t>
        </is>
      </c>
      <c r="CA12" t="inlineStr">
        <is>
          <t>No</t>
        </is>
      </c>
      <c r="CB12" t="inlineStr">
        <is>
          <t>No</t>
        </is>
      </c>
      <c r="CC12" t="inlineStr">
        <is>
          <t>Yes</t>
        </is>
      </c>
      <c r="CF12" t="inlineStr">
        <is>
          <t>Residential Use</t>
        </is>
      </c>
      <c r="CH12" t="inlineStr">
        <is>
          <t>Does Not Apply</t>
        </is>
      </c>
      <c r="CK12" t="inlineStr">
        <is>
          <t>No</t>
        </is>
      </c>
      <c r="CL12" t="inlineStr">
        <is>
          <t>Standard</t>
        </is>
      </c>
      <c r="CM12" t="inlineStr">
        <is>
          <t>Standard</t>
        </is>
      </c>
      <c r="CN12" t="inlineStr">
        <is>
          <t>1</t>
        </is>
      </c>
      <c r="CO12" t="inlineStr">
        <is>
          <t>Does Not Apply</t>
        </is>
      </c>
      <c r="CP12" t="inlineStr">
        <is>
          <t>Does Not Apply</t>
        </is>
      </c>
      <c r="CQ12" t="inlineStr">
        <is>
          <t>Does Not Apply</t>
        </is>
      </c>
      <c r="CR12" t="inlineStr">
        <is>
          <t>Does Not Apply</t>
        </is>
      </c>
      <c r="CS12" t="inlineStr">
        <is>
          <t>No</t>
        </is>
      </c>
      <c r="CT12" t="inlineStr">
        <is>
          <t>Does Not Apply</t>
        </is>
      </c>
      <c r="CU12" t="inlineStr">
        <is>
          <t>150</t>
        </is>
      </c>
      <c r="CY12" t="inlineStr">
        <is>
          <t>White/Mirrored</t>
        </is>
      </c>
      <c r="DA12" t="inlineStr">
        <is>
          <t>Standard</t>
        </is>
      </c>
      <c r="DB12" t="inlineStr">
        <is>
          <t>Standard</t>
        </is>
      </c>
      <c r="DF12" t="inlineStr">
        <is>
          <t>1</t>
        </is>
      </c>
      <c r="DG12" t="inlineStr">
        <is>
          <t>2</t>
        </is>
      </c>
      <c r="DJ12" t="inlineStr">
        <is>
          <t>No</t>
        </is>
      </c>
      <c r="DK12" t="inlineStr">
        <is>
          <t>Yes</t>
        </is>
      </c>
      <c r="DL12" t="inlineStr">
        <is>
          <t>Yes</t>
        </is>
      </c>
      <c r="DM12" t="inlineStr">
        <is>
          <t>Yes</t>
        </is>
      </c>
      <c r="DN12" t="inlineStr">
        <is>
          <t>Yes</t>
        </is>
      </c>
      <c r="DO12" t="inlineStr">
        <is>
          <t>Yes</t>
        </is>
      </c>
      <c r="DP12" t="inlineStr">
        <is>
          <t>No</t>
        </is>
      </c>
      <c r="DQ12" t="inlineStr">
        <is>
          <t>None</t>
        </is>
      </c>
      <c r="DX12" t="inlineStr">
        <is>
          <t>Yes</t>
        </is>
      </c>
      <c r="DY12" t="inlineStr">
        <is>
          <t>Not Applicable</t>
        </is>
      </c>
      <c r="DZ12" t="inlineStr">
        <is>
          <t>Standard</t>
        </is>
      </c>
      <c r="EA12" t="inlineStr">
        <is>
          <t>Standard</t>
        </is>
      </c>
      <c r="EE12" t="inlineStr">
        <is>
          <t>65</t>
        </is>
      </c>
      <c r="EF12" t="inlineStr">
        <is>
          <t>15</t>
        </is>
      </c>
      <c r="EG12" t="inlineStr">
        <is>
          <t>22</t>
        </is>
      </c>
      <c r="EH12" t="inlineStr">
        <is>
          <t>65</t>
        </is>
      </c>
      <c r="EI12" t="inlineStr">
        <is>
          <t>15</t>
        </is>
      </c>
      <c r="EJ12" t="inlineStr">
        <is>
          <t>80</t>
        </is>
      </c>
      <c r="EK12" t="inlineStr">
        <is>
          <t>75"</t>
        </is>
      </c>
      <c r="EL12" t="inlineStr">
        <is>
          <t>22</t>
        </is>
      </c>
      <c r="EM12" t="inlineStr">
        <is>
          <t>Yes</t>
        </is>
      </c>
      <c r="EN12" t="inlineStr">
        <is>
          <t>Full Assembly Needed</t>
        </is>
      </c>
      <c r="EP12" t="inlineStr">
        <is>
          <t>No</t>
        </is>
      </c>
      <c r="EQ12" t="inlineStr">
        <is>
          <t>Does Not Apply</t>
        </is>
      </c>
    </row>
    <row r="13">
      <c r="B13" t="inlineStr">
        <is>
          <t>CASA-TV-019</t>
        </is>
      </c>
      <c r="D13" t="inlineStr">
        <is>
          <t>Casa Design Furniture</t>
        </is>
      </c>
      <c r="E13" t="inlineStr">
        <is>
          <t>CASA-TV-019</t>
        </is>
      </c>
      <c r="F13" t="inlineStr">
        <is>
          <t>840134100198</t>
        </is>
      </c>
      <c r="G13" t="inlineStr">
        <is>
          <t>#019 TV STAND MIRRORED DIAMONDS</t>
        </is>
      </c>
      <c r="J13" t="inlineStr">
        <is>
          <t>950</t>
        </is>
      </c>
      <c r="M13" t="inlineStr">
        <is>
          <t>The #019 TV STAND MIRRORED DIAMONDS offers a stunning modern design with high-end materials. Perfect for elevating your living space.</t>
        </is>
      </c>
      <c r="N13" t="inlineStr">
        <is>
          <t>Sleek Modern Aesthetic</t>
        </is>
      </c>
      <c r="O13" t="inlineStr">
        <is>
          <t>High-Durability Construction</t>
        </is>
      </c>
      <c r="P13" t="inlineStr">
        <is>
          <t>Easy Assembly with Storage</t>
        </is>
      </c>
      <c r="S13" t="inlineStr">
        <is>
          <t>1</t>
        </is>
      </c>
      <c r="T13" t="inlineStr">
        <is>
          <t>1</t>
        </is>
      </c>
      <c r="U13" t="inlineStr">
        <is>
          <t>1</t>
        </is>
      </c>
      <c r="V13" t="inlineStr">
        <is>
          <t>105</t>
        </is>
      </c>
      <c r="W13" t="inlineStr">
        <is>
          <t>Small Parcel</t>
        </is>
      </c>
      <c r="Y13" t="inlineStr">
        <is>
          <t>4</t>
        </is>
      </c>
      <c r="Z13" t="inlineStr">
        <is>
          <t>7</t>
        </is>
      </c>
      <c r="AD13" t="inlineStr">
        <is>
          <t>117</t>
        </is>
      </c>
      <c r="AE13" t="inlineStr">
        <is>
          <t>24</t>
        </is>
      </c>
      <c r="AF13" t="inlineStr">
        <is>
          <t>80</t>
        </is>
      </c>
      <c r="AG13" t="inlineStr">
        <is>
          <t>22</t>
        </is>
      </c>
      <c r="AH13" t="inlineStr">
        <is>
          <t>No</t>
        </is>
      </c>
      <c r="AK13" t="inlineStr">
        <is>
          <t>United States</t>
        </is>
      </c>
      <c r="AL13" s="40" t="inlineStr">
        <is>
          <t>https://casadesignfurniture.com/wp-content/uploads/2023/12/Group-4-1.png</t>
        </is>
      </c>
      <c r="BG13" t="inlineStr">
        <is>
          <t>TV Stand</t>
        </is>
      </c>
      <c r="BH13" t="inlineStr">
        <is>
          <t>No</t>
        </is>
      </c>
      <c r="BI13" t="inlineStr">
        <is>
          <t>Yes</t>
        </is>
      </c>
      <c r="BJ13" t="inlineStr">
        <is>
          <t>2</t>
        </is>
      </c>
      <c r="BK13" t="inlineStr">
        <is>
          <t>Yes</t>
        </is>
      </c>
      <c r="BO13" t="inlineStr">
        <is>
          <t>No</t>
        </is>
      </c>
      <c r="BP13" t="inlineStr">
        <is>
          <t>Cabinet/Enclosed storage</t>
        </is>
      </c>
      <c r="BQ13" t="inlineStr">
        <is>
          <t>Solid + Manufactured Wood</t>
        </is>
      </c>
      <c r="BS13" t="inlineStr">
        <is>
          <t>No Natural Variation</t>
        </is>
      </c>
      <c r="CA13" t="inlineStr">
        <is>
          <t>No</t>
        </is>
      </c>
      <c r="CB13" t="inlineStr">
        <is>
          <t>No</t>
        </is>
      </c>
      <c r="CC13" t="inlineStr">
        <is>
          <t>Yes</t>
        </is>
      </c>
      <c r="CF13" t="inlineStr">
        <is>
          <t>Residential Use</t>
        </is>
      </c>
      <c r="CH13" t="inlineStr">
        <is>
          <t>Does Not Apply</t>
        </is>
      </c>
      <c r="CK13" t="inlineStr">
        <is>
          <t>No</t>
        </is>
      </c>
      <c r="CL13" t="inlineStr">
        <is>
          <t>Standard</t>
        </is>
      </c>
      <c r="CM13" t="inlineStr">
        <is>
          <t>Standard</t>
        </is>
      </c>
      <c r="CN13" t="inlineStr">
        <is>
          <t>1</t>
        </is>
      </c>
      <c r="CO13" t="inlineStr">
        <is>
          <t>Does Not Apply</t>
        </is>
      </c>
      <c r="CP13" t="inlineStr">
        <is>
          <t>Does Not Apply</t>
        </is>
      </c>
      <c r="CQ13" t="inlineStr">
        <is>
          <t>Does Not Apply</t>
        </is>
      </c>
      <c r="CR13" t="inlineStr">
        <is>
          <t>Does Not Apply</t>
        </is>
      </c>
      <c r="CS13" t="inlineStr">
        <is>
          <t>No</t>
        </is>
      </c>
      <c r="CT13" t="inlineStr">
        <is>
          <t>Does Not Apply</t>
        </is>
      </c>
      <c r="CU13" t="inlineStr">
        <is>
          <t>150</t>
        </is>
      </c>
      <c r="CY13" t="inlineStr">
        <is>
          <t>White/Mirrored</t>
        </is>
      </c>
      <c r="DA13" t="inlineStr">
        <is>
          <t>Standard</t>
        </is>
      </c>
      <c r="DB13" t="inlineStr">
        <is>
          <t>Standard</t>
        </is>
      </c>
      <c r="DF13" t="inlineStr">
        <is>
          <t>1</t>
        </is>
      </c>
      <c r="DG13" t="inlineStr">
        <is>
          <t>2</t>
        </is>
      </c>
      <c r="DJ13" t="inlineStr">
        <is>
          <t>No</t>
        </is>
      </c>
      <c r="DK13" t="inlineStr">
        <is>
          <t>Yes</t>
        </is>
      </c>
      <c r="DL13" t="inlineStr">
        <is>
          <t>Yes</t>
        </is>
      </c>
      <c r="DM13" t="inlineStr">
        <is>
          <t>Yes</t>
        </is>
      </c>
      <c r="DN13" t="inlineStr">
        <is>
          <t>Yes</t>
        </is>
      </c>
      <c r="DO13" t="inlineStr">
        <is>
          <t>Yes</t>
        </is>
      </c>
      <c r="DP13" t="inlineStr">
        <is>
          <t>No</t>
        </is>
      </c>
      <c r="DQ13" t="inlineStr">
        <is>
          <t>None</t>
        </is>
      </c>
      <c r="DX13" t="inlineStr">
        <is>
          <t>Yes</t>
        </is>
      </c>
      <c r="DY13" t="inlineStr">
        <is>
          <t>Not Applicable</t>
        </is>
      </c>
      <c r="DZ13" t="inlineStr">
        <is>
          <t>Standard</t>
        </is>
      </c>
      <c r="EA13" t="inlineStr">
        <is>
          <t>Standard</t>
        </is>
      </c>
      <c r="EE13" t="inlineStr">
        <is>
          <t>75</t>
        </is>
      </c>
      <c r="EF13" t="inlineStr">
        <is>
          <t>17</t>
        </is>
      </c>
      <c r="EG13" t="inlineStr">
        <is>
          <t>19</t>
        </is>
      </c>
      <c r="EH13" t="inlineStr">
        <is>
          <t>75</t>
        </is>
      </c>
      <c r="EI13" t="inlineStr">
        <is>
          <t>17</t>
        </is>
      </c>
      <c r="EJ13" t="inlineStr">
        <is>
          <t>105</t>
        </is>
      </c>
      <c r="EK13" t="inlineStr">
        <is>
          <t>75"</t>
        </is>
      </c>
      <c r="EL13" t="inlineStr">
        <is>
          <t>19</t>
        </is>
      </c>
      <c r="EM13" t="inlineStr">
        <is>
          <t>Yes</t>
        </is>
      </c>
      <c r="EN13" t="inlineStr">
        <is>
          <t>Full Assembly Needed</t>
        </is>
      </c>
      <c r="EP13" t="inlineStr">
        <is>
          <t>No</t>
        </is>
      </c>
      <c r="EQ13" t="inlineStr">
        <is>
          <t>Does Not Apply</t>
        </is>
      </c>
    </row>
    <row r="14">
      <c r="B14" t="inlineStr">
        <is>
          <t>CASA-TV-020</t>
        </is>
      </c>
      <c r="D14" t="inlineStr">
        <is>
          <t>Casa Design Furniture</t>
        </is>
      </c>
      <c r="E14" t="inlineStr">
        <is>
          <t>CASA-TV-020</t>
        </is>
      </c>
      <c r="F14" t="inlineStr">
        <is>
          <t>840134100204</t>
        </is>
      </c>
      <c r="G14" t="inlineStr">
        <is>
          <t>#020 TV STAND ELECTRIC FIREPLACE</t>
        </is>
      </c>
      <c r="J14" t="inlineStr">
        <is>
          <t>1100</t>
        </is>
      </c>
      <c r="M14" t="inlineStr">
        <is>
          <t>The #020 TV STAND ELECTRIC FIREPLACE offers a stunning modern design with high-end materials. Perfect for elevating your living space.</t>
        </is>
      </c>
      <c r="N14" t="inlineStr">
        <is>
          <t>Sleek Modern Aesthetic</t>
        </is>
      </c>
      <c r="O14" t="inlineStr">
        <is>
          <t>High-Durability Construction</t>
        </is>
      </c>
      <c r="P14" t="inlineStr">
        <is>
          <t>Easy Assembly with Storage</t>
        </is>
      </c>
      <c r="S14" t="inlineStr">
        <is>
          <t>1</t>
        </is>
      </c>
      <c r="T14" t="inlineStr">
        <is>
          <t>1</t>
        </is>
      </c>
      <c r="U14" t="inlineStr">
        <is>
          <t>1</t>
        </is>
      </c>
      <c r="V14" t="inlineStr">
        <is>
          <t>120</t>
        </is>
      </c>
      <c r="W14" t="inlineStr">
        <is>
          <t>Small Parcel</t>
        </is>
      </c>
      <c r="Y14" t="inlineStr">
        <is>
          <t>4</t>
        </is>
      </c>
      <c r="Z14" t="inlineStr">
        <is>
          <t>7</t>
        </is>
      </c>
      <c r="AD14" t="inlineStr">
        <is>
          <t>132</t>
        </is>
      </c>
      <c r="AE14" t="inlineStr">
        <is>
          <t>48</t>
        </is>
      </c>
      <c r="AF14" t="inlineStr">
        <is>
          <t>88</t>
        </is>
      </c>
      <c r="AG14" t="inlineStr">
        <is>
          <t>44</t>
        </is>
      </c>
      <c r="AH14" t="inlineStr">
        <is>
          <t>No</t>
        </is>
      </c>
      <c r="AK14" t="inlineStr">
        <is>
          <t>United States</t>
        </is>
      </c>
      <c r="AL14" s="40" t="inlineStr">
        <is>
          <t>https://casadesignfurniture.com/wp-content/uploads/2023/07/dearborn.jpg</t>
        </is>
      </c>
      <c r="BG14" t="inlineStr">
        <is>
          <t>TV Stand</t>
        </is>
      </c>
      <c r="BH14" t="inlineStr">
        <is>
          <t>No</t>
        </is>
      </c>
      <c r="BI14" t="inlineStr">
        <is>
          <t>Yes</t>
        </is>
      </c>
      <c r="BJ14" t="inlineStr">
        <is>
          <t>2</t>
        </is>
      </c>
      <c r="BK14" t="inlineStr">
        <is>
          <t>Yes</t>
        </is>
      </c>
      <c r="BO14" t="inlineStr">
        <is>
          <t>No</t>
        </is>
      </c>
      <c r="BP14" t="inlineStr">
        <is>
          <t>Cabinet/Enclosed storage</t>
        </is>
      </c>
      <c r="BQ14" t="inlineStr">
        <is>
          <t>Solid + Manufactured Wood</t>
        </is>
      </c>
      <c r="BS14" t="inlineStr">
        <is>
          <t>No Natural Variation</t>
        </is>
      </c>
      <c r="CA14" t="inlineStr">
        <is>
          <t>Yes</t>
        </is>
      </c>
      <c r="CB14" t="inlineStr">
        <is>
          <t>Yes</t>
        </is>
      </c>
      <c r="CC14" t="inlineStr">
        <is>
          <t>Yes</t>
        </is>
      </c>
      <c r="CF14" t="inlineStr">
        <is>
          <t>Residential Use</t>
        </is>
      </c>
      <c r="CH14" t="inlineStr">
        <is>
          <t>Does Not Apply</t>
        </is>
      </c>
      <c r="CK14" t="inlineStr">
        <is>
          <t>No</t>
        </is>
      </c>
      <c r="CL14" t="inlineStr">
        <is>
          <t>Standard</t>
        </is>
      </c>
      <c r="CM14" t="inlineStr">
        <is>
          <t>Standard</t>
        </is>
      </c>
      <c r="CN14" t="inlineStr">
        <is>
          <t>1</t>
        </is>
      </c>
      <c r="CO14" t="inlineStr">
        <is>
          <t>Does Not Apply</t>
        </is>
      </c>
      <c r="CP14" t="inlineStr">
        <is>
          <t>Does Not Apply</t>
        </is>
      </c>
      <c r="CQ14" t="inlineStr">
        <is>
          <t>Does Not Apply</t>
        </is>
      </c>
      <c r="CR14" t="inlineStr">
        <is>
          <t>Does Not Apply</t>
        </is>
      </c>
      <c r="CU14" t="inlineStr">
        <is>
          <t>150</t>
        </is>
      </c>
      <c r="CY14" t="inlineStr">
        <is>
          <t>White/Mirrored</t>
        </is>
      </c>
      <c r="DA14" t="inlineStr">
        <is>
          <t>Vent Free</t>
        </is>
      </c>
      <c r="DB14" t="inlineStr">
        <is>
          <t>Electric</t>
        </is>
      </c>
      <c r="DF14" t="inlineStr">
        <is>
          <t>1</t>
        </is>
      </c>
      <c r="DG14" t="inlineStr">
        <is>
          <t>2</t>
        </is>
      </c>
      <c r="DJ14" t="inlineStr">
        <is>
          <t>No</t>
        </is>
      </c>
      <c r="DK14" t="inlineStr">
        <is>
          <t>Yes</t>
        </is>
      </c>
      <c r="DL14" t="inlineStr">
        <is>
          <t>Yes</t>
        </is>
      </c>
      <c r="DM14" t="inlineStr">
        <is>
          <t>Yes</t>
        </is>
      </c>
      <c r="DN14" t="inlineStr">
        <is>
          <t>Yes</t>
        </is>
      </c>
      <c r="DO14" t="inlineStr">
        <is>
          <t>Yes</t>
        </is>
      </c>
      <c r="DP14" t="inlineStr">
        <is>
          <t>No</t>
        </is>
      </c>
      <c r="DQ14" t="inlineStr">
        <is>
          <t>None</t>
        </is>
      </c>
      <c r="DX14" t="inlineStr">
        <is>
          <t>Yes</t>
        </is>
      </c>
      <c r="DY14" t="inlineStr">
        <is>
          <t>Not Applicable</t>
        </is>
      </c>
      <c r="DZ14" t="inlineStr">
        <is>
          <t>Standard</t>
        </is>
      </c>
      <c r="EA14" t="inlineStr">
        <is>
          <t>Standard</t>
        </is>
      </c>
      <c r="EE14" t="inlineStr">
        <is>
          <t>83</t>
        </is>
      </c>
      <c r="EF14" t="inlineStr">
        <is>
          <t>39</t>
        </is>
      </c>
      <c r="EG14" t="inlineStr">
        <is>
          <t>43</t>
        </is>
      </c>
      <c r="EH14" t="inlineStr">
        <is>
          <t>83</t>
        </is>
      </c>
      <c r="EI14" t="inlineStr">
        <is>
          <t>39</t>
        </is>
      </c>
      <c r="EJ14" t="inlineStr">
        <is>
          <t>120</t>
        </is>
      </c>
      <c r="EK14" t="inlineStr">
        <is>
          <t>75"</t>
        </is>
      </c>
      <c r="EL14" t="inlineStr">
        <is>
          <t>43</t>
        </is>
      </c>
      <c r="EM14" t="inlineStr">
        <is>
          <t>Yes</t>
        </is>
      </c>
      <c r="EN14" t="inlineStr">
        <is>
          <t>Full Assembly Needed</t>
        </is>
      </c>
      <c r="EP14" t="inlineStr">
        <is>
          <t>No</t>
        </is>
      </c>
      <c r="EQ14" t="inlineStr">
        <is>
          <t>Does Not Apply</t>
        </is>
      </c>
    </row>
    <row r="15">
      <c r="B15" t="inlineStr">
        <is>
          <t>CASA-TV-023</t>
        </is>
      </c>
      <c r="D15" t="inlineStr">
        <is>
          <t>Casa Design Furniture</t>
        </is>
      </c>
      <c r="E15" t="inlineStr">
        <is>
          <t>CASA-TV-023</t>
        </is>
      </c>
      <c r="F15" t="inlineStr">
        <is>
          <t>840134100235</t>
        </is>
      </c>
      <c r="G15" t="inlineStr">
        <is>
          <t>#023 AMRITA TV STAND</t>
        </is>
      </c>
      <c r="J15" t="inlineStr">
        <is>
          <t>590</t>
        </is>
      </c>
      <c r="M15" t="inlineStr">
        <is>
          <t>The #023 AMRITA TV STAND offers a stunning modern design with high-end materials. Perfect for elevating your living space.</t>
        </is>
      </c>
      <c r="N15" t="inlineStr">
        <is>
          <t>Sleek Modern Aesthetic</t>
        </is>
      </c>
      <c r="O15" t="inlineStr">
        <is>
          <t>High-Durability Construction</t>
        </is>
      </c>
      <c r="P15" t="inlineStr">
        <is>
          <t>Easy Assembly with Storage</t>
        </is>
      </c>
      <c r="S15" t="inlineStr">
        <is>
          <t>1</t>
        </is>
      </c>
      <c r="T15" t="inlineStr">
        <is>
          <t>1</t>
        </is>
      </c>
      <c r="U15" t="inlineStr">
        <is>
          <t>1</t>
        </is>
      </c>
      <c r="V15" t="inlineStr">
        <is>
          <t>70</t>
        </is>
      </c>
      <c r="W15" t="inlineStr">
        <is>
          <t>Small Parcel</t>
        </is>
      </c>
      <c r="Y15" t="inlineStr">
        <is>
          <t>4</t>
        </is>
      </c>
      <c r="Z15" t="inlineStr">
        <is>
          <t>7</t>
        </is>
      </c>
      <c r="AD15" t="inlineStr">
        <is>
          <t>82</t>
        </is>
      </c>
      <c r="AE15" t="inlineStr">
        <is>
          <t>29</t>
        </is>
      </c>
      <c r="AF15" t="inlineStr">
        <is>
          <t>65</t>
        </is>
      </c>
      <c r="AG15" t="inlineStr">
        <is>
          <t>21</t>
        </is>
      </c>
      <c r="AH15" t="inlineStr">
        <is>
          <t>No</t>
        </is>
      </c>
      <c r="AK15" t="inlineStr">
        <is>
          <t>United States</t>
        </is>
      </c>
      <c r="AL15" s="40" t="inlineStr">
        <is>
          <t>https://casadesignfurniture.com/wp-content/uploads/2023/12/Group-4-1.png</t>
        </is>
      </c>
      <c r="BG15" t="inlineStr">
        <is>
          <t>TV Stand</t>
        </is>
      </c>
      <c r="BH15" t="inlineStr">
        <is>
          <t>No</t>
        </is>
      </c>
      <c r="BI15" t="inlineStr">
        <is>
          <t>Yes</t>
        </is>
      </c>
      <c r="BJ15" t="inlineStr">
        <is>
          <t>2</t>
        </is>
      </c>
      <c r="BK15" t="inlineStr">
        <is>
          <t>Yes</t>
        </is>
      </c>
      <c r="BO15" t="inlineStr">
        <is>
          <t>No</t>
        </is>
      </c>
      <c r="BP15" t="inlineStr">
        <is>
          <t>Cabinet/Enclosed storage</t>
        </is>
      </c>
      <c r="BQ15" t="inlineStr">
        <is>
          <t>Solid + Manufactured Wood</t>
        </is>
      </c>
      <c r="BS15" t="inlineStr">
        <is>
          <t>No Natural Variation</t>
        </is>
      </c>
      <c r="CA15" t="inlineStr">
        <is>
          <t>No</t>
        </is>
      </c>
      <c r="CB15" t="inlineStr">
        <is>
          <t>No</t>
        </is>
      </c>
      <c r="CC15" t="inlineStr">
        <is>
          <t>Yes</t>
        </is>
      </c>
      <c r="CF15" t="inlineStr">
        <is>
          <t>Residential Use</t>
        </is>
      </c>
      <c r="CH15" t="inlineStr">
        <is>
          <t>Does Not Apply</t>
        </is>
      </c>
      <c r="CK15" t="inlineStr">
        <is>
          <t>No</t>
        </is>
      </c>
      <c r="CL15" t="inlineStr">
        <is>
          <t>Standard</t>
        </is>
      </c>
      <c r="CM15" t="inlineStr">
        <is>
          <t>Standard</t>
        </is>
      </c>
      <c r="CN15" t="inlineStr">
        <is>
          <t>1</t>
        </is>
      </c>
      <c r="CO15" t="inlineStr">
        <is>
          <t>Does Not Apply</t>
        </is>
      </c>
      <c r="CP15" t="inlineStr">
        <is>
          <t>Does Not Apply</t>
        </is>
      </c>
      <c r="CQ15" t="inlineStr">
        <is>
          <t>Does Not Apply</t>
        </is>
      </c>
      <c r="CR15" t="inlineStr">
        <is>
          <t>Does Not Apply</t>
        </is>
      </c>
      <c r="CS15" t="inlineStr">
        <is>
          <t>No</t>
        </is>
      </c>
      <c r="CT15" t="inlineStr">
        <is>
          <t>Does Not Apply</t>
        </is>
      </c>
      <c r="CU15" t="inlineStr">
        <is>
          <t>150</t>
        </is>
      </c>
      <c r="CY15" t="inlineStr">
        <is>
          <t>White/Mirrored</t>
        </is>
      </c>
      <c r="DA15" t="inlineStr">
        <is>
          <t>Standard</t>
        </is>
      </c>
      <c r="DB15" t="inlineStr">
        <is>
          <t>Standard</t>
        </is>
      </c>
      <c r="DF15" t="inlineStr">
        <is>
          <t>1</t>
        </is>
      </c>
      <c r="DG15" t="inlineStr">
        <is>
          <t>2</t>
        </is>
      </c>
      <c r="DJ15" t="inlineStr">
        <is>
          <t>No</t>
        </is>
      </c>
      <c r="DK15" t="inlineStr">
        <is>
          <t>Yes</t>
        </is>
      </c>
      <c r="DL15" t="inlineStr">
        <is>
          <t>Yes</t>
        </is>
      </c>
      <c r="DM15" t="inlineStr">
        <is>
          <t>Yes</t>
        </is>
      </c>
      <c r="DN15" t="inlineStr">
        <is>
          <t>Yes</t>
        </is>
      </c>
      <c r="DO15" t="inlineStr">
        <is>
          <t>Yes</t>
        </is>
      </c>
      <c r="DP15" t="inlineStr">
        <is>
          <t>No</t>
        </is>
      </c>
      <c r="DQ15" t="inlineStr">
        <is>
          <t>None</t>
        </is>
      </c>
      <c r="DX15" t="inlineStr">
        <is>
          <t>Yes</t>
        </is>
      </c>
      <c r="DY15" t="inlineStr">
        <is>
          <t>Not Applicable</t>
        </is>
      </c>
      <c r="DZ15" t="inlineStr">
        <is>
          <t>Standard</t>
        </is>
      </c>
      <c r="EA15" t="inlineStr">
        <is>
          <t>Standard</t>
        </is>
      </c>
      <c r="EE15" t="inlineStr">
        <is>
          <t>60</t>
        </is>
      </c>
      <c r="EF15" t="inlineStr">
        <is>
          <t>16</t>
        </is>
      </c>
      <c r="EG15" t="inlineStr">
        <is>
          <t>24</t>
        </is>
      </c>
      <c r="EH15" t="inlineStr">
        <is>
          <t>60</t>
        </is>
      </c>
      <c r="EI15" t="inlineStr">
        <is>
          <t>16</t>
        </is>
      </c>
      <c r="EJ15" t="inlineStr">
        <is>
          <t>70</t>
        </is>
      </c>
      <c r="EK15" t="inlineStr">
        <is>
          <t>75"</t>
        </is>
      </c>
      <c r="EL15" t="inlineStr">
        <is>
          <t>24</t>
        </is>
      </c>
      <c r="EM15" t="inlineStr">
        <is>
          <t>Yes</t>
        </is>
      </c>
      <c r="EN15" t="inlineStr">
        <is>
          <t>Full Assembly Needed</t>
        </is>
      </c>
      <c r="EP15" t="inlineStr">
        <is>
          <t>No</t>
        </is>
      </c>
      <c r="EQ15" t="inlineStr">
        <is>
          <t>Does Not Apply</t>
        </is>
      </c>
    </row>
    <row r="16">
      <c r="B16" t="inlineStr">
        <is>
          <t>CASA-TV-025</t>
        </is>
      </c>
      <c r="D16" t="inlineStr">
        <is>
          <t>Casa Design Furniture</t>
        </is>
      </c>
      <c r="E16" t="inlineStr">
        <is>
          <t>CASA-TV-025</t>
        </is>
      </c>
      <c r="F16" t="inlineStr">
        <is>
          <t>840134100259</t>
        </is>
      </c>
      <c r="G16" t="inlineStr">
        <is>
          <t>#025 AFONSO TV STAND FIREPLACE</t>
        </is>
      </c>
      <c r="J16" t="inlineStr">
        <is>
          <t>1250</t>
        </is>
      </c>
      <c r="M16" t="inlineStr">
        <is>
          <t>The #025 AFONSO TV STAND FIREPLACE offers a stunning modern design with high-end materials. Perfect for elevating your living space.</t>
        </is>
      </c>
      <c r="N16" t="inlineStr">
        <is>
          <t>Sleek Modern Aesthetic</t>
        </is>
      </c>
      <c r="O16" t="inlineStr">
        <is>
          <t>High-Durability Construction</t>
        </is>
      </c>
      <c r="P16" t="inlineStr">
        <is>
          <t>Easy Assembly with Storage</t>
        </is>
      </c>
      <c r="S16" t="inlineStr">
        <is>
          <t>1</t>
        </is>
      </c>
      <c r="T16" t="inlineStr">
        <is>
          <t>1</t>
        </is>
      </c>
      <c r="U16" t="inlineStr">
        <is>
          <t>1</t>
        </is>
      </c>
      <c r="V16" t="inlineStr">
        <is>
          <t>115</t>
        </is>
      </c>
      <c r="W16" t="inlineStr">
        <is>
          <t>Small Parcel</t>
        </is>
      </c>
      <c r="Y16" t="inlineStr">
        <is>
          <t>4</t>
        </is>
      </c>
      <c r="Z16" t="inlineStr">
        <is>
          <t>7</t>
        </is>
      </c>
      <c r="AD16" t="inlineStr">
        <is>
          <t>127</t>
        </is>
      </c>
      <c r="AE16" t="inlineStr">
        <is>
          <t>25</t>
        </is>
      </c>
      <c r="AF16" t="inlineStr">
        <is>
          <t>83</t>
        </is>
      </c>
      <c r="AG16" t="inlineStr">
        <is>
          <t>23</t>
        </is>
      </c>
      <c r="AH16" t="inlineStr">
        <is>
          <t>No</t>
        </is>
      </c>
      <c r="AK16" t="inlineStr">
        <is>
          <t>United States</t>
        </is>
      </c>
      <c r="AL16" s="40" t="inlineStr">
        <is>
          <t>https://casadesignfurniture.com/wp-content/uploads/2023/12/Group-4-1.png</t>
        </is>
      </c>
      <c r="BG16" t="inlineStr">
        <is>
          <t>TV Stand</t>
        </is>
      </c>
      <c r="BH16" t="inlineStr">
        <is>
          <t>No</t>
        </is>
      </c>
      <c r="BI16" t="inlineStr">
        <is>
          <t>Yes</t>
        </is>
      </c>
      <c r="BJ16" t="inlineStr">
        <is>
          <t>2</t>
        </is>
      </c>
      <c r="BK16" t="inlineStr">
        <is>
          <t>Yes</t>
        </is>
      </c>
      <c r="BO16" t="inlineStr">
        <is>
          <t>No</t>
        </is>
      </c>
      <c r="BP16" t="inlineStr">
        <is>
          <t>Cabinet/Enclosed storage</t>
        </is>
      </c>
      <c r="BQ16" t="inlineStr">
        <is>
          <t>Solid + Manufactured Wood</t>
        </is>
      </c>
      <c r="BS16" t="inlineStr">
        <is>
          <t>No Natural Variation</t>
        </is>
      </c>
      <c r="CA16" t="inlineStr">
        <is>
          <t>Yes</t>
        </is>
      </c>
      <c r="CB16" t="inlineStr">
        <is>
          <t>Yes</t>
        </is>
      </c>
      <c r="CC16" t="inlineStr">
        <is>
          <t>Yes</t>
        </is>
      </c>
      <c r="CF16" t="inlineStr">
        <is>
          <t>Residential Use</t>
        </is>
      </c>
      <c r="CH16" t="inlineStr">
        <is>
          <t>Does Not Apply</t>
        </is>
      </c>
      <c r="CK16" t="inlineStr">
        <is>
          <t>No</t>
        </is>
      </c>
      <c r="CL16" t="inlineStr">
        <is>
          <t>Standard</t>
        </is>
      </c>
      <c r="CM16" t="inlineStr">
        <is>
          <t>Standard</t>
        </is>
      </c>
      <c r="CN16" t="inlineStr">
        <is>
          <t>1</t>
        </is>
      </c>
      <c r="CO16" t="inlineStr">
        <is>
          <t>Does Not Apply</t>
        </is>
      </c>
      <c r="CP16" t="inlineStr">
        <is>
          <t>Does Not Apply</t>
        </is>
      </c>
      <c r="CQ16" t="inlineStr">
        <is>
          <t>Does Not Apply</t>
        </is>
      </c>
      <c r="CR16" t="inlineStr">
        <is>
          <t>Does Not Apply</t>
        </is>
      </c>
      <c r="CU16" t="inlineStr">
        <is>
          <t>150</t>
        </is>
      </c>
      <c r="CY16" t="inlineStr">
        <is>
          <t>White/Mirrored</t>
        </is>
      </c>
      <c r="DA16" t="inlineStr">
        <is>
          <t>Vent Free</t>
        </is>
      </c>
      <c r="DB16" t="inlineStr">
        <is>
          <t>Electric</t>
        </is>
      </c>
      <c r="DF16" t="inlineStr">
        <is>
          <t>1</t>
        </is>
      </c>
      <c r="DG16" t="inlineStr">
        <is>
          <t>2</t>
        </is>
      </c>
      <c r="DJ16" t="inlineStr">
        <is>
          <t>No</t>
        </is>
      </c>
      <c r="DK16" t="inlineStr">
        <is>
          <t>Yes</t>
        </is>
      </c>
      <c r="DL16" t="inlineStr">
        <is>
          <t>Yes</t>
        </is>
      </c>
      <c r="DM16" t="inlineStr">
        <is>
          <t>Yes</t>
        </is>
      </c>
      <c r="DN16" t="inlineStr">
        <is>
          <t>Yes</t>
        </is>
      </c>
      <c r="DO16" t="inlineStr">
        <is>
          <t>Yes</t>
        </is>
      </c>
      <c r="DP16" t="inlineStr">
        <is>
          <t>No</t>
        </is>
      </c>
      <c r="DQ16" t="inlineStr">
        <is>
          <t>None</t>
        </is>
      </c>
      <c r="DX16" t="inlineStr">
        <is>
          <t>Yes</t>
        </is>
      </c>
      <c r="DY16" t="inlineStr">
        <is>
          <t>Not Applicable</t>
        </is>
      </c>
      <c r="DZ16" t="inlineStr">
        <is>
          <t>Standard</t>
        </is>
      </c>
      <c r="EA16" t="inlineStr">
        <is>
          <t>Standard</t>
        </is>
      </c>
      <c r="EE16" t="inlineStr">
        <is>
          <t>78</t>
        </is>
      </c>
      <c r="EF16" t="inlineStr">
        <is>
          <t>18</t>
        </is>
      </c>
      <c r="EG16" t="inlineStr">
        <is>
          <t>20</t>
        </is>
      </c>
      <c r="EH16" t="inlineStr">
        <is>
          <t>78</t>
        </is>
      </c>
      <c r="EI16" t="inlineStr">
        <is>
          <t>18</t>
        </is>
      </c>
      <c r="EJ16" t="inlineStr">
        <is>
          <t>115</t>
        </is>
      </c>
      <c r="EK16" t="inlineStr">
        <is>
          <t>75"</t>
        </is>
      </c>
      <c r="EL16" t="inlineStr">
        <is>
          <t>20</t>
        </is>
      </c>
      <c r="EM16" t="inlineStr">
        <is>
          <t>Yes</t>
        </is>
      </c>
      <c r="EN16" t="inlineStr">
        <is>
          <t>Full Assembly Needed</t>
        </is>
      </c>
      <c r="EP16" t="inlineStr">
        <is>
          <t>No</t>
        </is>
      </c>
      <c r="EQ16" t="inlineStr">
        <is>
          <t>Does Not Apply</t>
        </is>
      </c>
    </row>
    <row r="17">
      <c r="B17" t="inlineStr">
        <is>
          <t>CASA-TV-V18-501</t>
        </is>
      </c>
      <c r="D17" t="inlineStr">
        <is>
          <t>Casa Design Furniture</t>
        </is>
      </c>
      <c r="E17" t="inlineStr">
        <is>
          <t>CASA-TV-V18-501</t>
        </is>
      </c>
      <c r="F17" t="inlineStr">
        <is>
          <t>840134100531</t>
        </is>
      </c>
      <c r="G17" t="inlineStr">
        <is>
          <t>Elite Modern TV Console V18-501</t>
        </is>
      </c>
      <c r="J17" t="inlineStr">
        <is>
          <t>720</t>
        </is>
      </c>
      <c r="M17" t="inlineStr">
        <is>
          <t>The Elite Contemporary TV Unit Model 701 offers a stunning modern design with high-end materials. Perfect for elevating your living space.</t>
        </is>
      </c>
      <c r="N17" t="inlineStr">
        <is>
          <t>Sleek Modern Aesthetic</t>
        </is>
      </c>
      <c r="O17" t="inlineStr">
        <is>
          <t>High-Durability Construction</t>
        </is>
      </c>
      <c r="P17" t="inlineStr">
        <is>
          <t>Easy Assembly with Storage</t>
        </is>
      </c>
      <c r="S17" t="inlineStr">
        <is>
          <t>1</t>
        </is>
      </c>
      <c r="T17" t="inlineStr">
        <is>
          <t>1</t>
        </is>
      </c>
      <c r="U17" t="inlineStr">
        <is>
          <t>1</t>
        </is>
      </c>
      <c r="V17" t="inlineStr">
        <is>
          <t>90</t>
        </is>
      </c>
      <c r="W17" t="inlineStr">
        <is>
          <t>Small Parcel</t>
        </is>
      </c>
      <c r="Y17" t="inlineStr">
        <is>
          <t>4</t>
        </is>
      </c>
      <c r="Z17" t="inlineStr">
        <is>
          <t>7</t>
        </is>
      </c>
      <c r="AD17" t="inlineStr">
        <is>
          <t>102</t>
        </is>
      </c>
      <c r="AE17" t="inlineStr">
        <is>
          <t>28</t>
        </is>
      </c>
      <c r="AF17" t="inlineStr">
        <is>
          <t>73</t>
        </is>
      </c>
      <c r="AG17" t="inlineStr">
        <is>
          <t>21</t>
        </is>
      </c>
      <c r="AH17" t="inlineStr">
        <is>
          <t>No</t>
        </is>
      </c>
      <c r="AK17" t="inlineStr">
        <is>
          <t>United States</t>
        </is>
      </c>
      <c r="AL17" s="40" t="inlineStr">
        <is>
          <t>https://casadesignfurniture.com/wp-content/uploads/2023/12/Group-4-1.png</t>
        </is>
      </c>
      <c r="BG17" t="inlineStr">
        <is>
          <t>TV Stand</t>
        </is>
      </c>
      <c r="BH17" t="inlineStr">
        <is>
          <t>No</t>
        </is>
      </c>
      <c r="BI17" t="inlineStr">
        <is>
          <t>Yes</t>
        </is>
      </c>
      <c r="BJ17" t="inlineStr">
        <is>
          <t>2</t>
        </is>
      </c>
      <c r="BK17" t="inlineStr">
        <is>
          <t>Yes</t>
        </is>
      </c>
      <c r="BO17" t="inlineStr">
        <is>
          <t>No</t>
        </is>
      </c>
      <c r="BP17" t="inlineStr">
        <is>
          <t>Cabinet/Enclosed storage</t>
        </is>
      </c>
      <c r="BQ17" t="inlineStr">
        <is>
          <t>Solid + Manufactured Wood</t>
        </is>
      </c>
      <c r="BS17" t="inlineStr">
        <is>
          <t>No Natural Variation</t>
        </is>
      </c>
      <c r="CA17" t="inlineStr">
        <is>
          <t>No</t>
        </is>
      </c>
      <c r="CB17" t="inlineStr">
        <is>
          <t>No</t>
        </is>
      </c>
      <c r="CC17" t="inlineStr">
        <is>
          <t>Yes</t>
        </is>
      </c>
      <c r="CF17" t="inlineStr">
        <is>
          <t>Residential Use</t>
        </is>
      </c>
      <c r="CH17" t="inlineStr">
        <is>
          <t>Does Not Apply</t>
        </is>
      </c>
      <c r="CK17" t="inlineStr">
        <is>
          <t>No</t>
        </is>
      </c>
      <c r="CL17" t="inlineStr">
        <is>
          <t>Standard</t>
        </is>
      </c>
      <c r="CM17" t="inlineStr">
        <is>
          <t>Standard</t>
        </is>
      </c>
      <c r="CN17" t="inlineStr">
        <is>
          <t>1</t>
        </is>
      </c>
      <c r="CO17" t="inlineStr">
        <is>
          <t>Does Not Apply</t>
        </is>
      </c>
      <c r="CP17" t="inlineStr">
        <is>
          <t>Does Not Apply</t>
        </is>
      </c>
      <c r="CQ17" t="inlineStr">
        <is>
          <t>Does Not Apply</t>
        </is>
      </c>
      <c r="CR17" t="inlineStr">
        <is>
          <t>Does Not Apply</t>
        </is>
      </c>
      <c r="CS17" t="inlineStr">
        <is>
          <t>No</t>
        </is>
      </c>
      <c r="CT17" t="inlineStr">
        <is>
          <t>Does Not Apply</t>
        </is>
      </c>
      <c r="CU17" t="inlineStr">
        <is>
          <t>150</t>
        </is>
      </c>
      <c r="CY17" t="inlineStr">
        <is>
          <t>White/Mirrored</t>
        </is>
      </c>
      <c r="DA17" t="inlineStr">
        <is>
          <t>Standard</t>
        </is>
      </c>
      <c r="DB17" t="inlineStr">
        <is>
          <t>Standard</t>
        </is>
      </c>
      <c r="DF17" t="inlineStr">
        <is>
          <t>1</t>
        </is>
      </c>
      <c r="DG17" t="inlineStr">
        <is>
          <t>2</t>
        </is>
      </c>
      <c r="DJ17" t="inlineStr">
        <is>
          <t>No</t>
        </is>
      </c>
      <c r="DK17" t="inlineStr">
        <is>
          <t>Yes</t>
        </is>
      </c>
      <c r="DL17" t="inlineStr">
        <is>
          <t>Yes</t>
        </is>
      </c>
      <c r="DM17" t="inlineStr">
        <is>
          <t>Yes</t>
        </is>
      </c>
      <c r="DN17" t="inlineStr">
        <is>
          <t>Yes</t>
        </is>
      </c>
      <c r="DO17" t="inlineStr">
        <is>
          <t>Yes</t>
        </is>
      </c>
      <c r="DP17" t="inlineStr">
        <is>
          <t>No</t>
        </is>
      </c>
      <c r="DQ17" t="inlineStr">
        <is>
          <t>None</t>
        </is>
      </c>
      <c r="DX17" t="inlineStr">
        <is>
          <t>Yes</t>
        </is>
      </c>
      <c r="DY17" t="inlineStr">
        <is>
          <t>Not Applicable</t>
        </is>
      </c>
      <c r="DZ17" t="inlineStr">
        <is>
          <t>Standard</t>
        </is>
      </c>
      <c r="EA17" t="inlineStr">
        <is>
          <t>Standard</t>
        </is>
      </c>
      <c r="EE17" t="inlineStr">
        <is>
          <t>68</t>
        </is>
      </c>
      <c r="EF17" t="inlineStr">
        <is>
          <t>16</t>
        </is>
      </c>
      <c r="EG17" t="inlineStr">
        <is>
          <t>23</t>
        </is>
      </c>
      <c r="EH17" t="inlineStr">
        <is>
          <t>68</t>
        </is>
      </c>
      <c r="EI17" t="inlineStr">
        <is>
          <t>16</t>
        </is>
      </c>
      <c r="EJ17" t="inlineStr">
        <is>
          <t>90</t>
        </is>
      </c>
      <c r="EK17" t="inlineStr">
        <is>
          <t>75"</t>
        </is>
      </c>
      <c r="EL17" t="inlineStr">
        <is>
          <t>23</t>
        </is>
      </c>
      <c r="EM17" t="inlineStr">
        <is>
          <t>Yes</t>
        </is>
      </c>
      <c r="EN17" t="inlineStr">
        <is>
          <t>Full Assembly Needed</t>
        </is>
      </c>
      <c r="EP17" t="inlineStr">
        <is>
          <t>No</t>
        </is>
      </c>
      <c r="EQ17" t="inlineStr">
        <is>
          <t>Does Not Apply</t>
        </is>
      </c>
    </row>
    <row r="18">
      <c r="B18" t="inlineStr">
        <is>
          <t>CASA-TV-V18-502</t>
        </is>
      </c>
      <c r="D18" t="inlineStr">
        <is>
          <t>Casa Design Furniture</t>
        </is>
      </c>
      <c r="E18" t="inlineStr">
        <is>
          <t>CASA-TV-V18-502</t>
        </is>
      </c>
      <c r="F18" t="inlineStr">
        <is>
          <t>840134100532</t>
        </is>
      </c>
      <c r="G18" t="inlineStr">
        <is>
          <t>Elite Modern TV Console V18-502</t>
        </is>
      </c>
      <c r="J18" t="inlineStr">
        <is>
          <t>790</t>
        </is>
      </c>
      <c r="M18" t="inlineStr">
        <is>
          <t>The Elite Contemporary TV Unit Model 702 offers a stunning modern design with high-end materials. Perfect for elevating your living space.</t>
        </is>
      </c>
      <c r="N18" t="inlineStr">
        <is>
          <t>Sleek Modern Aesthetic</t>
        </is>
      </c>
      <c r="O18" t="inlineStr">
        <is>
          <t>High-Durability Construction</t>
        </is>
      </c>
      <c r="P18" t="inlineStr">
        <is>
          <t>Easy Assembly with Storage</t>
        </is>
      </c>
      <c r="S18" t="inlineStr">
        <is>
          <t>1</t>
        </is>
      </c>
      <c r="T18" t="inlineStr">
        <is>
          <t>1</t>
        </is>
      </c>
      <c r="U18" t="inlineStr">
        <is>
          <t>1</t>
        </is>
      </c>
      <c r="V18" t="inlineStr">
        <is>
          <t>90</t>
        </is>
      </c>
      <c r="W18" t="inlineStr">
        <is>
          <t>Small Parcel</t>
        </is>
      </c>
      <c r="Y18" t="inlineStr">
        <is>
          <t>4</t>
        </is>
      </c>
      <c r="Z18" t="inlineStr">
        <is>
          <t>7</t>
        </is>
      </c>
      <c r="AD18" t="inlineStr">
        <is>
          <t>102</t>
        </is>
      </c>
      <c r="AE18" t="inlineStr">
        <is>
          <t>28</t>
        </is>
      </c>
      <c r="AF18" t="inlineStr">
        <is>
          <t>73</t>
        </is>
      </c>
      <c r="AG18" t="inlineStr">
        <is>
          <t>21</t>
        </is>
      </c>
      <c r="AH18" t="inlineStr">
        <is>
          <t>No</t>
        </is>
      </c>
      <c r="AK18" t="inlineStr">
        <is>
          <t>United States</t>
        </is>
      </c>
      <c r="AL18" s="40" t="inlineStr">
        <is>
          <t>https://casadesignfurniture.com/wp-content/uploads/2023/12/Group-4-1.png</t>
        </is>
      </c>
      <c r="BG18" t="inlineStr">
        <is>
          <t>TV Stand</t>
        </is>
      </c>
      <c r="BH18" t="inlineStr">
        <is>
          <t>No</t>
        </is>
      </c>
      <c r="BI18" t="inlineStr">
        <is>
          <t>Yes</t>
        </is>
      </c>
      <c r="BJ18" t="inlineStr">
        <is>
          <t>2</t>
        </is>
      </c>
      <c r="BK18" t="inlineStr">
        <is>
          <t>Yes</t>
        </is>
      </c>
      <c r="BO18" t="inlineStr">
        <is>
          <t>No</t>
        </is>
      </c>
      <c r="BP18" t="inlineStr">
        <is>
          <t>Cabinet/Enclosed storage</t>
        </is>
      </c>
      <c r="BQ18" t="inlineStr">
        <is>
          <t>Solid + Manufactured Wood</t>
        </is>
      </c>
      <c r="BS18" t="inlineStr">
        <is>
          <t>No Natural Variation</t>
        </is>
      </c>
      <c r="CA18" t="inlineStr">
        <is>
          <t>No</t>
        </is>
      </c>
      <c r="CB18" t="inlineStr">
        <is>
          <t>No</t>
        </is>
      </c>
      <c r="CC18" t="inlineStr">
        <is>
          <t>Yes</t>
        </is>
      </c>
      <c r="CF18" t="inlineStr">
        <is>
          <t>Residential Use</t>
        </is>
      </c>
      <c r="CH18" t="inlineStr">
        <is>
          <t>Does Not Apply</t>
        </is>
      </c>
      <c r="CK18" t="inlineStr">
        <is>
          <t>No</t>
        </is>
      </c>
      <c r="CL18" t="inlineStr">
        <is>
          <t>Standard</t>
        </is>
      </c>
      <c r="CM18" t="inlineStr">
        <is>
          <t>Standard</t>
        </is>
      </c>
      <c r="CN18" t="inlineStr">
        <is>
          <t>1</t>
        </is>
      </c>
      <c r="CO18" t="inlineStr">
        <is>
          <t>Does Not Apply</t>
        </is>
      </c>
      <c r="CP18" t="inlineStr">
        <is>
          <t>Does Not Apply</t>
        </is>
      </c>
      <c r="CQ18" t="inlineStr">
        <is>
          <t>Does Not Apply</t>
        </is>
      </c>
      <c r="CR18" t="inlineStr">
        <is>
          <t>Does Not Apply</t>
        </is>
      </c>
      <c r="CS18" t="inlineStr">
        <is>
          <t>No</t>
        </is>
      </c>
      <c r="CT18" t="inlineStr">
        <is>
          <t>Does Not Apply</t>
        </is>
      </c>
      <c r="CU18" t="inlineStr">
        <is>
          <t>150</t>
        </is>
      </c>
      <c r="CY18" t="inlineStr">
        <is>
          <t>White/Mirrored</t>
        </is>
      </c>
      <c r="DA18" t="inlineStr">
        <is>
          <t>Standard</t>
        </is>
      </c>
      <c r="DB18" t="inlineStr">
        <is>
          <t>Standard</t>
        </is>
      </c>
      <c r="DF18" t="inlineStr">
        <is>
          <t>1</t>
        </is>
      </c>
      <c r="DG18" t="inlineStr">
        <is>
          <t>2</t>
        </is>
      </c>
      <c r="DJ18" t="inlineStr">
        <is>
          <t>No</t>
        </is>
      </c>
      <c r="DK18" t="inlineStr">
        <is>
          <t>Yes</t>
        </is>
      </c>
      <c r="DL18" t="inlineStr">
        <is>
          <t>Yes</t>
        </is>
      </c>
      <c r="DM18" t="inlineStr">
        <is>
          <t>Yes</t>
        </is>
      </c>
      <c r="DN18" t="inlineStr">
        <is>
          <t>Yes</t>
        </is>
      </c>
      <c r="DO18" t="inlineStr">
        <is>
          <t>Yes</t>
        </is>
      </c>
      <c r="DP18" t="inlineStr">
        <is>
          <t>No</t>
        </is>
      </c>
      <c r="DQ18" t="inlineStr">
        <is>
          <t>None</t>
        </is>
      </c>
      <c r="DX18" t="inlineStr">
        <is>
          <t>Yes</t>
        </is>
      </c>
      <c r="DY18" t="inlineStr">
        <is>
          <t>Not Applicable</t>
        </is>
      </c>
      <c r="DZ18" t="inlineStr">
        <is>
          <t>Standard</t>
        </is>
      </c>
      <c r="EA18" t="inlineStr">
        <is>
          <t>Standard</t>
        </is>
      </c>
      <c r="EE18" t="inlineStr">
        <is>
          <t>68</t>
        </is>
      </c>
      <c r="EF18" t="inlineStr">
        <is>
          <t>16</t>
        </is>
      </c>
      <c r="EG18" t="inlineStr">
        <is>
          <t>23</t>
        </is>
      </c>
      <c r="EH18" t="inlineStr">
        <is>
          <t>68</t>
        </is>
      </c>
      <c r="EI18" t="inlineStr">
        <is>
          <t>16</t>
        </is>
      </c>
      <c r="EJ18" t="inlineStr">
        <is>
          <t>90</t>
        </is>
      </c>
      <c r="EK18" t="inlineStr">
        <is>
          <t>75"</t>
        </is>
      </c>
      <c r="EL18" t="inlineStr">
        <is>
          <t>23</t>
        </is>
      </c>
      <c r="EM18" t="inlineStr">
        <is>
          <t>Yes</t>
        </is>
      </c>
      <c r="EN18" t="inlineStr">
        <is>
          <t>Full Assembly Needed</t>
        </is>
      </c>
      <c r="EP18" t="inlineStr">
        <is>
          <t>No</t>
        </is>
      </c>
      <c r="EQ18" t="inlineStr">
        <is>
          <t>Does Not Apply</t>
        </is>
      </c>
    </row>
    <row r="19">
      <c r="B19" t="inlineStr">
        <is>
          <t>CASA-TV-V18-503</t>
        </is>
      </c>
      <c r="D19" t="inlineStr">
        <is>
          <t>Casa Design Furniture</t>
        </is>
      </c>
      <c r="E19" t="inlineStr">
        <is>
          <t>CASA-TV-V18-503</t>
        </is>
      </c>
      <c r="F19" t="inlineStr">
        <is>
          <t>840134100533</t>
        </is>
      </c>
      <c r="G19" t="inlineStr">
        <is>
          <t>Elite Modern TV Console V18-503</t>
        </is>
      </c>
      <c r="J19" t="inlineStr">
        <is>
          <t>860</t>
        </is>
      </c>
      <c r="M19" t="inlineStr">
        <is>
          <t>The Elite Contemporary TV Unit Model 703 offers a stunning modern design with high-end materials. Perfect for elevating your living space.</t>
        </is>
      </c>
      <c r="N19" t="inlineStr">
        <is>
          <t>Sleek Modern Aesthetic</t>
        </is>
      </c>
      <c r="O19" t="inlineStr">
        <is>
          <t>High-Durability Construction</t>
        </is>
      </c>
      <c r="P19" t="inlineStr">
        <is>
          <t>Easy Assembly with Storage</t>
        </is>
      </c>
      <c r="S19" t="inlineStr">
        <is>
          <t>1</t>
        </is>
      </c>
      <c r="T19" t="inlineStr">
        <is>
          <t>1</t>
        </is>
      </c>
      <c r="U19" t="inlineStr">
        <is>
          <t>1</t>
        </is>
      </c>
      <c r="V19" t="inlineStr">
        <is>
          <t>90</t>
        </is>
      </c>
      <c r="W19" t="inlineStr">
        <is>
          <t>Small Parcel</t>
        </is>
      </c>
      <c r="Y19" t="inlineStr">
        <is>
          <t>4</t>
        </is>
      </c>
      <c r="Z19" t="inlineStr">
        <is>
          <t>7</t>
        </is>
      </c>
      <c r="AD19" t="inlineStr">
        <is>
          <t>102</t>
        </is>
      </c>
      <c r="AE19" t="inlineStr">
        <is>
          <t>28</t>
        </is>
      </c>
      <c r="AF19" t="inlineStr">
        <is>
          <t>73</t>
        </is>
      </c>
      <c r="AG19" t="inlineStr">
        <is>
          <t>21</t>
        </is>
      </c>
      <c r="AH19" t="inlineStr">
        <is>
          <t>No</t>
        </is>
      </c>
      <c r="AK19" t="inlineStr">
        <is>
          <t>United States</t>
        </is>
      </c>
      <c r="AL19" s="40" t="inlineStr">
        <is>
          <t>https://casadesignfurniture.com/wp-content/uploads/2023/12/Group-4-1.png</t>
        </is>
      </c>
      <c r="BG19" t="inlineStr">
        <is>
          <t>TV Stand</t>
        </is>
      </c>
      <c r="BH19" t="inlineStr">
        <is>
          <t>No</t>
        </is>
      </c>
      <c r="BI19" t="inlineStr">
        <is>
          <t>Yes</t>
        </is>
      </c>
      <c r="BJ19" t="inlineStr">
        <is>
          <t>2</t>
        </is>
      </c>
      <c r="BK19" t="inlineStr">
        <is>
          <t>Yes</t>
        </is>
      </c>
      <c r="BO19" t="inlineStr">
        <is>
          <t>No</t>
        </is>
      </c>
      <c r="BP19" t="inlineStr">
        <is>
          <t>Cabinet/Enclosed storage</t>
        </is>
      </c>
      <c r="BQ19" t="inlineStr">
        <is>
          <t>Solid + Manufactured Wood</t>
        </is>
      </c>
      <c r="BS19" t="inlineStr">
        <is>
          <t>No Natural Variation</t>
        </is>
      </c>
      <c r="CA19" t="inlineStr">
        <is>
          <t>No</t>
        </is>
      </c>
      <c r="CB19" t="inlineStr">
        <is>
          <t>No</t>
        </is>
      </c>
      <c r="CC19" t="inlineStr">
        <is>
          <t>Yes</t>
        </is>
      </c>
      <c r="CF19" t="inlineStr">
        <is>
          <t>Residential Use</t>
        </is>
      </c>
      <c r="CH19" t="inlineStr">
        <is>
          <t>Does Not Apply</t>
        </is>
      </c>
      <c r="CK19" t="inlineStr">
        <is>
          <t>No</t>
        </is>
      </c>
      <c r="CL19" t="inlineStr">
        <is>
          <t>Standard</t>
        </is>
      </c>
      <c r="CM19" t="inlineStr">
        <is>
          <t>Standard</t>
        </is>
      </c>
      <c r="CN19" t="inlineStr">
        <is>
          <t>1</t>
        </is>
      </c>
      <c r="CO19" t="inlineStr">
        <is>
          <t>Does Not Apply</t>
        </is>
      </c>
      <c r="CP19" t="inlineStr">
        <is>
          <t>Does Not Apply</t>
        </is>
      </c>
      <c r="CQ19" t="inlineStr">
        <is>
          <t>Does Not Apply</t>
        </is>
      </c>
      <c r="CR19" t="inlineStr">
        <is>
          <t>Does Not Apply</t>
        </is>
      </c>
      <c r="CS19" t="inlineStr">
        <is>
          <t>No</t>
        </is>
      </c>
      <c r="CT19" t="inlineStr">
        <is>
          <t>Does Not Apply</t>
        </is>
      </c>
      <c r="CU19" t="inlineStr">
        <is>
          <t>150</t>
        </is>
      </c>
      <c r="CY19" t="inlineStr">
        <is>
          <t>White/Mirrored</t>
        </is>
      </c>
      <c r="DA19" t="inlineStr">
        <is>
          <t>Standard</t>
        </is>
      </c>
      <c r="DB19" t="inlineStr">
        <is>
          <t>Standard</t>
        </is>
      </c>
      <c r="DF19" t="inlineStr">
        <is>
          <t>1</t>
        </is>
      </c>
      <c r="DG19" t="inlineStr">
        <is>
          <t>2</t>
        </is>
      </c>
      <c r="DJ19" t="inlineStr">
        <is>
          <t>No</t>
        </is>
      </c>
      <c r="DK19" t="inlineStr">
        <is>
          <t>Yes</t>
        </is>
      </c>
      <c r="DL19" t="inlineStr">
        <is>
          <t>Yes</t>
        </is>
      </c>
      <c r="DM19" t="inlineStr">
        <is>
          <t>Yes</t>
        </is>
      </c>
      <c r="DN19" t="inlineStr">
        <is>
          <t>Yes</t>
        </is>
      </c>
      <c r="DO19" t="inlineStr">
        <is>
          <t>Yes</t>
        </is>
      </c>
      <c r="DP19" t="inlineStr">
        <is>
          <t>No</t>
        </is>
      </c>
      <c r="DQ19" t="inlineStr">
        <is>
          <t>None</t>
        </is>
      </c>
      <c r="DX19" t="inlineStr">
        <is>
          <t>Yes</t>
        </is>
      </c>
      <c r="DY19" t="inlineStr">
        <is>
          <t>Not Applicable</t>
        </is>
      </c>
      <c r="DZ19" t="inlineStr">
        <is>
          <t>Standard</t>
        </is>
      </c>
      <c r="EA19" t="inlineStr">
        <is>
          <t>Standard</t>
        </is>
      </c>
      <c r="EE19" t="inlineStr">
        <is>
          <t>68</t>
        </is>
      </c>
      <c r="EF19" t="inlineStr">
        <is>
          <t>16</t>
        </is>
      </c>
      <c r="EG19" t="inlineStr">
        <is>
          <t>23</t>
        </is>
      </c>
      <c r="EH19" t="inlineStr">
        <is>
          <t>68</t>
        </is>
      </c>
      <c r="EI19" t="inlineStr">
        <is>
          <t>16</t>
        </is>
      </c>
      <c r="EJ19" t="inlineStr">
        <is>
          <t>90</t>
        </is>
      </c>
      <c r="EK19" t="inlineStr">
        <is>
          <t>75"</t>
        </is>
      </c>
      <c r="EL19" t="inlineStr">
        <is>
          <t>23</t>
        </is>
      </c>
      <c r="EM19" t="inlineStr">
        <is>
          <t>Yes</t>
        </is>
      </c>
      <c r="EN19" t="inlineStr">
        <is>
          <t>Full Assembly Needed</t>
        </is>
      </c>
      <c r="EP19" t="inlineStr">
        <is>
          <t>No</t>
        </is>
      </c>
      <c r="EQ19" t="inlineStr">
        <is>
          <t>Does Not Apply</t>
        </is>
      </c>
    </row>
    <row r="20">
      <c r="B20" t="inlineStr">
        <is>
          <t>CASA-TV-V18-504</t>
        </is>
      </c>
      <c r="D20" t="inlineStr">
        <is>
          <t>Casa Design Furniture</t>
        </is>
      </c>
      <c r="E20" t="inlineStr">
        <is>
          <t>CASA-TV-V18-504</t>
        </is>
      </c>
      <c r="F20" t="inlineStr">
        <is>
          <t>840134100534</t>
        </is>
      </c>
      <c r="G20" t="inlineStr">
        <is>
          <t>Elite Modern TV Console V18-504</t>
        </is>
      </c>
      <c r="J20" t="inlineStr">
        <is>
          <t>930</t>
        </is>
      </c>
      <c r="M20" t="inlineStr">
        <is>
          <t>The Elite Contemporary TV Unit Model 704 offers a stunning modern design with high-end materials. Perfect for elevating your living space.</t>
        </is>
      </c>
      <c r="N20" t="inlineStr">
        <is>
          <t>Sleek Modern Aesthetic</t>
        </is>
      </c>
      <c r="O20" t="inlineStr">
        <is>
          <t>High-Durability Construction</t>
        </is>
      </c>
      <c r="P20" t="inlineStr">
        <is>
          <t>Easy Assembly with Storage</t>
        </is>
      </c>
      <c r="S20" t="inlineStr">
        <is>
          <t>1</t>
        </is>
      </c>
      <c r="T20" t="inlineStr">
        <is>
          <t>1</t>
        </is>
      </c>
      <c r="U20" t="inlineStr">
        <is>
          <t>1</t>
        </is>
      </c>
      <c r="V20" t="inlineStr">
        <is>
          <t>90</t>
        </is>
      </c>
      <c r="W20" t="inlineStr">
        <is>
          <t>Small Parcel</t>
        </is>
      </c>
      <c r="Y20" t="inlineStr">
        <is>
          <t>4</t>
        </is>
      </c>
      <c r="Z20" t="inlineStr">
        <is>
          <t>7</t>
        </is>
      </c>
      <c r="AD20" t="inlineStr">
        <is>
          <t>102</t>
        </is>
      </c>
      <c r="AE20" t="inlineStr">
        <is>
          <t>28</t>
        </is>
      </c>
      <c r="AF20" t="inlineStr">
        <is>
          <t>73</t>
        </is>
      </c>
      <c r="AG20" t="inlineStr">
        <is>
          <t>21</t>
        </is>
      </c>
      <c r="AH20" t="inlineStr">
        <is>
          <t>No</t>
        </is>
      </c>
      <c r="AK20" t="inlineStr">
        <is>
          <t>United States</t>
        </is>
      </c>
      <c r="AL20" s="40" t="inlineStr">
        <is>
          <t>https://casadesignfurniture.com/wp-content/uploads/2023/12/Group-4-1.png</t>
        </is>
      </c>
      <c r="BG20" t="inlineStr">
        <is>
          <t>TV Stand</t>
        </is>
      </c>
      <c r="BH20" t="inlineStr">
        <is>
          <t>No</t>
        </is>
      </c>
      <c r="BI20" t="inlineStr">
        <is>
          <t>Yes</t>
        </is>
      </c>
      <c r="BJ20" t="inlineStr">
        <is>
          <t>2</t>
        </is>
      </c>
      <c r="BK20" t="inlineStr">
        <is>
          <t>Yes</t>
        </is>
      </c>
      <c r="BO20" t="inlineStr">
        <is>
          <t>No</t>
        </is>
      </c>
      <c r="BP20" t="inlineStr">
        <is>
          <t>Cabinet/Enclosed storage</t>
        </is>
      </c>
      <c r="BQ20" t="inlineStr">
        <is>
          <t>Solid + Manufactured Wood</t>
        </is>
      </c>
      <c r="BS20" t="inlineStr">
        <is>
          <t>No Natural Variation</t>
        </is>
      </c>
      <c r="CA20" t="inlineStr">
        <is>
          <t>No</t>
        </is>
      </c>
      <c r="CB20" t="inlineStr">
        <is>
          <t>No</t>
        </is>
      </c>
      <c r="CC20" t="inlineStr">
        <is>
          <t>Yes</t>
        </is>
      </c>
      <c r="CF20" t="inlineStr">
        <is>
          <t>Residential Use</t>
        </is>
      </c>
      <c r="CH20" t="inlineStr">
        <is>
          <t>Does Not Apply</t>
        </is>
      </c>
      <c r="CK20" t="inlineStr">
        <is>
          <t>No</t>
        </is>
      </c>
      <c r="CL20" t="inlineStr">
        <is>
          <t>Standard</t>
        </is>
      </c>
      <c r="CM20" t="inlineStr">
        <is>
          <t>Standard</t>
        </is>
      </c>
      <c r="CN20" t="inlineStr">
        <is>
          <t>1</t>
        </is>
      </c>
      <c r="CO20" t="inlineStr">
        <is>
          <t>Does Not Apply</t>
        </is>
      </c>
      <c r="CP20" t="inlineStr">
        <is>
          <t>Does Not Apply</t>
        </is>
      </c>
      <c r="CQ20" t="inlineStr">
        <is>
          <t>Does Not Apply</t>
        </is>
      </c>
      <c r="CR20" t="inlineStr">
        <is>
          <t>Does Not Apply</t>
        </is>
      </c>
      <c r="CS20" t="inlineStr">
        <is>
          <t>No</t>
        </is>
      </c>
      <c r="CT20" t="inlineStr">
        <is>
          <t>Does Not Apply</t>
        </is>
      </c>
      <c r="CU20" t="inlineStr">
        <is>
          <t>150</t>
        </is>
      </c>
      <c r="CY20" t="inlineStr">
        <is>
          <t>White/Mirrored</t>
        </is>
      </c>
      <c r="DA20" t="inlineStr">
        <is>
          <t>Standard</t>
        </is>
      </c>
      <c r="DB20" t="inlineStr">
        <is>
          <t>Standard</t>
        </is>
      </c>
      <c r="DF20" t="inlineStr">
        <is>
          <t>1</t>
        </is>
      </c>
      <c r="DG20" t="inlineStr">
        <is>
          <t>2</t>
        </is>
      </c>
      <c r="DJ20" t="inlineStr">
        <is>
          <t>No</t>
        </is>
      </c>
      <c r="DK20" t="inlineStr">
        <is>
          <t>Yes</t>
        </is>
      </c>
      <c r="DL20" t="inlineStr">
        <is>
          <t>Yes</t>
        </is>
      </c>
      <c r="DM20" t="inlineStr">
        <is>
          <t>Yes</t>
        </is>
      </c>
      <c r="DN20" t="inlineStr">
        <is>
          <t>Yes</t>
        </is>
      </c>
      <c r="DO20" t="inlineStr">
        <is>
          <t>Yes</t>
        </is>
      </c>
      <c r="DP20" t="inlineStr">
        <is>
          <t>No</t>
        </is>
      </c>
      <c r="DQ20" t="inlineStr">
        <is>
          <t>None</t>
        </is>
      </c>
      <c r="DX20" t="inlineStr">
        <is>
          <t>Yes</t>
        </is>
      </c>
      <c r="DY20" t="inlineStr">
        <is>
          <t>Not Applicable</t>
        </is>
      </c>
      <c r="DZ20" t="inlineStr">
        <is>
          <t>Standard</t>
        </is>
      </c>
      <c r="EA20" t="inlineStr">
        <is>
          <t>Standard</t>
        </is>
      </c>
      <c r="EE20" t="inlineStr">
        <is>
          <t>68</t>
        </is>
      </c>
      <c r="EF20" t="inlineStr">
        <is>
          <t>16</t>
        </is>
      </c>
      <c r="EG20" t="inlineStr">
        <is>
          <t>23</t>
        </is>
      </c>
      <c r="EH20" t="inlineStr">
        <is>
          <t>68</t>
        </is>
      </c>
      <c r="EI20" t="inlineStr">
        <is>
          <t>16</t>
        </is>
      </c>
      <c r="EJ20" t="inlineStr">
        <is>
          <t>90</t>
        </is>
      </c>
      <c r="EK20" t="inlineStr">
        <is>
          <t>75"</t>
        </is>
      </c>
      <c r="EL20" t="inlineStr">
        <is>
          <t>23</t>
        </is>
      </c>
      <c r="EM20" t="inlineStr">
        <is>
          <t>Yes</t>
        </is>
      </c>
      <c r="EN20" t="inlineStr">
        <is>
          <t>Full Assembly Needed</t>
        </is>
      </c>
      <c r="EP20" t="inlineStr">
        <is>
          <t>No</t>
        </is>
      </c>
      <c r="EQ20" t="inlineStr">
        <is>
          <t>Does Not Apply</t>
        </is>
      </c>
    </row>
    <row r="21">
      <c r="B21" t="inlineStr">
        <is>
          <t>CASA-TV-V18-505</t>
        </is>
      </c>
      <c r="D21" t="inlineStr">
        <is>
          <t>Casa Design Furniture</t>
        </is>
      </c>
      <c r="E21" t="inlineStr">
        <is>
          <t>CASA-TV-V18-505</t>
        </is>
      </c>
      <c r="F21" t="inlineStr">
        <is>
          <t>840134100535</t>
        </is>
      </c>
      <c r="G21" t="inlineStr">
        <is>
          <t>Elite Modern TV Console V18-505</t>
        </is>
      </c>
      <c r="J21" t="inlineStr">
        <is>
          <t>1000</t>
        </is>
      </c>
      <c r="M21" t="inlineStr">
        <is>
          <t>The Elite Contemporary TV Unit Model 705 offers a stunning modern design with high-end materials. Perfect for elevating your living space.</t>
        </is>
      </c>
      <c r="N21" t="inlineStr">
        <is>
          <t>Sleek Modern Aesthetic</t>
        </is>
      </c>
      <c r="O21" t="inlineStr">
        <is>
          <t>High-Durability Construction</t>
        </is>
      </c>
      <c r="P21" t="inlineStr">
        <is>
          <t>Easy Assembly with Storage</t>
        </is>
      </c>
      <c r="S21" t="inlineStr">
        <is>
          <t>1</t>
        </is>
      </c>
      <c r="T21" t="inlineStr">
        <is>
          <t>1</t>
        </is>
      </c>
      <c r="U21" t="inlineStr">
        <is>
          <t>1</t>
        </is>
      </c>
      <c r="V21" t="inlineStr">
        <is>
          <t>90</t>
        </is>
      </c>
      <c r="W21" t="inlineStr">
        <is>
          <t>Small Parcel</t>
        </is>
      </c>
      <c r="Y21" t="inlineStr">
        <is>
          <t>4</t>
        </is>
      </c>
      <c r="Z21" t="inlineStr">
        <is>
          <t>7</t>
        </is>
      </c>
      <c r="AD21" t="inlineStr">
        <is>
          <t>102</t>
        </is>
      </c>
      <c r="AE21" t="inlineStr">
        <is>
          <t>28</t>
        </is>
      </c>
      <c r="AF21" t="inlineStr">
        <is>
          <t>73</t>
        </is>
      </c>
      <c r="AG21" t="inlineStr">
        <is>
          <t>21</t>
        </is>
      </c>
      <c r="AH21" t="inlineStr">
        <is>
          <t>No</t>
        </is>
      </c>
      <c r="AK21" t="inlineStr">
        <is>
          <t>United States</t>
        </is>
      </c>
      <c r="AL21" s="40" t="inlineStr">
        <is>
          <t>https://casadesignfurniture.com/wp-content/uploads/2023/12/Group-4-1.png</t>
        </is>
      </c>
      <c r="BG21" t="inlineStr">
        <is>
          <t>TV Stand</t>
        </is>
      </c>
      <c r="BH21" t="inlineStr">
        <is>
          <t>No</t>
        </is>
      </c>
      <c r="BI21" t="inlineStr">
        <is>
          <t>Yes</t>
        </is>
      </c>
      <c r="BJ21" t="inlineStr">
        <is>
          <t>2</t>
        </is>
      </c>
      <c r="BK21" t="inlineStr">
        <is>
          <t>Yes</t>
        </is>
      </c>
      <c r="BO21" t="inlineStr">
        <is>
          <t>No</t>
        </is>
      </c>
      <c r="BP21" t="inlineStr">
        <is>
          <t>Cabinet/Enclosed storage</t>
        </is>
      </c>
      <c r="BQ21" t="inlineStr">
        <is>
          <t>Solid + Manufactured Wood</t>
        </is>
      </c>
      <c r="BS21" t="inlineStr">
        <is>
          <t>No Natural Variation</t>
        </is>
      </c>
      <c r="CA21" t="inlineStr">
        <is>
          <t>No</t>
        </is>
      </c>
      <c r="CB21" t="inlineStr">
        <is>
          <t>No</t>
        </is>
      </c>
      <c r="CC21" t="inlineStr">
        <is>
          <t>Yes</t>
        </is>
      </c>
      <c r="CF21" t="inlineStr">
        <is>
          <t>Residential Use</t>
        </is>
      </c>
      <c r="CH21" t="inlineStr">
        <is>
          <t>Does Not Apply</t>
        </is>
      </c>
      <c r="CK21" t="inlineStr">
        <is>
          <t>No</t>
        </is>
      </c>
      <c r="CL21" t="inlineStr">
        <is>
          <t>Standard</t>
        </is>
      </c>
      <c r="CM21" t="inlineStr">
        <is>
          <t>Standard</t>
        </is>
      </c>
      <c r="CN21" t="inlineStr">
        <is>
          <t>1</t>
        </is>
      </c>
      <c r="CO21" t="inlineStr">
        <is>
          <t>Does Not Apply</t>
        </is>
      </c>
      <c r="CP21" t="inlineStr">
        <is>
          <t>Does Not Apply</t>
        </is>
      </c>
      <c r="CQ21" t="inlineStr">
        <is>
          <t>Does Not Apply</t>
        </is>
      </c>
      <c r="CR21" t="inlineStr">
        <is>
          <t>Does Not Apply</t>
        </is>
      </c>
      <c r="CS21" t="inlineStr">
        <is>
          <t>No</t>
        </is>
      </c>
      <c r="CT21" t="inlineStr">
        <is>
          <t>Does Not Apply</t>
        </is>
      </c>
      <c r="CU21" t="inlineStr">
        <is>
          <t>150</t>
        </is>
      </c>
      <c r="CY21" t="inlineStr">
        <is>
          <t>White/Mirrored</t>
        </is>
      </c>
      <c r="DA21" t="inlineStr">
        <is>
          <t>Standard</t>
        </is>
      </c>
      <c r="DB21" t="inlineStr">
        <is>
          <t>Standard</t>
        </is>
      </c>
      <c r="DF21" t="inlineStr">
        <is>
          <t>1</t>
        </is>
      </c>
      <c r="DG21" t="inlineStr">
        <is>
          <t>2</t>
        </is>
      </c>
      <c r="DJ21" t="inlineStr">
        <is>
          <t>No</t>
        </is>
      </c>
      <c r="DK21" t="inlineStr">
        <is>
          <t>Yes</t>
        </is>
      </c>
      <c r="DL21" t="inlineStr">
        <is>
          <t>Yes</t>
        </is>
      </c>
      <c r="DM21" t="inlineStr">
        <is>
          <t>Yes</t>
        </is>
      </c>
      <c r="DN21" t="inlineStr">
        <is>
          <t>Yes</t>
        </is>
      </c>
      <c r="DO21" t="inlineStr">
        <is>
          <t>Yes</t>
        </is>
      </c>
      <c r="DP21" t="inlineStr">
        <is>
          <t>No</t>
        </is>
      </c>
      <c r="DQ21" t="inlineStr">
        <is>
          <t>None</t>
        </is>
      </c>
      <c r="DX21" t="inlineStr">
        <is>
          <t>Yes</t>
        </is>
      </c>
      <c r="DY21" t="inlineStr">
        <is>
          <t>Not Applicable</t>
        </is>
      </c>
      <c r="DZ21" t="inlineStr">
        <is>
          <t>Standard</t>
        </is>
      </c>
      <c r="EA21" t="inlineStr">
        <is>
          <t>Standard</t>
        </is>
      </c>
      <c r="EE21" t="inlineStr">
        <is>
          <t>68</t>
        </is>
      </c>
      <c r="EF21" t="inlineStr">
        <is>
          <t>16</t>
        </is>
      </c>
      <c r="EG21" t="inlineStr">
        <is>
          <t>23</t>
        </is>
      </c>
      <c r="EH21" t="inlineStr">
        <is>
          <t>68</t>
        </is>
      </c>
      <c r="EI21" t="inlineStr">
        <is>
          <t>16</t>
        </is>
      </c>
      <c r="EJ21" t="inlineStr">
        <is>
          <t>90</t>
        </is>
      </c>
      <c r="EK21" t="inlineStr">
        <is>
          <t>75"</t>
        </is>
      </c>
      <c r="EL21" t="inlineStr">
        <is>
          <t>23</t>
        </is>
      </c>
      <c r="EM21" t="inlineStr">
        <is>
          <t>Yes</t>
        </is>
      </c>
      <c r="EN21" t="inlineStr">
        <is>
          <t>Full Assembly Needed</t>
        </is>
      </c>
      <c r="EP21" t="inlineStr">
        <is>
          <t>No</t>
        </is>
      </c>
      <c r="EQ21" t="inlineStr">
        <is>
          <t>Does Not Apply</t>
        </is>
      </c>
    </row>
    <row r="22">
      <c r="B22" t="inlineStr">
        <is>
          <t>CASA-TV-V18-506</t>
        </is>
      </c>
      <c r="D22" t="inlineStr">
        <is>
          <t>Casa Design Furniture</t>
        </is>
      </c>
      <c r="E22" t="inlineStr">
        <is>
          <t>CASA-TV-V18-506</t>
        </is>
      </c>
      <c r="F22" t="inlineStr">
        <is>
          <t>840134100536</t>
        </is>
      </c>
      <c r="G22" t="inlineStr">
        <is>
          <t>Elite Modern TV Console V18-506</t>
        </is>
      </c>
      <c r="J22" t="inlineStr">
        <is>
          <t>1070</t>
        </is>
      </c>
      <c r="M22" t="inlineStr">
        <is>
          <t>The Elite Contemporary TV Unit Model 706 offers a stunning modern design with high-end materials. Perfect for elevating your living space.</t>
        </is>
      </c>
      <c r="N22" t="inlineStr">
        <is>
          <t>Sleek Modern Aesthetic</t>
        </is>
      </c>
      <c r="O22" t="inlineStr">
        <is>
          <t>High-Durability Construction</t>
        </is>
      </c>
      <c r="P22" t="inlineStr">
        <is>
          <t>Easy Assembly with Storage</t>
        </is>
      </c>
      <c r="S22" t="inlineStr">
        <is>
          <t>1</t>
        </is>
      </c>
      <c r="T22" t="inlineStr">
        <is>
          <t>1</t>
        </is>
      </c>
      <c r="U22" t="inlineStr">
        <is>
          <t>1</t>
        </is>
      </c>
      <c r="V22" t="inlineStr">
        <is>
          <t>90</t>
        </is>
      </c>
      <c r="W22" t="inlineStr">
        <is>
          <t>Small Parcel</t>
        </is>
      </c>
      <c r="Y22" t="inlineStr">
        <is>
          <t>4</t>
        </is>
      </c>
      <c r="Z22" t="inlineStr">
        <is>
          <t>7</t>
        </is>
      </c>
      <c r="AD22" t="inlineStr">
        <is>
          <t>102</t>
        </is>
      </c>
      <c r="AE22" t="inlineStr">
        <is>
          <t>28</t>
        </is>
      </c>
      <c r="AF22" t="inlineStr">
        <is>
          <t>73</t>
        </is>
      </c>
      <c r="AG22" t="inlineStr">
        <is>
          <t>21</t>
        </is>
      </c>
      <c r="AH22" t="inlineStr">
        <is>
          <t>No</t>
        </is>
      </c>
      <c r="AK22" t="inlineStr">
        <is>
          <t>United States</t>
        </is>
      </c>
      <c r="AL22" s="40" t="inlineStr">
        <is>
          <t>https://casadesignfurniture.com/wp-content/uploads/2023/12/Group-4-1.png</t>
        </is>
      </c>
      <c r="BG22" t="inlineStr">
        <is>
          <t>TV Stand</t>
        </is>
      </c>
      <c r="BH22" t="inlineStr">
        <is>
          <t>No</t>
        </is>
      </c>
      <c r="BI22" t="inlineStr">
        <is>
          <t>Yes</t>
        </is>
      </c>
      <c r="BJ22" t="inlineStr">
        <is>
          <t>2</t>
        </is>
      </c>
      <c r="BK22" t="inlineStr">
        <is>
          <t>Yes</t>
        </is>
      </c>
      <c r="BO22" t="inlineStr">
        <is>
          <t>No</t>
        </is>
      </c>
      <c r="BP22" t="inlineStr">
        <is>
          <t>Cabinet/Enclosed storage</t>
        </is>
      </c>
      <c r="BQ22" t="inlineStr">
        <is>
          <t>Solid + Manufactured Wood</t>
        </is>
      </c>
      <c r="BS22" t="inlineStr">
        <is>
          <t>No Natural Variation</t>
        </is>
      </c>
      <c r="CA22" t="inlineStr">
        <is>
          <t>No</t>
        </is>
      </c>
      <c r="CB22" t="inlineStr">
        <is>
          <t>No</t>
        </is>
      </c>
      <c r="CC22" t="inlineStr">
        <is>
          <t>Yes</t>
        </is>
      </c>
      <c r="CF22" t="inlineStr">
        <is>
          <t>Residential Use</t>
        </is>
      </c>
      <c r="CH22" t="inlineStr">
        <is>
          <t>Does Not Apply</t>
        </is>
      </c>
      <c r="CK22" t="inlineStr">
        <is>
          <t>No</t>
        </is>
      </c>
      <c r="CL22" t="inlineStr">
        <is>
          <t>Standard</t>
        </is>
      </c>
      <c r="CM22" t="inlineStr">
        <is>
          <t>Standard</t>
        </is>
      </c>
      <c r="CN22" t="inlineStr">
        <is>
          <t>1</t>
        </is>
      </c>
      <c r="CO22" t="inlineStr">
        <is>
          <t>Does Not Apply</t>
        </is>
      </c>
      <c r="CP22" t="inlineStr">
        <is>
          <t>Does Not Apply</t>
        </is>
      </c>
      <c r="CQ22" t="inlineStr">
        <is>
          <t>Does Not Apply</t>
        </is>
      </c>
      <c r="CR22" t="inlineStr">
        <is>
          <t>Does Not Apply</t>
        </is>
      </c>
      <c r="CS22" t="inlineStr">
        <is>
          <t>No</t>
        </is>
      </c>
      <c r="CT22" t="inlineStr">
        <is>
          <t>Does Not Apply</t>
        </is>
      </c>
      <c r="CU22" t="inlineStr">
        <is>
          <t>150</t>
        </is>
      </c>
      <c r="CY22" t="inlineStr">
        <is>
          <t>White/Mirrored</t>
        </is>
      </c>
      <c r="DA22" t="inlineStr">
        <is>
          <t>Standard</t>
        </is>
      </c>
      <c r="DB22" t="inlineStr">
        <is>
          <t>Standard</t>
        </is>
      </c>
      <c r="DF22" t="inlineStr">
        <is>
          <t>1</t>
        </is>
      </c>
      <c r="DG22" t="inlineStr">
        <is>
          <t>2</t>
        </is>
      </c>
      <c r="DJ22" t="inlineStr">
        <is>
          <t>No</t>
        </is>
      </c>
      <c r="DK22" t="inlineStr">
        <is>
          <t>Yes</t>
        </is>
      </c>
      <c r="DL22" t="inlineStr">
        <is>
          <t>Yes</t>
        </is>
      </c>
      <c r="DM22" t="inlineStr">
        <is>
          <t>Yes</t>
        </is>
      </c>
      <c r="DN22" t="inlineStr">
        <is>
          <t>Yes</t>
        </is>
      </c>
      <c r="DO22" t="inlineStr">
        <is>
          <t>Yes</t>
        </is>
      </c>
      <c r="DP22" t="inlineStr">
        <is>
          <t>No</t>
        </is>
      </c>
      <c r="DQ22" t="inlineStr">
        <is>
          <t>None</t>
        </is>
      </c>
      <c r="DX22" t="inlineStr">
        <is>
          <t>Yes</t>
        </is>
      </c>
      <c r="DY22" t="inlineStr">
        <is>
          <t>Not Applicable</t>
        </is>
      </c>
      <c r="DZ22" t="inlineStr">
        <is>
          <t>Standard</t>
        </is>
      </c>
      <c r="EA22" t="inlineStr">
        <is>
          <t>Standard</t>
        </is>
      </c>
      <c r="EE22" t="inlineStr">
        <is>
          <t>68</t>
        </is>
      </c>
      <c r="EF22" t="inlineStr">
        <is>
          <t>16</t>
        </is>
      </c>
      <c r="EG22" t="inlineStr">
        <is>
          <t>23</t>
        </is>
      </c>
      <c r="EH22" t="inlineStr">
        <is>
          <t>68</t>
        </is>
      </c>
      <c r="EI22" t="inlineStr">
        <is>
          <t>16</t>
        </is>
      </c>
      <c r="EJ22" t="inlineStr">
        <is>
          <t>90</t>
        </is>
      </c>
      <c r="EK22" t="inlineStr">
        <is>
          <t>75"</t>
        </is>
      </c>
      <c r="EL22" t="inlineStr">
        <is>
          <t>23</t>
        </is>
      </c>
      <c r="EM22" t="inlineStr">
        <is>
          <t>Yes</t>
        </is>
      </c>
      <c r="EN22" t="inlineStr">
        <is>
          <t>Full Assembly Needed</t>
        </is>
      </c>
      <c r="EP22" t="inlineStr">
        <is>
          <t>No</t>
        </is>
      </c>
      <c r="EQ22" t="inlineStr">
        <is>
          <t>Does Not Apply</t>
        </is>
      </c>
    </row>
  </sheetData>
  <sheetProtection selectLockedCells="0" selectUnlockedCells="0" sheet="1" objects="1" insertRows="1" insertHyperlinks="1" autoFilter="1" scenarios="1" formatColumns="1" deleteColumns="1" insertColumns="1" pivotTables="1" deleteRows="1" formatCells="1" formatRows="1" sort="1" password="9D79"/>
  <hyperlinks>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D8:EA22"/>
  <sheetViews>
    <sheetView workbookViewId="0">
      <selection activeCell="A1" sqref="A1"/>
    </sheetView>
  </sheetViews>
  <sheetFormatPr baseColWidth="8" defaultRowHeight="15"/>
  <sheetData>
    <row r="8">
      <c r="D8" t="inlineStr">
        <is>
          <t>1: Please select value from the list</t>
        </is>
      </c>
      <c r="F8" t="inlineStr">
        <is>
          <t>1: This is not a valid UPC</t>
        </is>
      </c>
      <c r="Y8" t="inlineStr">
        <is>
          <t>1: Please select value from the list</t>
        </is>
      </c>
      <c r="Z8" t="inlineStr">
        <is>
          <t>1: Please select value from the list</t>
        </is>
      </c>
      <c r="AL8" t="inlineStr">
        <is>
          <t>1: Unable to download the file from the provided URL. Please ensure the link is correct and points to a valid, downloadable file.</t>
        </is>
      </c>
      <c r="AT8" t="inlineStr">
        <is>
          <t>4: Based on answers provided in Class Specific Details Section, the following legal document types are RECOMMENDED: CARB Phase II Compliant (formaldehyde emissions), CANFER Compliant, Energy Efficiency Regulations Compliant, Tipover Restraint Device In...</t>
        </is>
      </c>
      <c r="CC8" t="inlineStr">
        <is>
          <t>4: RECOMMENDED: You answered “Yes.” Please upload supporting documentation (e.g., certification or lab report). If already uploaded or not applicable, you may ignore this message.</t>
        </is>
      </c>
      <c r="CL8" t="inlineStr">
        <is>
          <t>1: Please select one of the provided options. Custom entries are not allowed for this field.</t>
        </is>
      </c>
      <c r="CM8" t="inlineStr">
        <is>
          <t>1: Please select one of the provided options. Custom entries are not allowed for this field.</t>
        </is>
      </c>
      <c r="CN8" t="inlineStr">
        <is>
          <t>1: Since 'Battery or Batteries Included' is set to 'No', this value should be 'Does Not Apply'.</t>
        </is>
      </c>
      <c r="DF8" t="inlineStr">
        <is>
          <t>1: Please select one of the provided options. Custom entries are not allowed for this field.</t>
        </is>
      </c>
      <c r="DL8" t="inlineStr">
        <is>
          <t>4: REQUIRED: You answered “Yes.” Supporting documentation (e.g., certification or lab report) is required for product launch, but you may proceed with submitting your project in the meantime and upload these later.</t>
        </is>
      </c>
      <c r="DM8" t="inlineStr">
        <is>
          <t>4: REQUIRED: You answered “Yes.” Supporting documentation (e.g., certification or lab report) is required for product launch, but you may proceed with submitting your project in the meantime and upload these later.</t>
        </is>
      </c>
      <c r="DN8" t="inlineStr">
        <is>
          <t>4: REQUIRED: You answered “Yes.” Supporting documentation (e.g., certification or lab report) is required for product launch, but you may proceed with submitting your project in the meantime and upload these later.</t>
        </is>
      </c>
      <c r="DQ8" t="inlineStr">
        <is>
          <t>1: Please select one of the provided options. Custom entries are not allowed for this field.</t>
        </is>
      </c>
      <c r="DX8" t="inlineStr">
        <is>
          <t>4: REQUIRED: You answered “Yes.” Supporting documentation (e.g., certification or lab report) is required for product launch, but you may proceed with submitting your project in the meantime and upload these later.</t>
        </is>
      </c>
      <c r="DZ8" t="inlineStr">
        <is>
          <t>1: Since 'Safety Listing(s)' is set to 'No', this value should be 'Does Not Apply'.</t>
        </is>
      </c>
      <c r="EA8" t="inlineStr">
        <is>
          <t>1: Please select one of the provided options. Custom entries are not allowed for this field.</t>
        </is>
      </c>
    </row>
    <row r="9">
      <c r="D9" t="inlineStr">
        <is>
          <t>1: Please select value from the list</t>
        </is>
      </c>
      <c r="F9" t="inlineStr">
        <is>
          <t>1: This is not a valid UPC</t>
        </is>
      </c>
      <c r="Y9" t="inlineStr">
        <is>
          <t>1: Please select value from the list</t>
        </is>
      </c>
      <c r="Z9" t="inlineStr">
        <is>
          <t>1: Please select value from the list</t>
        </is>
      </c>
      <c r="AL9" t="inlineStr">
        <is>
          <t>1: Unable to download the file from the provided URL. Please ensure the link is correct and points to a valid, downloadable file.</t>
        </is>
      </c>
      <c r="AT9" t="inlineStr">
        <is>
          <t>4: Based on answers provided in Class Specific Details Section, the following legal document types are RECOMMENDED: CANFER Compliant, TSCA Title VI Compliant (formaldehyde emissions), CARB Phase II Compliant (formaldehyde emissions), Energy Efficiency ...</t>
        </is>
      </c>
      <c r="CC9" t="inlineStr">
        <is>
          <t>4: RECOMMENDED: You answered “Yes.” Please upload supporting documentation (e.g., certification or lab report). If already uploaded or not applicable, you may ignore this message.</t>
        </is>
      </c>
      <c r="CL9" t="inlineStr">
        <is>
          <t>1: Please select one of the provided options. Custom entries are not allowed for this field.</t>
        </is>
      </c>
      <c r="CM9" t="inlineStr">
        <is>
          <t>1: Please select one of the provided options. Custom entries are not allowed for this field.</t>
        </is>
      </c>
      <c r="CN9" t="inlineStr">
        <is>
          <t>1: Since 'Battery or Batteries Included' is set to 'No', this value should be 'Does Not Apply'.</t>
        </is>
      </c>
      <c r="DA9" t="inlineStr">
        <is>
          <t>1: Please select one of the provided options. Custom entries are not allowed for this field.</t>
        </is>
      </c>
      <c r="DB9" t="inlineStr">
        <is>
          <t>1: Please select one of the provided options. Custom entries are not allowed for this field.</t>
        </is>
      </c>
      <c r="DF9" t="inlineStr">
        <is>
          <t>1: Please select one of the provided options. Custom entries are not allowed for this field.</t>
        </is>
      </c>
      <c r="DL9" t="inlineStr">
        <is>
          <t>4: REQUIRED: You answered “Yes.” Supporting documentation (e.g., certification or lab report) is required for product launch, but you may proceed with submitting your project in the meantime and upload these later.</t>
        </is>
      </c>
      <c r="DM9" t="inlineStr">
        <is>
          <t>4: REQUIRED: You answered “Yes.” Supporting documentation (e.g., certification or lab report) is required for product launch, but you may proceed with submitting your project in the meantime and upload these later.</t>
        </is>
      </c>
      <c r="DN9" t="inlineStr">
        <is>
          <t>4: REQUIRED: You answered “Yes.” Supporting documentation (e.g., certification or lab report) is required for product launch, but you may proceed with submitting your project in the meantime and upload these later.</t>
        </is>
      </c>
      <c r="DQ9" t="inlineStr">
        <is>
          <t>1: Please select one of the provided options. Custom entries are not allowed for this field.</t>
        </is>
      </c>
      <c r="DX9" t="inlineStr">
        <is>
          <t>4: REQUIRED: You answered “Yes.” Supporting documentation (e.g., certification or lab report) is required for product launch, but you may proceed with submitting your project in the meantime and upload these later.</t>
        </is>
      </c>
      <c r="DZ9" t="inlineStr">
        <is>
          <t>1: Since 'Safety Listing(s)' is set to 'No', this value should be 'Does Not Apply'.</t>
        </is>
      </c>
      <c r="EA9" t="inlineStr">
        <is>
          <t>1: Please select one of the provided options. Custom entries are not allowed for this field.</t>
        </is>
      </c>
    </row>
    <row r="10">
      <c r="D10" t="inlineStr">
        <is>
          <t>1: Please select value from the list</t>
        </is>
      </c>
      <c r="F10" t="inlineStr">
        <is>
          <t>1: This is not a valid UPC</t>
        </is>
      </c>
      <c r="Y10" t="inlineStr">
        <is>
          <t>1: Please select value from the list</t>
        </is>
      </c>
      <c r="Z10" t="inlineStr">
        <is>
          <t>1: Please select value from the list</t>
        </is>
      </c>
      <c r="AL10" t="inlineStr">
        <is>
          <t>1: Unable to download the file from the provided URL. Please ensure the link is correct and points to a valid, downloadable file.</t>
        </is>
      </c>
      <c r="AT10" t="inlineStr">
        <is>
          <t>4: Based on answers provided in Class Specific Details Section, the following legal document types are RECOMMENDED: TSCA Title VI Compliant (formaldehyde emissions), Tipover Restraint Device Included, CARB Phase II Compliant (formaldehyde emissions), C...</t>
        </is>
      </c>
      <c r="CC10" t="inlineStr">
        <is>
          <t>4: RECOMMENDED: You answered “Yes.” Please upload supporting documentation (e.g., certification or lab report). If already uploaded or not applicable, you may ignore this message.</t>
        </is>
      </c>
      <c r="CL10" t="inlineStr">
        <is>
          <t>1: Please select one of the provided options. Custom entries are not allowed for this field.</t>
        </is>
      </c>
      <c r="CM10" t="inlineStr">
        <is>
          <t>1: Please select one of the provided options. Custom entries are not allowed for this field.</t>
        </is>
      </c>
      <c r="CN10" t="inlineStr">
        <is>
          <t>1: Since 'Battery or Batteries Included' is set to 'No', this value should be 'Does Not Apply'.</t>
        </is>
      </c>
      <c r="DA10" t="inlineStr">
        <is>
          <t>1: Please select one of the provided options. Custom entries are not allowed for this field.</t>
        </is>
      </c>
      <c r="DB10" t="inlineStr">
        <is>
          <t>1: Please select one of the provided options. Custom entries are not allowed for this field.</t>
        </is>
      </c>
      <c r="DF10" t="inlineStr">
        <is>
          <t>1: Please select one of the provided options. Custom entries are not allowed for this field.</t>
        </is>
      </c>
      <c r="DL10" t="inlineStr">
        <is>
          <t>4: REQUIRED: You answered “Yes.” Supporting documentation (e.g., certification or lab report) is required for product launch, but you may proceed with submitting your project in the meantime and upload these later.</t>
        </is>
      </c>
      <c r="DM10" t="inlineStr">
        <is>
          <t>4: REQUIRED: You answered “Yes.” Supporting documentation (e.g., certification or lab report) is required for product launch, but you may proceed with submitting your project in the meantime and upload these later.</t>
        </is>
      </c>
      <c r="DN10" t="inlineStr">
        <is>
          <t>4: REQUIRED: You answered “Yes.” Supporting documentation (e.g., certification or lab report) is required for product launch, but you may proceed with submitting your project in the meantime and upload these later.</t>
        </is>
      </c>
      <c r="DQ10" t="inlineStr">
        <is>
          <t>1: Please select one of the provided options. Custom entries are not allowed for this field.</t>
        </is>
      </c>
      <c r="DX10" t="inlineStr">
        <is>
          <t>4: REQUIRED: You answered “Yes.” Supporting documentation (e.g., certification or lab report) is required for product launch, but you may proceed with submitting your project in the meantime and upload these later.</t>
        </is>
      </c>
      <c r="DZ10" t="inlineStr">
        <is>
          <t>1: Since 'Safety Listing(s)' is set to 'No', this value should be 'Does Not Apply'.</t>
        </is>
      </c>
      <c r="EA10" t="inlineStr">
        <is>
          <t>1: Please select one of the provided options. Custom entries are not allowed for this field.</t>
        </is>
      </c>
    </row>
    <row r="11">
      <c r="D11" t="inlineStr">
        <is>
          <t>1: Please select value from the list</t>
        </is>
      </c>
      <c r="F11" t="inlineStr">
        <is>
          <t>1: This is not a valid UPC</t>
        </is>
      </c>
      <c r="Y11" t="inlineStr">
        <is>
          <t>1: Please select value from the list</t>
        </is>
      </c>
      <c r="Z11" t="inlineStr">
        <is>
          <t>1: Please select value from the list</t>
        </is>
      </c>
      <c r="AL11" t="inlineStr">
        <is>
          <t>1: Unable to download the file from the provided URL. Please ensure the link is correct and points to a valid, downloadable file.</t>
        </is>
      </c>
      <c r="AT11" t="inlineStr">
        <is>
          <t>4: Based on answers provided in Class Specific Details Section, the following legal document types are RECOMMENDED: TSCA Title VI Compliant (formaldehyde emissions), Tipover Restraint Device Included, CARB Phase II Compliant (formaldehyde emissions), E...</t>
        </is>
      </c>
      <c r="CC11" t="inlineStr">
        <is>
          <t>4: RECOMMENDED: You answered “Yes.” Please upload supporting documentation (e.g., certification or lab report). If already uploaded or not applicable, you may ignore this message.</t>
        </is>
      </c>
      <c r="CL11" t="inlineStr">
        <is>
          <t>1: Please select one of the provided options. Custom entries are not allowed for this field.</t>
        </is>
      </c>
      <c r="CM11" t="inlineStr">
        <is>
          <t>1: Please select one of the provided options. Custom entries are not allowed for this field.</t>
        </is>
      </c>
      <c r="CN11" t="inlineStr">
        <is>
          <t>1: Since 'Battery or Batteries Included' is set to 'No', this value should be 'Does Not Apply'.</t>
        </is>
      </c>
      <c r="DA11" t="inlineStr">
        <is>
          <t>1: Please select one of the provided options. Custom entries are not allowed for this field.</t>
        </is>
      </c>
      <c r="DB11" t="inlineStr">
        <is>
          <t>1: Please select one of the provided options. Custom entries are not allowed for this field.</t>
        </is>
      </c>
      <c r="DF11" t="inlineStr">
        <is>
          <t>1: Please select one of the provided options. Custom entries are not allowed for this field.</t>
        </is>
      </c>
      <c r="DL11" t="inlineStr">
        <is>
          <t>4: REQUIRED: You answered “Yes.” Supporting documentation (e.g., certification or lab report) is required for product launch, but you may proceed with submitting your project in the meantime and upload these later.</t>
        </is>
      </c>
      <c r="DM11" t="inlineStr">
        <is>
          <t>4: REQUIRED: You answered “Yes.” Supporting documentation (e.g., certification or lab report) is required for product launch, but you may proceed with submitting your project in the meantime and upload these later.</t>
        </is>
      </c>
      <c r="DN11" t="inlineStr">
        <is>
          <t>4: REQUIRED: You answered “Yes.” Supporting documentation (e.g., certification or lab report) is required for product launch, but you may proceed with submitting your project in the meantime and upload these later.</t>
        </is>
      </c>
      <c r="DQ11" t="inlineStr">
        <is>
          <t>1: Please select one of the provided options. Custom entries are not allowed for this field.</t>
        </is>
      </c>
      <c r="DX11" t="inlineStr">
        <is>
          <t>4: REQUIRED: You answered “Yes.” Supporting documentation (e.g., certification or lab report) is required for product launch, but you may proceed with submitting your project in the meantime and upload these later.</t>
        </is>
      </c>
      <c r="DZ11" t="inlineStr">
        <is>
          <t>1: Since 'Safety Listing(s)' is set to 'No', this value should be 'Does Not Apply'.</t>
        </is>
      </c>
      <c r="EA11" t="inlineStr">
        <is>
          <t>1: Please select one of the provided options. Custom entries are not allowed for this field.</t>
        </is>
      </c>
    </row>
    <row r="12">
      <c r="D12" t="inlineStr">
        <is>
          <t>1: Please select value from the list</t>
        </is>
      </c>
      <c r="F12" t="inlineStr">
        <is>
          <t>1: This is not a valid UPC</t>
        </is>
      </c>
      <c r="Y12" t="inlineStr">
        <is>
          <t>1: Please select value from the list</t>
        </is>
      </c>
      <c r="Z12" t="inlineStr">
        <is>
          <t>1: Please select value from the list</t>
        </is>
      </c>
      <c r="AL12" t="inlineStr">
        <is>
          <t>1: Unable to download the file from the provided URL. Please ensure the link is correct and points to a valid, downloadable file.</t>
        </is>
      </c>
      <c r="AT12" t="inlineStr">
        <is>
          <t>4: Based on answers provided in Class Specific Details Section, the following legal document types are RECOMMENDED: TSCA Title VI Compliant (formaldehyde emissions), Tipover Restraint Device Included, CARB Phase II Compliant (formaldehyde emissions), C...</t>
        </is>
      </c>
      <c r="CC12" t="inlineStr">
        <is>
          <t>4: RECOMMENDED: You answered “Yes.” Please upload supporting documentation (e.g., certification or lab report). If already uploaded or not applicable, you may ignore this message.</t>
        </is>
      </c>
      <c r="CL12" t="inlineStr">
        <is>
          <t>1: Please select one of the provided options. Custom entries are not allowed for this field.</t>
        </is>
      </c>
      <c r="CM12" t="inlineStr">
        <is>
          <t>1: Please select one of the provided options. Custom entries are not allowed for this field.</t>
        </is>
      </c>
      <c r="CN12" t="inlineStr">
        <is>
          <t>1: Since 'Battery or Batteries Included' is set to 'No', this value should be 'Does Not Apply'.</t>
        </is>
      </c>
      <c r="DA12" t="inlineStr">
        <is>
          <t>1: Please select one of the provided options. Custom entries are not allowed for this field.</t>
        </is>
      </c>
      <c r="DB12" t="inlineStr">
        <is>
          <t>1: Please select one of the provided options. Custom entries are not allowed for this field.</t>
        </is>
      </c>
      <c r="DF12" t="inlineStr">
        <is>
          <t>1: Please select one of the provided options. Custom entries are not allowed for this field.</t>
        </is>
      </c>
      <c r="DL12" t="inlineStr">
        <is>
          <t>4: REQUIRED: You answered “Yes.” Supporting documentation (e.g., certification or lab report) is required for product launch, but you may proceed with submitting your project in the meantime and upload these later.</t>
        </is>
      </c>
      <c r="DM12" t="inlineStr">
        <is>
          <t>4: REQUIRED: You answered “Yes.” Supporting documentation (e.g., certification or lab report) is required for product launch, but you may proceed with submitting your project in the meantime and upload these later.</t>
        </is>
      </c>
      <c r="DN12" t="inlineStr">
        <is>
          <t>4: REQUIRED: You answered “Yes.” Supporting documentation (e.g., certification or lab report) is required for product launch, but you may proceed with submitting your project in the meantime and upload these later.</t>
        </is>
      </c>
      <c r="DQ12" t="inlineStr">
        <is>
          <t>1: Please select one of the provided options. Custom entries are not allowed for this field.</t>
        </is>
      </c>
      <c r="DX12" t="inlineStr">
        <is>
          <t>4: REQUIRED: You answered “Yes.” Supporting documentation (e.g., certification or lab report) is required for product launch, but you may proceed with submitting your project in the meantime and upload these later.</t>
        </is>
      </c>
      <c r="DZ12" t="inlineStr">
        <is>
          <t>1: Since 'Safety Listing(s)' is set to 'No', this value should be 'Does Not Apply'.</t>
        </is>
      </c>
      <c r="EA12" t="inlineStr">
        <is>
          <t>1: Please select one of the provided options. Custom entries are not allowed for this field.</t>
        </is>
      </c>
    </row>
    <row r="13">
      <c r="D13" t="inlineStr">
        <is>
          <t>1: Please select value from the list</t>
        </is>
      </c>
      <c r="F13" t="inlineStr">
        <is>
          <t>1: This is not a valid UPC</t>
        </is>
      </c>
      <c r="Y13" t="inlineStr">
        <is>
          <t>1: Please select value from the list</t>
        </is>
      </c>
      <c r="Z13" t="inlineStr">
        <is>
          <t>1: Please select value from the list</t>
        </is>
      </c>
      <c r="AL13" t="inlineStr">
        <is>
          <t>1: Unable to download the file from the provided URL. Please ensure the link is correct and points to a valid, downloadable file.</t>
        </is>
      </c>
      <c r="AT13" t="inlineStr">
        <is>
          <t>4: Based on answers provided in Class Specific Details Section, the following legal document types are RECOMMENDED: Tipover Restraint Device Included, CARB Phase II Compliant (formaldehyde emissions), CANFER Compliant, TSCA Title VI Compliant (formalde...</t>
        </is>
      </c>
      <c r="CC13" t="inlineStr">
        <is>
          <t>4: RECOMMENDED: You answered “Yes.” Please upload supporting documentation (e.g., certification or lab report). If already uploaded or not applicable, you may ignore this message.</t>
        </is>
      </c>
      <c r="CL13" t="inlineStr">
        <is>
          <t>1: Please select one of the provided options. Custom entries are not allowed for this field.</t>
        </is>
      </c>
      <c r="CM13" t="inlineStr">
        <is>
          <t>1: Please select one of the provided options. Custom entries are not allowed for this field.</t>
        </is>
      </c>
      <c r="CN13" t="inlineStr">
        <is>
          <t>1: Since 'Battery or Batteries Included' is set to 'No', this value should be 'Does Not Apply'.</t>
        </is>
      </c>
      <c r="DA13" t="inlineStr">
        <is>
          <t>1: Please select one of the provided options. Custom entries are not allowed for this field.</t>
        </is>
      </c>
      <c r="DB13" t="inlineStr">
        <is>
          <t>1: Please select one of the provided options. Custom entries are not allowed for this field.</t>
        </is>
      </c>
      <c r="DF13" t="inlineStr">
        <is>
          <t>1: Please select one of the provided options. Custom entries are not allowed for this field.</t>
        </is>
      </c>
      <c r="DL13" t="inlineStr">
        <is>
          <t>4: REQUIRED: You answered “Yes.” Supporting documentation (e.g., certification or lab report) is required for product launch, but you may proceed with submitting your project in the meantime and upload these later.</t>
        </is>
      </c>
      <c r="DM13" t="inlineStr">
        <is>
          <t>4: REQUIRED: You answered “Yes.” Supporting documentation (e.g., certification or lab report) is required for product launch, but you may proceed with submitting your project in the meantime and upload these later.</t>
        </is>
      </c>
      <c r="DN13" t="inlineStr">
        <is>
          <t>4: REQUIRED: You answered “Yes.” Supporting documentation (e.g., certification or lab report) is required for product launch, but you may proceed with submitting your project in the meantime and upload these later.</t>
        </is>
      </c>
      <c r="DQ13" t="inlineStr">
        <is>
          <t>1: Please select one of the provided options. Custom entries are not allowed for this field.</t>
        </is>
      </c>
      <c r="DX13" t="inlineStr">
        <is>
          <t>4: REQUIRED: You answered “Yes.” Supporting documentation (e.g., certification or lab report) is required for product launch, but you may proceed with submitting your project in the meantime and upload these later.</t>
        </is>
      </c>
      <c r="DZ13" t="inlineStr">
        <is>
          <t>1: Since 'Safety Listing(s)' is set to 'No', this value should be 'Does Not Apply'.</t>
        </is>
      </c>
      <c r="EA13" t="inlineStr">
        <is>
          <t>1: Please select one of the provided options. Custom entries are not allowed for this field.</t>
        </is>
      </c>
    </row>
    <row r="14">
      <c r="D14" t="inlineStr">
        <is>
          <t>1: Please select value from the list</t>
        </is>
      </c>
      <c r="F14" t="inlineStr">
        <is>
          <t>1: This is not a valid UPC</t>
        </is>
      </c>
      <c r="Y14" t="inlineStr">
        <is>
          <t>1: Please select value from the list</t>
        </is>
      </c>
      <c r="Z14" t="inlineStr">
        <is>
          <t>1: Please select value from the list</t>
        </is>
      </c>
      <c r="AL14" t="inlineStr">
        <is>
          <t>1: Unable to download the file from the provided URL. Please ensure the link is correct and points to a valid, downloadable file.</t>
        </is>
      </c>
      <c r="AT14" t="inlineStr">
        <is>
          <t>4: Based on answers provided in Class Specific Details Section, the following legal document types are RECOMMENDED: CANFER Compliant, Energy Efficiency Regulations Compliant, CARB Phase II Compliant (formaldehyde emissions), Tipover Restraint Device In...</t>
        </is>
      </c>
      <c r="CC14" t="inlineStr">
        <is>
          <t>4: RECOMMENDED: You answered “Yes.” Please upload supporting documentation (e.g., certification or lab report). If already uploaded or not applicable, you may ignore this message.</t>
        </is>
      </c>
      <c r="CL14" t="inlineStr">
        <is>
          <t>1: Please select one of the provided options. Custom entries are not allowed for this field.</t>
        </is>
      </c>
      <c r="CM14" t="inlineStr">
        <is>
          <t>1: Please select one of the provided options. Custom entries are not allowed for this field.</t>
        </is>
      </c>
      <c r="CN14" t="inlineStr">
        <is>
          <t>1: Since 'Battery or Batteries Included' is set to 'No', this value should be 'Does Not Apply'.</t>
        </is>
      </c>
      <c r="DF14" t="inlineStr">
        <is>
          <t>1: Please select one of the provided options. Custom entries are not allowed for this field.</t>
        </is>
      </c>
      <c r="DL14" t="inlineStr">
        <is>
          <t>4: REQUIRED: You answered “Yes.” Supporting documentation (e.g., certification or lab report) is required for product launch, but you may proceed with submitting your project in the meantime and upload these later.</t>
        </is>
      </c>
      <c r="DM14" t="inlineStr">
        <is>
          <t>4: REQUIRED: You answered “Yes.” Supporting documentation (e.g., certification or lab report) is required for product launch, but you may proceed with submitting your project in the meantime and upload these later.</t>
        </is>
      </c>
      <c r="DN14" t="inlineStr">
        <is>
          <t>4: REQUIRED: You answered “Yes.” Supporting documentation (e.g., certification or lab report) is required for product launch, but you may proceed with submitting your project in the meantime and upload these later.</t>
        </is>
      </c>
      <c r="DQ14" t="inlineStr">
        <is>
          <t>1: Please select one of the provided options. Custom entries are not allowed for this field.</t>
        </is>
      </c>
      <c r="DX14" t="inlineStr">
        <is>
          <t>4: REQUIRED: You answered “Yes.” Supporting documentation (e.g., certification or lab report) is required for product launch, but you may proceed with submitting your project in the meantime and upload these later.</t>
        </is>
      </c>
      <c r="DZ14" t="inlineStr">
        <is>
          <t>1: Since 'Safety Listing(s)' is set to 'No', this value should be 'Does Not Apply'.</t>
        </is>
      </c>
      <c r="EA14" t="inlineStr">
        <is>
          <t>1: Please select one of the provided options. Custom entries are not allowed for this field.</t>
        </is>
      </c>
    </row>
    <row r="15">
      <c r="D15" t="inlineStr">
        <is>
          <t>1: Please select value from the list</t>
        </is>
      </c>
      <c r="F15" t="inlineStr">
        <is>
          <t>1: This is not a valid UPC</t>
        </is>
      </c>
      <c r="Y15" t="inlineStr">
        <is>
          <t>1: Please select value from the list</t>
        </is>
      </c>
      <c r="Z15" t="inlineStr">
        <is>
          <t>1: Please select value from the list</t>
        </is>
      </c>
      <c r="AL15" t="inlineStr">
        <is>
          <t>1: Unable to download the file from the provided URL. Please ensure the link is correct and points to a valid, downloadable file.</t>
        </is>
      </c>
      <c r="AT15" t="inlineStr">
        <is>
          <t>4: Based on answers provided in Class Specific Details Section, the following legal document types are RECOMMENDED: CANFER Compliant, TSCA Title VI Compliant (formaldehyde emissions), Energy Efficiency Regulations Compliant, CARB Phase II Compliant (fo...</t>
        </is>
      </c>
      <c r="CC15" t="inlineStr">
        <is>
          <t>4: RECOMMENDED: You answered “Yes.” Please upload supporting documentation (e.g., certification or lab report). If already uploaded or not applicable, you may ignore this message.</t>
        </is>
      </c>
      <c r="CL15" t="inlineStr">
        <is>
          <t>1: Please select one of the provided options. Custom entries are not allowed for this field.</t>
        </is>
      </c>
      <c r="CM15" t="inlineStr">
        <is>
          <t>1: Please select one of the provided options. Custom entries are not allowed for this field.</t>
        </is>
      </c>
      <c r="CN15" t="inlineStr">
        <is>
          <t>1: Since 'Battery or Batteries Included' is set to 'No', this value should be 'Does Not Apply'.</t>
        </is>
      </c>
      <c r="DA15" t="inlineStr">
        <is>
          <t>1: Please select one of the provided options. Custom entries are not allowed for this field.</t>
        </is>
      </c>
      <c r="DB15" t="inlineStr">
        <is>
          <t>1: Please select one of the provided options. Custom entries are not allowed for this field.</t>
        </is>
      </c>
      <c r="DF15" t="inlineStr">
        <is>
          <t>1: Please select one of the provided options. Custom entries are not allowed for this field.</t>
        </is>
      </c>
      <c r="DL15" t="inlineStr">
        <is>
          <t>4: REQUIRED: You answered “Yes.” Supporting documentation (e.g., certification or lab report) is required for product launch, but you may proceed with submitting your project in the meantime and upload these later.</t>
        </is>
      </c>
      <c r="DM15" t="inlineStr">
        <is>
          <t>4: REQUIRED: You answered “Yes.” Supporting documentation (e.g., certification or lab report) is required for product launch, but you may proceed with submitting your project in the meantime and upload these later.</t>
        </is>
      </c>
      <c r="DN15" t="inlineStr">
        <is>
          <t>4: REQUIRED: You answered “Yes.” Supporting documentation (e.g., certification or lab report) is required for product launch, but you may proceed with submitting your project in the meantime and upload these later.</t>
        </is>
      </c>
      <c r="DQ15" t="inlineStr">
        <is>
          <t>1: Please select one of the provided options. Custom entries are not allowed for this field.</t>
        </is>
      </c>
      <c r="DX15" t="inlineStr">
        <is>
          <t>4: REQUIRED: You answered “Yes.” Supporting documentation (e.g., certification or lab report) is required for product launch, but you may proceed with submitting your project in the meantime and upload these later.</t>
        </is>
      </c>
      <c r="DZ15" t="inlineStr">
        <is>
          <t>1: Since 'Safety Listing(s)' is set to 'No', this value should be 'Does Not Apply'.</t>
        </is>
      </c>
      <c r="EA15" t="inlineStr">
        <is>
          <t>1: Please select one of the provided options. Custom entries are not allowed for this field.</t>
        </is>
      </c>
    </row>
    <row r="16">
      <c r="D16" t="inlineStr">
        <is>
          <t>1: Please select value from the list</t>
        </is>
      </c>
      <c r="F16" t="inlineStr">
        <is>
          <t>1: This is not a valid UPC</t>
        </is>
      </c>
      <c r="Y16" t="inlineStr">
        <is>
          <t>1: Please select value from the list</t>
        </is>
      </c>
      <c r="Z16" t="inlineStr">
        <is>
          <t>1: Please select value from the list</t>
        </is>
      </c>
      <c r="AL16" t="inlineStr">
        <is>
          <t>1: Unable to download the file from the provided URL. Please ensure the link is correct and points to a valid, downloadable file.</t>
        </is>
      </c>
      <c r="AT16" t="inlineStr">
        <is>
          <t>4: Based on answers provided in Class Specific Details Section, the following legal document types are RECOMMENDED: Tipover Restraint Device Included, CANFER Compliant, Energy Efficiency Regulations Compliant, CARB Phase II Compliant (formaldehyde emis...</t>
        </is>
      </c>
      <c r="CC16" t="inlineStr">
        <is>
          <t>4: RECOMMENDED: You answered “Yes.” Please upload supporting documentation (e.g., certification or lab report). If already uploaded or not applicable, you may ignore this message.</t>
        </is>
      </c>
      <c r="CL16" t="inlineStr">
        <is>
          <t>1: Please select one of the provided options. Custom entries are not allowed for this field.</t>
        </is>
      </c>
      <c r="CM16" t="inlineStr">
        <is>
          <t>1: Please select one of the provided options. Custom entries are not allowed for this field.</t>
        </is>
      </c>
      <c r="CN16" t="inlineStr">
        <is>
          <t>1: Since 'Battery or Batteries Included' is set to 'No', this value should be 'Does Not Apply'.</t>
        </is>
      </c>
      <c r="DF16" t="inlineStr">
        <is>
          <t>1: Please select one of the provided options. Custom entries are not allowed for this field.</t>
        </is>
      </c>
      <c r="DL16" t="inlineStr">
        <is>
          <t>4: REQUIRED: You answered “Yes.” Supporting documentation (e.g., certification or lab report) is required for product launch, but you may proceed with submitting your project in the meantime and upload these later.</t>
        </is>
      </c>
      <c r="DM16" t="inlineStr">
        <is>
          <t>4: REQUIRED: You answered “Yes.” Supporting documentation (e.g., certification or lab report) is required for product launch, but you may proceed with submitting your project in the meantime and upload these later.</t>
        </is>
      </c>
      <c r="DN16" t="inlineStr">
        <is>
          <t>4: REQUIRED: You answered “Yes.” Supporting documentation (e.g., certification or lab report) is required for product launch, but you may proceed with submitting your project in the meantime and upload these later.</t>
        </is>
      </c>
      <c r="DQ16" t="inlineStr">
        <is>
          <t>1: Please select one of the provided options. Custom entries are not allowed for this field.</t>
        </is>
      </c>
      <c r="DX16" t="inlineStr">
        <is>
          <t>4: REQUIRED: You answered “Yes.” Supporting documentation (e.g., certification or lab report) is required for product launch, but you may proceed with submitting your project in the meantime and upload these later.</t>
        </is>
      </c>
      <c r="DZ16" t="inlineStr">
        <is>
          <t>1: Since 'Safety Listing(s)' is set to 'No', this value should be 'Does Not Apply'.</t>
        </is>
      </c>
      <c r="EA16" t="inlineStr">
        <is>
          <t>1: Please select one of the provided options. Custom entries are not allowed for this field.</t>
        </is>
      </c>
    </row>
    <row r="17">
      <c r="D17" t="inlineStr">
        <is>
          <t>1: Please select value from the list</t>
        </is>
      </c>
      <c r="Y17" t="inlineStr">
        <is>
          <t>1: Please select value from the list</t>
        </is>
      </c>
      <c r="Z17" t="inlineStr">
        <is>
          <t>1: Please select value from the list</t>
        </is>
      </c>
      <c r="AL17" t="inlineStr">
        <is>
          <t>1: Unable to download the file from the provided URL. Please ensure the link is correct and points to a valid, downloadable file.</t>
        </is>
      </c>
      <c r="AT17" t="inlineStr">
        <is>
          <t>4: Based on answers provided in Class Specific Details Section, the following legal document types are RECOMMENDED: Energy Efficiency Regulations Compliant, CANFER Compliant, CARB Phase II Compliant (formaldehyde emissions), TSCA Title VI Compliant (fo...</t>
        </is>
      </c>
      <c r="CC17" t="inlineStr">
        <is>
          <t>4: RECOMMENDED: You answered “Yes.” Please upload supporting documentation (e.g., certification or lab report). If already uploaded or not applicable, you may ignore this message.</t>
        </is>
      </c>
      <c r="CL17" t="inlineStr">
        <is>
          <t>1: Please select one of the provided options. Custom entries are not allowed for this field.</t>
        </is>
      </c>
      <c r="CM17" t="inlineStr">
        <is>
          <t>1: Please select one of the provided options. Custom entries are not allowed for this field.</t>
        </is>
      </c>
      <c r="CN17" t="inlineStr">
        <is>
          <t>1: Since 'Battery or Batteries Included' is set to 'No', this value should be 'Does Not Apply'.</t>
        </is>
      </c>
      <c r="DA17" t="inlineStr">
        <is>
          <t>1: Please select one of the provided options. Custom entries are not allowed for this field.</t>
        </is>
      </c>
      <c r="DB17" t="inlineStr">
        <is>
          <t>1: Please select one of the provided options. Custom entries are not allowed for this field.</t>
        </is>
      </c>
      <c r="DF17" t="inlineStr">
        <is>
          <t>1: Please select one of the provided options. Custom entries are not allowed for this field.</t>
        </is>
      </c>
      <c r="DL17" t="inlineStr">
        <is>
          <t>4: REQUIRED: You answered “Yes.” Supporting documentation (e.g., certification or lab report) is required for product launch, but you may proceed with submitting your project in the meantime and upload these later.</t>
        </is>
      </c>
      <c r="DM17" t="inlineStr">
        <is>
          <t>4: REQUIRED: You answered “Yes.” Supporting documentation (e.g., certification or lab report) is required for product launch, but you may proceed with submitting your project in the meantime and upload these later.</t>
        </is>
      </c>
      <c r="DN17" t="inlineStr">
        <is>
          <t>4: REQUIRED: You answered “Yes.” Supporting documentation (e.g., certification or lab report) is required for product launch, but you may proceed with submitting your project in the meantime and upload these later.</t>
        </is>
      </c>
      <c r="DQ17" t="inlineStr">
        <is>
          <t>1: Please select one of the provided options. Custom entries are not allowed for this field.</t>
        </is>
      </c>
      <c r="DX17" t="inlineStr">
        <is>
          <t>4: REQUIRED: You answered “Yes.” Supporting documentation (e.g., certification or lab report) is required for product launch, but you may proceed with submitting your project in the meantime and upload these later.</t>
        </is>
      </c>
      <c r="DZ17" t="inlineStr">
        <is>
          <t>1: Since 'Safety Listing(s)' is set to 'No', this value should be 'Does Not Apply'.</t>
        </is>
      </c>
      <c r="EA17" t="inlineStr">
        <is>
          <t>1: Please select one of the provided options. Custom entries are not allowed for this field.</t>
        </is>
      </c>
    </row>
    <row r="18">
      <c r="D18" t="inlineStr">
        <is>
          <t>1: Please select value from the list</t>
        </is>
      </c>
      <c r="F18" t="inlineStr">
        <is>
          <t>1: This is not a valid UPC</t>
        </is>
      </c>
      <c r="Y18" t="inlineStr">
        <is>
          <t>1: Please select value from the list</t>
        </is>
      </c>
      <c r="Z18" t="inlineStr">
        <is>
          <t>1: Please select value from the list</t>
        </is>
      </c>
      <c r="AL18" t="inlineStr">
        <is>
          <t>1: Unable to download the file from the provided URL. Please ensure the link is correct and points to a valid, downloadable file.</t>
        </is>
      </c>
      <c r="AT18" t="inlineStr">
        <is>
          <t>4: Based on answers provided in Class Specific Details Section, the following legal document types are RECOMMENDED: Energy Efficiency Regulations Compliant, Tipover Restraint Device Included, CANFER Compliant, TSCA Title VI Compliant (formaldehyde emis...</t>
        </is>
      </c>
      <c r="CC18" t="inlineStr">
        <is>
          <t>4: RECOMMENDED: You answered “Yes.” Please upload supporting documentation (e.g., certification or lab report). If already uploaded or not applicable, you may ignore this message.</t>
        </is>
      </c>
      <c r="CL18" t="inlineStr">
        <is>
          <t>1: Please select one of the provided options. Custom entries are not allowed for this field.</t>
        </is>
      </c>
      <c r="CM18" t="inlineStr">
        <is>
          <t>1: Please select one of the provided options. Custom entries are not allowed for this field.</t>
        </is>
      </c>
      <c r="CN18" t="inlineStr">
        <is>
          <t>1: Since 'Battery or Batteries Included' is set to 'No', this value should be 'Does Not Apply'.</t>
        </is>
      </c>
      <c r="DA18" t="inlineStr">
        <is>
          <t>1: Please select one of the provided options. Custom entries are not allowed for this field.</t>
        </is>
      </c>
      <c r="DB18" t="inlineStr">
        <is>
          <t>1: Please select one of the provided options. Custom entries are not allowed for this field.</t>
        </is>
      </c>
      <c r="DF18" t="inlineStr">
        <is>
          <t>1: Please select one of the provided options. Custom entries are not allowed for this field.</t>
        </is>
      </c>
      <c r="DL18" t="inlineStr">
        <is>
          <t>4: REQUIRED: You answered “Yes.” Supporting documentation (e.g., certification or lab report) is required for product launch, but you may proceed with submitting your project in the meantime and upload these later.</t>
        </is>
      </c>
      <c r="DM18" t="inlineStr">
        <is>
          <t>4: REQUIRED: You answered “Yes.” Supporting documentation (e.g., certification or lab report) is required for product launch, but you may proceed with submitting your project in the meantime and upload these later.</t>
        </is>
      </c>
      <c r="DN18" t="inlineStr">
        <is>
          <t>4: REQUIRED: You answered “Yes.” Supporting documentation (e.g., certification or lab report) is required for product launch, but you may proceed with submitting your project in the meantime and upload these later.</t>
        </is>
      </c>
      <c r="DQ18" t="inlineStr">
        <is>
          <t>1: Please select one of the provided options. Custom entries are not allowed for this field.</t>
        </is>
      </c>
      <c r="DX18" t="inlineStr">
        <is>
          <t>4: REQUIRED: You answered “Yes.” Supporting documentation (e.g., certification or lab report) is required for product launch, but you may proceed with submitting your project in the meantime and upload these later.</t>
        </is>
      </c>
      <c r="DZ18" t="inlineStr">
        <is>
          <t>1: Since 'Safety Listing(s)' is set to 'No', this value should be 'Does Not Apply'.</t>
        </is>
      </c>
      <c r="EA18" t="inlineStr">
        <is>
          <t>1: Please select one of the provided options. Custom entries are not allowed for this field.</t>
        </is>
      </c>
    </row>
    <row r="19">
      <c r="D19" t="inlineStr">
        <is>
          <t>1: Please select value from the list</t>
        </is>
      </c>
      <c r="F19" t="inlineStr">
        <is>
          <t>1: This is not a valid UPC</t>
        </is>
      </c>
      <c r="Y19" t="inlineStr">
        <is>
          <t>1: Please select value from the list</t>
        </is>
      </c>
      <c r="Z19" t="inlineStr">
        <is>
          <t>1: Please select value from the list</t>
        </is>
      </c>
      <c r="AL19" t="inlineStr">
        <is>
          <t>1: Unable to download the file from the provided URL. Please ensure the link is correct and points to a valid, downloadable file.</t>
        </is>
      </c>
      <c r="AT19" t="inlineStr">
        <is>
          <t>4: Based on answers provided in Class Specific Details Section, the following legal document types are RECOMMENDED: Tipover Restraint Device Included, TSCA Title VI Compliant (formaldehyde emissions), CARB Phase II Compliant (formaldehyde emissions), E...</t>
        </is>
      </c>
      <c r="CC19" t="inlineStr">
        <is>
          <t>4: RECOMMENDED: You answered “Yes.” Please upload supporting documentation (e.g., certification or lab report). If already uploaded or not applicable, you may ignore this message.</t>
        </is>
      </c>
      <c r="CL19" t="inlineStr">
        <is>
          <t>1: Please select one of the provided options. Custom entries are not allowed for this field.</t>
        </is>
      </c>
      <c r="CM19" t="inlineStr">
        <is>
          <t>1: Please select one of the provided options. Custom entries are not allowed for this field.</t>
        </is>
      </c>
      <c r="CN19" t="inlineStr">
        <is>
          <t>1: Since 'Battery or Batteries Included' is set to 'No', this value should be 'Does Not Apply'.</t>
        </is>
      </c>
      <c r="DA19" t="inlineStr">
        <is>
          <t>1: Please select one of the provided options. Custom entries are not allowed for this field.</t>
        </is>
      </c>
      <c r="DB19" t="inlineStr">
        <is>
          <t>1: Please select one of the provided options. Custom entries are not allowed for this field.</t>
        </is>
      </c>
      <c r="DF19" t="inlineStr">
        <is>
          <t>1: Please select one of the provided options. Custom entries are not allowed for this field.</t>
        </is>
      </c>
      <c r="DL19" t="inlineStr">
        <is>
          <t>4: REQUIRED: You answered “Yes.” Supporting documentation (e.g., certification or lab report) is required for product launch, but you may proceed with submitting your project in the meantime and upload these later.</t>
        </is>
      </c>
      <c r="DM19" t="inlineStr">
        <is>
          <t>4: REQUIRED: You answered “Yes.” Supporting documentation (e.g., certification or lab report) is required for product launch, but you may proceed with submitting your project in the meantime and upload these later.</t>
        </is>
      </c>
      <c r="DN19" t="inlineStr">
        <is>
          <t>4: REQUIRED: You answered “Yes.” Supporting documentation (e.g., certification or lab report) is required for product launch, but you may proceed with submitting your project in the meantime and upload these later.</t>
        </is>
      </c>
      <c r="DQ19" t="inlineStr">
        <is>
          <t>1: Please select one of the provided options. Custom entries are not allowed for this field.</t>
        </is>
      </c>
      <c r="DX19" t="inlineStr">
        <is>
          <t>4: REQUIRED: You answered “Yes.” Supporting documentation (e.g., certification or lab report) is required for product launch, but you may proceed with submitting your project in the meantime and upload these later.</t>
        </is>
      </c>
      <c r="DZ19" t="inlineStr">
        <is>
          <t>1: Since 'Safety Listing(s)' is set to 'No', this value should be 'Does Not Apply'.</t>
        </is>
      </c>
      <c r="EA19" t="inlineStr">
        <is>
          <t>1: Please select one of the provided options. Custom entries are not allowed for this field.</t>
        </is>
      </c>
    </row>
    <row r="20">
      <c r="D20" t="inlineStr">
        <is>
          <t>1: Please select value from the list</t>
        </is>
      </c>
      <c r="F20" t="inlineStr">
        <is>
          <t>1: This is not a valid UPC</t>
        </is>
      </c>
      <c r="Y20" t="inlineStr">
        <is>
          <t>1: Please select value from the list</t>
        </is>
      </c>
      <c r="Z20" t="inlineStr">
        <is>
          <t>1: Please select value from the list</t>
        </is>
      </c>
      <c r="AL20" t="inlineStr">
        <is>
          <t>1: Unable to download the file from the provided URL. Please ensure the link is correct and points to a valid, downloadable file.</t>
        </is>
      </c>
      <c r="AT20" t="inlineStr">
        <is>
          <t>4: Based on answers provided in Class Specific Details Section, the following legal document types are RECOMMENDED: TSCA Title VI Compliant (formaldehyde emissions), CANFER Compliant, Energy Efficiency Regulations Compliant, Tipover Restraint Device In...</t>
        </is>
      </c>
      <c r="CC20" t="inlineStr">
        <is>
          <t>4: RECOMMENDED: You answered “Yes.” Please upload supporting documentation (e.g., certification or lab report). If already uploaded or not applicable, you may ignore this message.</t>
        </is>
      </c>
      <c r="CL20" t="inlineStr">
        <is>
          <t>1: Please select one of the provided options. Custom entries are not allowed for this field.</t>
        </is>
      </c>
      <c r="CM20" t="inlineStr">
        <is>
          <t>1: Please select one of the provided options. Custom entries are not allowed for this field.</t>
        </is>
      </c>
      <c r="CN20" t="inlineStr">
        <is>
          <t>1: Since 'Battery or Batteries Included' is set to 'No', this value should be 'Does Not Apply'.</t>
        </is>
      </c>
      <c r="DA20" t="inlineStr">
        <is>
          <t>1: Please select one of the provided options. Custom entries are not allowed for this field.</t>
        </is>
      </c>
      <c r="DB20" t="inlineStr">
        <is>
          <t>1: Please select one of the provided options. Custom entries are not allowed for this field.</t>
        </is>
      </c>
      <c r="DF20" t="inlineStr">
        <is>
          <t>1: Please select one of the provided options. Custom entries are not allowed for this field.</t>
        </is>
      </c>
      <c r="DL20" t="inlineStr">
        <is>
          <t>4: REQUIRED: You answered “Yes.” Supporting documentation (e.g., certification or lab report) is required for product launch, but you may proceed with submitting your project in the meantime and upload these later.</t>
        </is>
      </c>
      <c r="DM20" t="inlineStr">
        <is>
          <t>4: REQUIRED: You answered “Yes.” Supporting documentation (e.g., certification or lab report) is required for product launch, but you may proceed with submitting your project in the meantime and upload these later.</t>
        </is>
      </c>
      <c r="DN20" t="inlineStr">
        <is>
          <t>4: REQUIRED: You answered “Yes.” Supporting documentation (e.g., certification or lab report) is required for product launch, but you may proceed with submitting your project in the meantime and upload these later.</t>
        </is>
      </c>
      <c r="DQ20" t="inlineStr">
        <is>
          <t>1: Please select one of the provided options. Custom entries are not allowed for this field.</t>
        </is>
      </c>
      <c r="DX20" t="inlineStr">
        <is>
          <t>4: REQUIRED: You answered “Yes.” Supporting documentation (e.g., certification or lab report) is required for product launch, but you may proceed with submitting your project in the meantime and upload these later.</t>
        </is>
      </c>
      <c r="DZ20" t="inlineStr">
        <is>
          <t>1: Since 'Safety Listing(s)' is set to 'No', this value should be 'Does Not Apply'.</t>
        </is>
      </c>
      <c r="EA20" t="inlineStr">
        <is>
          <t>1: Please select one of the provided options. Custom entries are not allowed for this field.</t>
        </is>
      </c>
    </row>
    <row r="21">
      <c r="D21" t="inlineStr">
        <is>
          <t>1: Please select value from the list</t>
        </is>
      </c>
      <c r="F21" t="inlineStr">
        <is>
          <t>1: This is not a valid UPC</t>
        </is>
      </c>
      <c r="Y21" t="inlineStr">
        <is>
          <t>1: Please select value from the list</t>
        </is>
      </c>
      <c r="Z21" t="inlineStr">
        <is>
          <t>1: Please select value from the list</t>
        </is>
      </c>
      <c r="AL21" t="inlineStr">
        <is>
          <t>1: Unable to download the file from the provided URL. Please ensure the link is correct and points to a valid, downloadable file.</t>
        </is>
      </c>
      <c r="AT21" t="inlineStr">
        <is>
          <t>4: Based on answers provided in Class Specific Details Section, the following legal document types are RECOMMENDED: Tipover Restraint Device Included, CANFER Compliant, TSCA Title VI Compliant (formaldehyde emissions), CARB Phase II Compliant (formalde...</t>
        </is>
      </c>
      <c r="CC21" t="inlineStr">
        <is>
          <t>4: RECOMMENDED: You answered “Yes.” Please upload supporting documentation (e.g., certification or lab report). If already uploaded or not applicable, you may ignore this message.</t>
        </is>
      </c>
      <c r="CL21" t="inlineStr">
        <is>
          <t>1: Please select one of the provided options. Custom entries are not allowed for this field.</t>
        </is>
      </c>
      <c r="CM21" t="inlineStr">
        <is>
          <t>1: Please select one of the provided options. Custom entries are not allowed for this field.</t>
        </is>
      </c>
      <c r="CN21" t="inlineStr">
        <is>
          <t>1: Since 'Battery or Batteries Included' is set to 'No', this value should be 'Does Not Apply'.</t>
        </is>
      </c>
      <c r="DA21" t="inlineStr">
        <is>
          <t>1: Please select one of the provided options. Custom entries are not allowed for this field.</t>
        </is>
      </c>
      <c r="DB21" t="inlineStr">
        <is>
          <t>1: Please select one of the provided options. Custom entries are not allowed for this field.</t>
        </is>
      </c>
      <c r="DF21" t="inlineStr">
        <is>
          <t>1: Please select one of the provided options. Custom entries are not allowed for this field.</t>
        </is>
      </c>
      <c r="DL21" t="inlineStr">
        <is>
          <t>4: REQUIRED: You answered “Yes.” Supporting documentation (e.g., certification or lab report) is required for product launch, but you may proceed with submitting your project in the meantime and upload these later.</t>
        </is>
      </c>
      <c r="DM21" t="inlineStr">
        <is>
          <t>4: REQUIRED: You answered “Yes.” Supporting documentation (e.g., certification or lab report) is required for product launch, but you may proceed with submitting your project in the meantime and upload these later.</t>
        </is>
      </c>
      <c r="DN21" t="inlineStr">
        <is>
          <t>4: REQUIRED: You answered “Yes.” Supporting documentation (e.g., certification or lab report) is required for product launch, but you may proceed with submitting your project in the meantime and upload these later.</t>
        </is>
      </c>
      <c r="DQ21" t="inlineStr">
        <is>
          <t>1: Please select one of the provided options. Custom entries are not allowed for this field.</t>
        </is>
      </c>
      <c r="DX21" t="inlineStr">
        <is>
          <t>4: REQUIRED: You answered “Yes.” Supporting documentation (e.g., certification or lab report) is required for product launch, but you may proceed with submitting your project in the meantime and upload these later.</t>
        </is>
      </c>
      <c r="DZ21" t="inlineStr">
        <is>
          <t>1: Since 'Safety Listing(s)' is set to 'No', this value should be 'Does Not Apply'.</t>
        </is>
      </c>
      <c r="EA21" t="inlineStr">
        <is>
          <t>1: Please select one of the provided options. Custom entries are not allowed for this field.</t>
        </is>
      </c>
    </row>
    <row r="22">
      <c r="D22" t="inlineStr">
        <is>
          <t>1: Please select value from the list</t>
        </is>
      </c>
      <c r="F22" t="inlineStr">
        <is>
          <t>1: This is not a valid UPC</t>
        </is>
      </c>
      <c r="Y22" t="inlineStr">
        <is>
          <t>1: Please select value from the list</t>
        </is>
      </c>
      <c r="Z22" t="inlineStr">
        <is>
          <t>1: Please select value from the list</t>
        </is>
      </c>
      <c r="AL22" t="inlineStr">
        <is>
          <t>1: Unable to download the file from the provided URL. Please ensure the link is correct and points to a valid, downloadable file.</t>
        </is>
      </c>
      <c r="AT22" t="inlineStr">
        <is>
          <t>4: Based on answers provided in Class Specific Details Section, the following legal document types are RECOMMENDED: TSCA Title VI Compliant (formaldehyde emissions), Energy Efficiency Regulations Compliant, Tipover Restraint Device Included, CANFER Com...</t>
        </is>
      </c>
      <c r="CC22" t="inlineStr">
        <is>
          <t>4: RECOMMENDED: You answered “Yes.” Please upload supporting documentation (e.g., certification or lab report). If already uploaded or not applicable, you may ignore this message.</t>
        </is>
      </c>
      <c r="CL22" t="inlineStr">
        <is>
          <t>1: Please select one of the provided options. Custom entries are not allowed for this field.</t>
        </is>
      </c>
      <c r="CM22" t="inlineStr">
        <is>
          <t>1: Please select one of the provided options. Custom entries are not allowed for this field.</t>
        </is>
      </c>
      <c r="CN22" t="inlineStr">
        <is>
          <t>1: Since 'Battery or Batteries Included' is set to 'No', this value should be 'Does Not Apply'.</t>
        </is>
      </c>
      <c r="DA22" t="inlineStr">
        <is>
          <t>1: Please select one of the provided options. Custom entries are not allowed for this field.</t>
        </is>
      </c>
      <c r="DB22" t="inlineStr">
        <is>
          <t>1: Please select one of the provided options. Custom entries are not allowed for this field.</t>
        </is>
      </c>
      <c r="DF22" t="inlineStr">
        <is>
          <t>1: Please select one of the provided options. Custom entries are not allowed for this field.</t>
        </is>
      </c>
      <c r="DL22" t="inlineStr">
        <is>
          <t>4: REQUIRED: You answered “Yes.” Supporting documentation (e.g., certification or lab report) is required for product launch, but you may proceed with submitting your project in the meantime and upload these later.</t>
        </is>
      </c>
      <c r="DM22" t="inlineStr">
        <is>
          <t>4: REQUIRED: You answered “Yes.” Supporting documentation (e.g., certification or lab report) is required for product launch, but you may proceed with submitting your project in the meantime and upload these later.</t>
        </is>
      </c>
      <c r="DN22" t="inlineStr">
        <is>
          <t>4: REQUIRED: You answered “Yes.” Supporting documentation (e.g., certification or lab report) is required for product launch, but you may proceed with submitting your project in the meantime and upload these later.</t>
        </is>
      </c>
      <c r="DQ22" t="inlineStr">
        <is>
          <t>1: Please select one of the provided options. Custom entries are not allowed for this field.</t>
        </is>
      </c>
      <c r="DX22" t="inlineStr">
        <is>
          <t>4: REQUIRED: You answered “Yes.” Supporting documentation (e.g., certification or lab report) is required for product launch, but you may proceed with submitting your project in the meantime and upload these later.</t>
        </is>
      </c>
      <c r="DZ22" t="inlineStr">
        <is>
          <t>1: Since 'Safety Listing(s)' is set to 'No', this value should be 'Does Not Apply'.</t>
        </is>
      </c>
      <c r="EA22" t="inlineStr">
        <is>
          <t>1: Please select one of the provided options. Custom entries are not allowed for this field.</t>
        </is>
      </c>
    </row>
  </sheetData>
  <sheetProtection selectLockedCells="0" selectUnlockedCells="0" sheet="1" objects="1" insertRows="1" insertHyperlinks="1" autoFilter="1" scenarios="1" formatColumns="1" deleteColumns="1" insertColumns="1" pivotTables="1" deleteRows="1" formatCells="1" formatRows="1" sort="1" password="9D6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2026-02-25T08:30:46Z</dcterms:created>
  <dcterms:modified xsi:type="dcterms:W3CDTF">2026-02-25T09:44:46Z</dcterms:modified>
</cp:coreProperties>
</file>