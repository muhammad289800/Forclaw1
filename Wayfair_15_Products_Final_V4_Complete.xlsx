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3 - Carts &amp; Stands" sheetId="4" state="visible" r:id="rId4"/>
    <sheet name="3 - Carts &amp; Stands-WUO_ERR" sheetId="5" state="hidden" r:id="rId5"/>
    <sheet name="3 - Carts &amp; Stands-WUO_TRK" sheetId="6" state="hidden" r:id="rId6"/>
    <sheet name="6 - TV Stands &amp; Enterta" sheetId="7" state="visible" r:id="rId7"/>
    <sheet name="6 - TV Stands &amp; Enterta-WUO_ERR" sheetId="8" state="hidden" r:id="rId8"/>
    <sheet name="6 - TV Stands &amp; Enterta-WUO_TRK" sheetId="9" state="hidden" r:id="rId9"/>
    <sheet name="10 - Office Chairs" sheetId="10" state="visible" r:id="rId10"/>
    <sheet name="10 - Office Chairs-WUO_ERR" sheetId="11" state="hidden" r:id="rId11"/>
    <sheet name="10 - Office Chairs-WUO_TRK" sheetId="12" state="hidden" r:id="rId12"/>
    <sheet name="13 - Dressers &amp; Chests" sheetId="13" state="visible" r:id="rId13"/>
    <sheet name="13 - Dressers &amp; Chests-WUO_ERR" sheetId="14" state="hidden" r:id="rId14"/>
    <sheet name="13 - Dressers &amp; Chests-WUO_TRK" sheetId="15" state="hidden" r:id="rId15"/>
    <sheet name="12 - Beds" sheetId="16" state="visible" r:id="rId16"/>
    <sheet name="12 - Beds-WUO_ERR" sheetId="17" state="hidden" r:id="rId17"/>
    <sheet name="12 - Beds-WUO_TRK" sheetId="18" state="hidden" r:id="rId18"/>
    <sheet name="Additional Cartons" sheetId="19" state="visible" r:id="rId19"/>
    <sheet name="Additional Cartons-WUO_ERR" sheetId="20" state="hidden" r:id="rId20"/>
    <sheet name="Additional Cartons-WUO_TRK" sheetId="21" state="hidden" r:id="rId21"/>
    <sheet name="Additional Chemicals" sheetId="22" state="visible" r:id="rId22"/>
    <sheet name="Additional Chemicals-WUO_ERR" sheetId="23" state="hidden" r:id="rId23"/>
    <sheet name="Additional Chemicals-WUO_TRK" sheetId="24" state="hidden" r:id="rId24"/>
    <sheet name="Additional Images" sheetId="25" state="visible" r:id="rId25"/>
    <sheet name="Additional Images-WUO_ERR" sheetId="26" state="hidden" r:id="rId26"/>
    <sheet name="Additional Images-WUO_TRK" sheetId="27" state="hidden" r:id="rId27"/>
    <sheet name="Additional Videos" sheetId="28" state="visible" r:id="rId28"/>
    <sheet name="Additional Videos-WUO_ERR" sheetId="29" state="hidden" r:id="rId29"/>
    <sheet name="Additional Videos-WUO_TRK" sheetId="30" state="hidden" r:id="rId30"/>
    <sheet name="Additional Documents" sheetId="31" state="visible" r:id="rId31"/>
    <sheet name="Additional Documents-WUO_ERR" sheetId="32" state="hidden" r:id="rId32"/>
    <sheet name="Additional Documents-WUO_TRK" sheetId="33" state="hidden" r:id="rId33"/>
    <sheet name="Valid Values" sheetId="34" state="visible" r:id="rId34"/>
  </sheets>
  <definedNames>
    <definedName name="allowed149726">'Valid Values'!$T$2:$T$221</definedName>
    <definedName name="allowed149756">'Valid Values'!$AQ$2:$AQ$5</definedName>
    <definedName name="allowed149964">'Valid Values'!$AH$2:$AH$9</definedName>
    <definedName name="allowed149965">'Valid Values'!$AF$2:$AF$9</definedName>
    <definedName name="allowed184838">'Valid Values'!$GI$2:$GI$16</definedName>
    <definedName name="allowed185252">'Valid Values'!$U$2:$U$70</definedName>
    <definedName name="allowed185254">'Valid Values'!$BJ$2:$BJ$70</definedName>
    <definedName name="allowed185256">'Valid Values'!$GT$2:$GT$70</definedName>
    <definedName name="allowed185257">'Valid Values'!$FK$2:$FK$71</definedName>
    <definedName name="allowed192864">'Valid Values'!$AJ$2:$AJ$4</definedName>
    <definedName name="allowed192875">'Valid Values'!$AP$2:$AP$5</definedName>
    <definedName name="allowed194726">'Valid Values'!$ED$2:$ED$4</definedName>
    <definedName name="allowed194739">'Valid Values'!$EM$2:$EM$5</definedName>
    <definedName name="allowed19928">'Valid Values'!$CW$2:$CW$9</definedName>
    <definedName name="allowed200855">'Valid Values'!$CY$2:$CY$11</definedName>
    <definedName name="allowed200866">'Valid Values'!$CX$2:$CX$56</definedName>
    <definedName name="allowed200874">'Valid Values'!$DA$2:$DA$43</definedName>
    <definedName name="allowed200875">'Valid Values'!$DV$2:$DV$12</definedName>
    <definedName name="allowed201479">'Valid Values'!$BF$2:$BF$3</definedName>
    <definedName name="allowed202222">'Valid Values'!$DG$2:$DG$9</definedName>
    <definedName name="allowed20251">'Valid Values'!$DH$2:$DH$22</definedName>
    <definedName name="allowed20252">'Valid Values'!$DY$2:$DY$17</definedName>
    <definedName name="allowed20254">'Valid Values'!$DU$2:$DU$21</definedName>
    <definedName name="allowed202653">'Valid Values'!$HO$2:$HO$6</definedName>
    <definedName name="allowed204373">'Valid Values'!$EI$2:$EI$6</definedName>
    <definedName name="allowed214542">'Valid Values'!$FD$2:$FD$3</definedName>
    <definedName name="allowed217965">'Valid Values'!$CQ$2:$CQ$20</definedName>
    <definedName name="allowed220265">'Valid Values'!$BW$2:$BW$16</definedName>
    <definedName name="allowed220267">'Valid Values'!$BV$2:$BV$9</definedName>
    <definedName name="allowed222414">'Valid Values'!$DI$2:$DI$3</definedName>
    <definedName name="allowed222775">'Valid Values'!$CR$2:$CR$5</definedName>
    <definedName name="allowed222778">'Valid Values'!$CS$2:$CS$61</definedName>
    <definedName name="allowed222782">'Valid Values'!$IG$2:$IG$5</definedName>
    <definedName name="allowed222785">'Valid Values'!$IH$2:$IH$61</definedName>
    <definedName name="allowed222789">'Valid Values'!$GC$2:$GC$5</definedName>
    <definedName name="allowed222792">'Valid Values'!$GD$2:$GD$61</definedName>
    <definedName name="allowed222860">'Valid Values'!$BD$2:$BD$12</definedName>
    <definedName name="allowed222861">'Valid Values'!$BE$2:$BE$7</definedName>
    <definedName name="allowed222862">'Valid Values'!$DE$2:$DE$12</definedName>
    <definedName name="allowed222863">'Valid Values'!$DF$2:$DF$7</definedName>
    <definedName name="allowed222864">'Valid Values'!$GO$2:$GO$7</definedName>
    <definedName name="allowed222865">'Valid Values'!$GP$2:$GP$12</definedName>
    <definedName name="allowed222867">'Valid Values'!$FE$2:$FE$12</definedName>
    <definedName name="allowed222868">'Valid Values'!$FF$2:$FF$7</definedName>
    <definedName name="allowed223412">'Valid Values'!$EA$2:$EA$10</definedName>
    <definedName name="allowed223513">'Valid Values'!$GQ$2:$GQ$3</definedName>
    <definedName name="allowed223515">'Valid Values'!$FG$2:$FG$3</definedName>
    <definedName name="allowed224155">'Valid Values'!$HD$2:$HD$13</definedName>
    <definedName name="allowed224158">'Valid Values'!$HE$2:$HE$9</definedName>
    <definedName name="allowed224163">'Valid Values'!$GL$2:$GL$12</definedName>
    <definedName name="allowed224311">'Valid Values'!$HM$2:$HM$5</definedName>
    <definedName name="allowed224759">'Valid Values'!$CB$2:$CB$4</definedName>
    <definedName name="allowed224768">'Valid Values'!$HJ$2:$HJ$5</definedName>
    <definedName name="allowed224770">'Valid Values'!$FT$2:$FT$4</definedName>
    <definedName name="allowed224843">'Valid Values'!$AK$2:$AK$5</definedName>
    <definedName name="allowed224856">'Valid Values'!$EE$2:$EE$5</definedName>
    <definedName name="allowed224980">'Valid Values'!$CC$2:$CC$4</definedName>
    <definedName name="allowed224989">'Valid Values'!$HK$2:$HK$5</definedName>
    <definedName name="allowed224991">'Valid Values'!$FU$2:$FU$4</definedName>
    <definedName name="allowed225064">'Valid Values'!$AL$2:$AL$5</definedName>
    <definedName name="allowed225077">'Valid Values'!$EF$2:$EF$5</definedName>
    <definedName name="allowed225357">'Valid Values'!$EH$2:$EH$6</definedName>
    <definedName name="allowed225358">'Valid Values'!$HN$2:$HN$6</definedName>
    <definedName name="allowed225727">'Valid Values'!$EJ$2:$EJ$5</definedName>
    <definedName name="allowed227966">'Valid Values'!$BG$2:$BG$3</definedName>
    <definedName name="allowed228640">'Valid Values'!$EW$2:$EW$5</definedName>
    <definedName name="allowed229333">'Valid Values'!$V$2:$V$3</definedName>
    <definedName name="allowed231828">'Valid Values'!$FH$2:$FH$26</definedName>
    <definedName name="allowed236080">'Valid Values'!$AN$2:$AN$4</definedName>
    <definedName name="allowed236083">'Valid Values'!$CE$2:$CE$3</definedName>
    <definedName name="allowed236085">'Valid Values'!$EK$2:$EK$4</definedName>
    <definedName name="allowed236086">'Valid Values'!$HP$2:$HP$4</definedName>
    <definedName name="allowed236087">'Valid Values'!$FW$2:$FW$3</definedName>
    <definedName name="allowed242937">'Valid Values'!$GN$2:$GN$9</definedName>
    <definedName name="allowed243578">'Valid Values'!$HT$2:$HT$5</definedName>
    <definedName name="allowed244538">'Valid Values'!$FI$2:$FI$6</definedName>
    <definedName name="allowed244542">'Valid Values'!$GR$2:$GR$6</definedName>
    <definedName name="allowed244566">'Valid Values'!$BH$2:$BH$6</definedName>
    <definedName name="allowed244581">'Valid Values'!$DJ$2:$DJ$6</definedName>
    <definedName name="allowed245268">'Valid Values'!$W$2:$W$6</definedName>
    <definedName name="allowed246161">'Valid Values'!$HR$2:$HR$5</definedName>
    <definedName name="allowed246188">'Valid Values'!$HS$2:$HS$5</definedName>
    <definedName name="allowed250332">'Valid Values'!$GM$2:$GM$10</definedName>
    <definedName name="allowed251018">'Valid Values'!$HQ$2:$HQ$5</definedName>
    <definedName name="allowed251022">'Valid Values'!$FX$2:$FX$5</definedName>
    <definedName name="allowed251061">'Valid Values'!$AO$2:$AO$5</definedName>
    <definedName name="allowed251110">'Valid Values'!$CF$2:$CF$5</definedName>
    <definedName name="allowed251178">'Valid Values'!$EL$2:$EL$5</definedName>
    <definedName name="allowed252472">'Valid Values'!$HF$2:$HF$12</definedName>
    <definedName name="allowed255114">'Valid Values'!$EZ$2:$EZ$4</definedName>
    <definedName name="allowed255296">'Valid Values'!$IJ$2:$IJ$4</definedName>
    <definedName name="allowed255305">'Valid Values'!$CU$2:$CU$4</definedName>
    <definedName name="allowed255311">'Valid Values'!$GF$2:$GF$5</definedName>
    <definedName name="allowed255912">'Valid Values'!$AZ$2:$AZ$22</definedName>
    <definedName name="allowed256090">'Valid Values'!$CV$2:$CV$22</definedName>
    <definedName name="allowed256095">'Valid Values'!$IK$2:$IK$22</definedName>
    <definedName name="allowed257300">'Valid Values'!$CZ$2:$CZ$43</definedName>
    <definedName name="allowed257301">'Valid Values'!$DB$2:$DB$23</definedName>
    <definedName name="allowed257309">'Valid Values'!$DC$2:$DC$21</definedName>
    <definedName name="allowed257315">'Valid Values'!$DD$2:$DD$10</definedName>
    <definedName name="allowed258418">'Valid Values'!$EX$2:$EX$61</definedName>
    <definedName name="allowed258936">'Valid Values'!$FQ$2:$FQ$3</definedName>
    <definedName name="allowed292710">'Valid Values'!$FN$2:$FN$6</definedName>
    <definedName name="allowed292745">'Valid Values'!$HC$2:$HC$6</definedName>
    <definedName name="allowed292794">'Valid Values'!$BU$2:$BU$17</definedName>
    <definedName name="allowed293470">'Valid Values'!$GS$2:$GS$20</definedName>
    <definedName name="allowed293477">'Valid Values'!$FJ$2:$FJ$20</definedName>
    <definedName name="allowed293480">'Valid Values'!$BI$2:$BI$20</definedName>
    <definedName name="allowed293484">'Valid Values'!$DK$2:$DK$20</definedName>
    <definedName name="allowed310560">'Valid Values'!$CG$2:$CG$5</definedName>
    <definedName name="allowed331917">'Valid Values'!$FR$2:$FR$4</definedName>
    <definedName name="allowed332816">'Valid Values'!$FL$2:$FL$100</definedName>
    <definedName name="allowed333812">'Valid Values'!$CT$2:$CT$26</definedName>
    <definedName name="allowed333844">'Valid Values'!$GE$2:$GE$26</definedName>
    <definedName name="allowed333926">'Valid Values'!$EY$2:$EY$26</definedName>
    <definedName name="allowed334025">'Valid Values'!$II$2:$II$26</definedName>
    <definedName name="allowed334763">'Valid Values'!$AY$2:$AY$26</definedName>
    <definedName name="allowed336669">'Valid Values'!$GU$2:$GU$40</definedName>
    <definedName name="allowed340396">'Valid Values'!$DL$2:$DL$11</definedName>
    <definedName name="allowed340616">'Valid Values'!$GV$2:$GV$11</definedName>
    <definedName name="allowed340804">'Valid Values'!$AS$2:$AS$17</definedName>
    <definedName name="allowed340810">'Valid Values'!$CI$2:$CI$17</definedName>
    <definedName name="allowed341056">'Valid Values'!$AT$2:$AT$6</definedName>
    <definedName name="allowed341070">'Valid Values'!$CJ$2:$CJ$6</definedName>
    <definedName name="allowed341383">'Valid Values'!$EO$2:$EO$17</definedName>
    <definedName name="allowed341396">'Valid Values'!$EP$2:$EP$6</definedName>
    <definedName name="allowed341882">'Valid Values'!$HW$2:$HW$17</definedName>
    <definedName name="allowed341883">'Valid Values'!$HX$2:$HX$6</definedName>
    <definedName name="allowed342365">'Valid Values'!$DM$2:$DM$5</definedName>
    <definedName name="allowed342373">'Valid Values'!$DO$2:$DO$5</definedName>
    <definedName name="allowed342726">'Valid Values'!$GW$2:$GW$5</definedName>
    <definedName name="allowed342735">'Valid Values'!$GY$2:$GY$5</definedName>
    <definedName name="allowed342802">'Valid Values'!$DQ$2:$DQ$8</definedName>
    <definedName name="allowed342809">'Valid Values'!$DP$2:$DP$8</definedName>
    <definedName name="allowed343325">'Valid Values'!$HA$2:$HA$8</definedName>
    <definedName name="allowed343332">'Valid Values'!$GZ$2:$GZ$8</definedName>
    <definedName name="allowed346774">'Valid Values'!$Y$2:$Y$11</definedName>
    <definedName name="allowed346869">'Valid Values'!$BK$2:$BK$11</definedName>
    <definedName name="allowed351568">'Valid Values'!$X$2:$X$5</definedName>
    <definedName name="allowed351573">'Valid Values'!$AA$2:$AA$5</definedName>
    <definedName name="allowed351604">'Valid Values'!$AD$2:$AD$6</definedName>
    <definedName name="allowed351619">'Valid Values'!$BL$2:$BL$5</definedName>
    <definedName name="allowed351641">'Valid Values'!$BN$2:$BN$5</definedName>
    <definedName name="allowed351649">'Valid Values'!$BQ$2:$BQ$6</definedName>
    <definedName name="allowed352295">'Valid Values'!$AC$2:$AC$8</definedName>
    <definedName name="allowed352308">'Valid Values'!$AB$2:$AB$8</definedName>
    <definedName name="allowed352342">'Valid Values'!$BP$2:$BP$8</definedName>
    <definedName name="allowed352351">'Valid Values'!$BO$2:$BO$8</definedName>
    <definedName name="allowed352585">'Valid Values'!$DR$2:$DR$6</definedName>
    <definedName name="allowed352587">'Valid Values'!$HB$2:$HB$6</definedName>
    <definedName name="allowed363032">'Valid Values'!$AE$2:$AE$18</definedName>
    <definedName name="allowed364707">'Valid Values'!$HL$2:$HL$5</definedName>
    <definedName name="allowed364708">'Valid Values'!$CD$2:$CD$5</definedName>
    <definedName name="allowed364709">'Valid Values'!$AM$2:$AM$5</definedName>
    <definedName name="allowed364710">'Valid Values'!$EG$2:$EG$5</definedName>
    <definedName name="allowed364712">'Valid Values'!$FV$2:$FV$5</definedName>
    <definedName name="allowed367149">'Valid Values'!$BM$2:$BM$13</definedName>
    <definedName name="allowed367308">'Valid Values'!$Z$2:$Z$13</definedName>
    <definedName name="allowed367366">'Valid Values'!$GX$2:$GX$13</definedName>
    <definedName name="allowed368261">'Valid Values'!$AV$2:$AV$6</definedName>
    <definedName name="allowed368262">'Valid Values'!$CL$2:$CL$6</definedName>
    <definedName name="allowed368267">'Valid Values'!$ER$2:$ER$6</definedName>
    <definedName name="allowed368645">'Valid Values'!$BR$2:$BR$100</definedName>
    <definedName name="allowed368650">'Valid Values'!$DS$2:$DS$100</definedName>
    <definedName name="allowed369614">'Valid Values'!$CK$2:$CK$13</definedName>
    <definedName name="allowed369616">'Valid Values'!$AU$2:$AU$13</definedName>
    <definedName name="allowed369622">'Valid Values'!$HY$2:$HY$13</definedName>
    <definedName name="allowed369623">'Valid Values'!$EQ$2:$EQ$13</definedName>
    <definedName name="allowed371796">'Valid Values'!$FY$2:$FY$4</definedName>
    <definedName name="allowed373554">'Valid Values'!$AR$2:$AR$35</definedName>
    <definedName name="allowed373560">'Valid Values'!$CH$2:$CH$35</definedName>
    <definedName name="allowed373564">'Valid Values'!$EN$2:$EN$35</definedName>
    <definedName name="allowed373566">'Valid Values'!$HV$2:$HV$35</definedName>
    <definedName name="allowed375301">'Valid Values'!$AW$2:$AW$13</definedName>
    <definedName name="allowed375302">'Valid Values'!$CM$2:$CM$13</definedName>
    <definedName name="allowed376182">'Valid Values'!$FC$2:$FC$17</definedName>
    <definedName name="allowed377815">'Valid Values'!$DT$2:$DT$23</definedName>
    <definedName name="allowed378114">'Valid Values'!$GH$2:$GH$21</definedName>
    <definedName name="allowed378139">'Valid Values'!$FM$2:$FM$21</definedName>
    <definedName name="allowed378365">'Valid Values'!$DW$2:$DW$55</definedName>
    <definedName name="allowed378924">'Valid Values'!$HI$2:$HI$14</definedName>
    <definedName name="allowed379875">'Valid Values'!$BT$2:$BT$55</definedName>
    <definedName name="allowed381928">'Valid Values'!$DX$2:$DX$70</definedName>
    <definedName name="allowed382037">'Valid Values'!$HZ$2:$HZ$5</definedName>
    <definedName name="allowed382060">'Valid Values'!$CN$2:$CN$5</definedName>
    <definedName name="allowed382978">'Valid Values'!$DN$2:$DN$13</definedName>
    <definedName name="allowed383797">'Valid Values'!$AG$2:$AG$55</definedName>
    <definedName name="allowed384286">'Valid Values'!$BX$2:$BX$14</definedName>
    <definedName name="allowed384474">'Valid Values'!$HG$2:$HG$11</definedName>
    <definedName name="allowed384748">'Valid Values'!$ES$2:$ES$5</definedName>
    <definedName name="allowed385918">'Valid Values'!$AX$2:$AX$4</definedName>
    <definedName name="allowed385921">'Valid Values'!$CO$2:$CO$4</definedName>
    <definedName name="allowed385923">'Valid Values'!$ET$2:$ET$4</definedName>
    <definedName name="allowed385924">'Valid Values'!$IA$2:$IA$4</definedName>
    <definedName name="allowed385925">'Valid Values'!$FZ$2:$FZ$4</definedName>
    <definedName name="allowed394169">'Valid Values'!$EU$2:$EU$5</definedName>
    <definedName name="allowed394170">'Valid Values'!$IB$2:$IB$5</definedName>
    <definedName name="allowed399936">'Valid Values'!$IC$2:$IC$5</definedName>
    <definedName name="allowed400793">'Valid Values'!$ID$2:$ID$5</definedName>
    <definedName name="allowed400817">'Valid Values'!$DZ$2:$DZ$5</definedName>
    <definedName name="allowed405443">'Valid Values'!$FP$2:$FP$4</definedName>
    <definedName name="allowed4099">'Valid Values'!$FB$2:$FB$23</definedName>
    <definedName name="allowed4100">'Valid Values'!$FA$2:$FA$8</definedName>
    <definedName name="allowed411838">'Valid Values'!$GA$2:$GA$5</definedName>
    <definedName name="allowed412911">'Valid Values'!$IE$2:$IE$4</definedName>
    <definedName name="allowed4142">'Valid Values'!$FS$2:$FS$4</definedName>
    <definedName name="allowed4164">'Valid Values'!$GJ$2:$GJ$15</definedName>
    <definedName name="allowed4170">'Valid Values'!$GG$2:$GG$19</definedName>
    <definedName name="allowed419944">'Valid Values'!$AI$2:$AI$9</definedName>
    <definedName name="allowed420139">'Valid Values'!$BY$2:$BY$18</definedName>
    <definedName name="allowed420140">'Valid Values'!$EB$2:$EB$10</definedName>
    <definedName name="allowed420141">'Valid Values'!$HH$2:$HH$11</definedName>
    <definedName name="allowed420142">'Valid Values'!$FO$2:$FO$10</definedName>
    <definedName name="allowed4213">'Valid Values'!$HU$2:$HU$5</definedName>
    <definedName name="allowed421402">'Valid Values'!$IF$2:$IF$6</definedName>
    <definedName name="allowed421600">'Valid Values'!$GB$2:$GB$6</definedName>
    <definedName name="allowed421601">'Valid Values'!$CP$2:$CP$6</definedName>
    <definedName name="allowed421605">'Valid Values'!$EV$2:$EV$6</definedName>
    <definedName name="allowed421669">'Valid Values'!$EC$2:$EC$10</definedName>
    <definedName name="allowed4446">'Valid Values'!$GK$2:$GK$43</definedName>
    <definedName name="allowed5620">'Valid Values'!$BA$2:$BA$3</definedName>
    <definedName name="allowed5621">'Valid Values'!$BB$2:$BB$26</definedName>
    <definedName name="allowed5625">'Valid Values'!$BC$2:$BC$22</definedName>
    <definedName name="allowed5671">'Valid Values'!$CA$2:$CA$4</definedName>
    <definedName name="allowed5910">'Valid Values'!$BS$2:$BS$31</definedName>
    <definedName name="allowed5938">'Valid Values'!$BZ$2:$BZ$7</definedName>
    <definedName name="allowed70212">'Valid Values'!$S$2:$S$9</definedName>
    <definedName name="allowedcore__manufacturerId">'Valid Values'!$A$2:$A$1</definedName>
    <definedName name="allowedmedia__documentType">'Valid Values'!$O$2:$O$16</definedName>
    <definedName name="allowedmedia__language">'Valid Values'!$R$2:$R$30</definedName>
    <definedName name="allowedmedia__legalDocumentType">'Valid Values'!$P$2:$P$506</definedName>
    <definedName name="allowedmedia__regionType">'Valid Values'!$Q$2:$Q$5</definedName>
    <definedName name="allowedpropSixtyFive__chemicalId">'Valid Values'!$L$2:$L$902</definedName>
    <definedName name="allowedpropSixtyFive__countryOfManufacturer">'Valid Values'!$N$2:$N$248</definedName>
    <definedName name="allowedpropSixtyFive__toxicity">'Valid Values'!$M$2:$M$3</definedName>
    <definedName name="allowedshippingAndFulfillment__freightClass">'Valid Values'!$I$2:$I$19</definedName>
    <definedName name="allowedshippingAndFulfillment__leadTime">'Valid Values'!$J$2:$J$18</definedName>
    <definedName name="allowedshippingAndFulfillment__replacementLeadTime">'Valid Values'!$K$2:$K$7</definedName>
    <definedName name="allowedshippingAndFulfillment__shipType">'Valid Values'!$H$2:$H$3</definedName>
    <definedName name="allowedvariantGrouping__variantGrouping">'Valid Values'!$G$2:$G$2</definedName>
    <definedName name="allowedvariantGrouping__variantType">'Valid Values'!$B$2:$B$4</definedName>
    <definedName name="Class10Answers">'10 - Office Chairs'!$B$8:$FQ$507</definedName>
    <definedName name="Class10Errors">'10 - Office Chairs-WUO_ERR'!$B$8:$FQ$507</definedName>
    <definedName name="Class10Headers">'10 - Office Chairs'!$B$4:$FQ$4</definedName>
    <definedName name="Class10Tracker">'10 - Office Chairs-WUO_TRK'!$B$8:$FQ$507</definedName>
    <definedName name="Class12Answers">'12 - Beds'!$B$8:$FD$507</definedName>
    <definedName name="Class12Errors">'12 - Beds-WUO_ERR'!$B$8:$FD$507</definedName>
    <definedName name="Class12Headers">'12 - Beds'!$B$4:$FD$4</definedName>
    <definedName name="Class12Tracker">'12 - Beds-WUO_TRK'!$B$8:$FD$507</definedName>
    <definedName name="Class13Answers">'13 - Dressers &amp; Chests'!$B$8:$DZ$507</definedName>
    <definedName name="Class13Errors">'13 - Dressers &amp; Chests-WUO_ERR'!$B$8:$DZ$507</definedName>
    <definedName name="Class13Headers">'13 - Dressers &amp; Chests'!$B$4:$DZ$4</definedName>
    <definedName name="Class13Tracker">'13 - Dressers &amp; Chests-WUO_TRK'!$B$8:$DZ$507</definedName>
    <definedName name="Class3Answers">'3 - Carts &amp; Stands'!$B$8:$DY$507</definedName>
    <definedName name="Class3Errors">'3 - Carts &amp; Stands-WUO_ERR'!$B$8:$DY$507</definedName>
    <definedName name="Class3Headers">'3 - Carts &amp; Stands'!$B$4:$DY$4</definedName>
    <definedName name="Class3Tracker">'3 - Carts &amp; Stands-WUO_TRK'!$B$8:$DY$507</definedName>
    <definedName name="Class6Answers">'6 - TV Stands &amp; Enterta'!$B$8:$FC$507</definedName>
    <definedName name="Class6Errors">'6 - TV Stands &amp; Enterta-WUO_ERR'!$B$8:$FC$507</definedName>
    <definedName name="Class6Headers">'6 - TV Stands &amp; Enterta'!$B$4:$FC$4</definedName>
    <definedName name="Class6Tracker">'6 - TV Stands &amp; Enterta-WUO_TRK'!$B$8:$FC$507</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Documents'!$B$7:$H$507</definedName>
    <definedName name="media__documentsErrors">'Additional Documents-WUO_ERR'!$B$7:$H$507</definedName>
    <definedName name="media__documentsHeaders">'Additional Documents'!$B$4:$H$4</definedName>
    <definedName name="media__documentsTracker">'Additional Documents-WUO_TRK'!$B$7:$H$507</definedName>
    <definedName name="media__imagesAnswers">'Additional Images'!$B$7:$D$507</definedName>
    <definedName name="media__imagesErrors">'Additional Images-WUO_ERR'!$B$7:$D$507</definedName>
    <definedName name="media__imagesHeaders">'Additional Images'!$B$4:$D$4</definedName>
    <definedName name="media__imagesTracker">'Additional Images-WUO_TRK'!$B$7:$D$507</definedName>
    <definedName name="media__videosAnswers">'Additional Videos'!$B$7:$D$507</definedName>
    <definedName name="media__videosErrors">'Additional Videos-WUO_ERR'!$B$7:$D$507</definedName>
    <definedName name="media__videosHeaders">'Additional Videos'!$B$4:$D$4</definedName>
    <definedName name="media__videosTracker">'Additional Videos-WUO_TRK'!$B$7:$D$507</definedName>
    <definedName name="propSixtyFive__chemicalsAnswers">'Additional Chemicals'!$B$7:$E$507</definedName>
    <definedName name="propSixtyFive__chemicalsErrors">'Additional Chemicals-WUO_ERR'!$B$7:$E$507</definedName>
    <definedName name="propSixtyFive__chemicalsHeaders">'Additional Chemicals'!$B$4:$E$4</definedName>
    <definedName name="propSixtyFive__chemicalsTracker">'Additional Chemicals-WUO_TRK'!$B$7:$E$507</definedName>
    <definedName name="shippingAndFulfillment__cartonsAnswers">'Additional Cartons'!$B$7:$G$507</definedName>
    <definedName name="shippingAndFulfillment__cartonsErrors">'Additional Cartons-WUO_ERR'!$B$7:$G$507</definedName>
    <definedName name="shippingAndFulfillment__cartonsHeaders">'Additional Cartons'!$B$4:$G$4</definedName>
    <definedName name="shippingAndFulfillment__cartonsTracker">'Additional Cartons-WUO_TRK'!$B$7:$G$507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Tahoma"/>
      <family val="2"/>
      <color indexed="81"/>
      <sz val="8"/>
    </font>
  </fonts>
  <fills count="21">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4" fillId="0" borderId="7" applyAlignment="1" pivotButton="0" quotePrefix="0" xfId="0">
      <alignment wrapText="1"/>
    </xf>
    <xf numFmtId="0" fontId="5" fillId="0" borderId="0"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0" fillId="0" borderId="0" applyProtection="1" pivotButton="0" quotePrefix="0" xfId="0">
      <protection locked="0" hidden="0"/>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3" fillId="16" borderId="8" pivotButton="0" quotePrefix="0" xfId="0"/>
    <xf numFmtId="0" fontId="0" fillId="17" borderId="9" applyAlignment="1" pivotButton="0" quotePrefix="0" xfId="0">
      <alignment horizontal="center" vertical="top" wrapText="1"/>
    </xf>
    <xf numFmtId="0" fontId="7" fillId="18" borderId="8" applyAlignment="1" pivotButton="0" quotePrefix="0" xfId="0">
      <alignment horizontal="center" vertical="center"/>
    </xf>
    <xf numFmtId="0" fontId="3" fillId="19"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20"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6" fillId="19" borderId="9" applyAlignment="1" pivotButton="0" quotePrefix="0" xfId="0">
      <alignment horizontal="center" vertical="center" wrapText="1"/>
    </xf>
    <xf numFmtId="0" fontId="0" fillId="0" borderId="13" pivotButton="0" quotePrefix="0" xfId="0"/>
    <xf numFmtId="0" fontId="0" fillId="0" borderId="14" pivotButton="0" quotePrefix="0" xfId="0"/>
  </cellXfs>
  <cellStyles count="1">
    <cellStyle name="Normal" xfId="0" builtinId="0"/>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4.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5.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6.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7.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8.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9.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0.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4.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5.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sheet1.xml><?xml version="1.0" encoding="utf-8"?>
<worksheet xmlns="http://schemas.openxmlformats.org/spreadsheetml/2006/main">
  <sheetPr>
    <outlinePr summaryBelow="1" summaryRight="1"/>
    <pageSetUpPr/>
  </sheetPr>
  <dimension ref="A1:D45"/>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Variant Grouping</t>
        </is>
      </c>
    </row>
    <row r="3">
      <c r="A3" s="4" t="inlineStr">
        <is>
          <t>If you have indicated that you will provide variant grouping data via template settings, additional columns for variant grouping information have been added to the class</t>
        </is>
      </c>
      <c r="C3" s="5" t="inlineStr">
        <is>
          <t>Legends</t>
        </is>
      </c>
      <c r="D3" s="5" t="n"/>
    </row>
    <row r="4">
      <c r="A4" s="4" t="inlineStr">
        <is>
          <t>sheet. Enter a common identifier to indicate which part numbers should be grouped together, select attribute(s) to group variants by (or enter custom category if</t>
        </is>
      </c>
      <c r="C4" s="6" t="inlineStr">
        <is>
          <t>Cell Fill Colors</t>
        </is>
      </c>
      <c r="D4" s="7" t="n"/>
    </row>
    <row r="5">
      <c r="A5" s="4" t="inlineStr">
        <is>
          <t>desired category is not included in the dropdown), and provide corresponding variant attribute. Groupings that violate Wayfair's Do Not Join rules will be excluded.</t>
        </is>
      </c>
      <c r="C5" s="8" t="inlineStr">
        <is>
          <t>Light Red</t>
        </is>
      </c>
      <c r="D5" s="9" t="inlineStr">
        <is>
          <t>Missing required data</t>
        </is>
      </c>
    </row>
    <row r="6">
      <c r="A6" s="4" t="inlineStr">
        <is>
          <t>If Wayfair detects additional variants, products will be grouped further after submission.</t>
        </is>
      </c>
      <c r="C6" s="10" t="inlineStr">
        <is>
          <t>Gray</t>
        </is>
      </c>
      <c r="D6" s="9" t="inlineStr">
        <is>
          <t>Not required/will be autofilled*</t>
        </is>
      </c>
    </row>
    <row r="7">
      <c r="C7" s="11" t="inlineStr">
        <is>
          <t>Red</t>
        </is>
      </c>
      <c r="D7" s="9" t="inlineStr">
        <is>
          <t>Error/incorrect answer</t>
        </is>
      </c>
    </row>
    <row r="8">
      <c r="A8" s="5" t="inlineStr">
        <is>
          <t>Class Sheet Instructions</t>
        </is>
      </c>
      <c r="C8" s="12" t="inlineStr">
        <is>
          <t>Blue</t>
        </is>
      </c>
      <c r="D8" s="9" t="inlineStr">
        <is>
          <t>Autofill suggested by Wayfair (review needed)</t>
        </is>
      </c>
    </row>
    <row r="9">
      <c r="A9" s="3" t="inlineStr">
        <is>
          <t>Conditional Formatting</t>
        </is>
      </c>
      <c r="C9" s="13" t="inlineStr">
        <is>
          <t>Yellow</t>
        </is>
      </c>
      <c r="D9" s="9" t="inlineStr">
        <is>
          <t>Warning</t>
        </is>
      </c>
    </row>
    <row r="10">
      <c r="A10" s="4" t="inlineStr">
        <is>
          <t>Some answers to questions on the spec sheet are dependent on upstream responses, whether they are related to attributes like material type, existence of features</t>
        </is>
      </c>
      <c r="C10" s="14" t="inlineStr">
        <is>
          <t>No fill</t>
        </is>
      </c>
      <c r="D10" s="15" t="inlineStr">
        <is>
          <t>Validated/no action required</t>
        </is>
      </c>
    </row>
    <row r="11">
      <c r="A11" s="4" t="inlineStr">
        <is>
          <t>or compliance. Real-time cell coloring per the legend indicates whether an input is required, has an error or has a conditional rule applied.</t>
        </is>
      </c>
      <c r="D11" s="4" t="inlineStr">
        <is>
          <t>* For products that have already been submitted, the entire row will be filled gray and cannot be edited further</t>
        </is>
      </c>
    </row>
    <row r="12">
      <c r="A12" s="3" t="inlineStr">
        <is>
          <t>Error Guidance</t>
        </is>
      </c>
    </row>
    <row r="13">
      <c r="A13" s="4" t="inlineStr">
        <is>
          <t>Errors are highlighted on the Error Summary Tab which shows a summary of all errors across all sheets with high level details and hyperlinks to the corresponding</t>
        </is>
      </c>
      <c r="C13" s="6" t="inlineStr">
        <is>
          <t>Data Priority</t>
        </is>
      </c>
      <c r="D13" s="7" t="n"/>
    </row>
    <row r="14">
      <c r="A14" s="4" t="inlineStr">
        <is>
          <t>cell where the error occurred. Additionally, a new Error Status Column at the beginning of each class sheet will show the status of each row and will display the first error</t>
        </is>
      </c>
      <c r="C14" s="16" t="inlineStr">
        <is>
          <t>Required</t>
        </is>
      </c>
      <c r="D14" s="9" t="inlineStr">
        <is>
          <t>Data required for product to be live on site</t>
        </is>
      </c>
    </row>
    <row r="15">
      <c r="A15" s="4" t="inlineStr">
        <is>
          <t>error message in that row, and will update as errors are resolved from left to right.</t>
        </is>
      </c>
      <c r="C15" s="16" t="inlineStr">
        <is>
          <t>Recommended</t>
        </is>
      </c>
      <c r="D15" s="9" t="inlineStr">
        <is>
          <t>Not required but recommended to improve search and browse</t>
        </is>
      </c>
    </row>
    <row r="16">
      <c r="C16" s="16" t="inlineStr">
        <is>
          <t>Additional</t>
        </is>
      </c>
      <c r="D16" s="9" t="inlineStr">
        <is>
          <t>Optional but enhances listings for customers</t>
        </is>
      </c>
    </row>
    <row r="17">
      <c r="A17" s="4" t="inlineStr">
        <is>
          <t>All data provided in the class sheet feeds directly to the customer-facing Product Details Page (PDP), optimizes search and enables order fulfillment. Please ensure the</t>
        </is>
      </c>
      <c r="C17" s="14" t="inlineStr">
        <is>
          <t>Conditional</t>
        </is>
      </c>
      <c r="D17" s="15" t="inlineStr">
        <is>
          <t>Data may be required based on prior responses</t>
        </is>
      </c>
    </row>
    <row r="18">
      <c r="A18" s="4" t="inlineStr">
        <is>
          <t>data provided is accurate and as detailed as possible.</t>
        </is>
      </c>
    </row>
    <row r="19">
      <c r="A19" s="17" t="inlineStr">
        <is>
          <t>Notes:</t>
        </is>
      </c>
      <c r="C19" s="6" t="inlineStr">
        <is>
          <t>Data Type</t>
        </is>
      </c>
      <c r="D19" s="7" t="n"/>
    </row>
    <row r="20">
      <c r="A20" s="4" t="inlineStr">
        <is>
          <t xml:space="preserve">  •  Column headers provide additional information on the data required for each column.</t>
        </is>
      </c>
      <c r="C20" s="16" t="inlineStr">
        <is>
          <t>Text</t>
        </is>
      </c>
      <c r="D20" s="9" t="inlineStr">
        <is>
          <t>Enter a text-based response</t>
        </is>
      </c>
    </row>
    <row r="21">
      <c r="A21" s="4" t="inlineStr">
        <is>
          <t xml:space="preserve">  •  Completing Recommended and Additional fields further enhances the customer experience and improves the quality of listings for better product discovery.</t>
        </is>
      </c>
      <c r="C21" s="16" t="inlineStr">
        <is>
          <t>Single-Select</t>
        </is>
      </c>
      <c r="D21" s="9" t="inlineStr">
        <is>
          <t>Select one option from a list of provided options (listed in a dropdown on the cell)</t>
        </is>
      </c>
    </row>
    <row r="22">
      <c r="A22" s="4" t="inlineStr">
        <is>
          <t xml:space="preserve">  •  Marketing Copy should provide a compelling, informative overview of the product, ensuring it effectively highlights key features, benefits, and use cases.</t>
        </is>
      </c>
      <c r="C22" s="16" t="inlineStr">
        <is>
          <t>Multi-Select</t>
        </is>
      </c>
      <c r="D22" s="9" t="inlineStr">
        <is>
          <t>Enter one or more options from a list of provided options, separated using a semi-colon (;)</t>
        </is>
      </c>
    </row>
    <row r="23">
      <c r="A23" s="4" t="inlineStr">
        <is>
          <t xml:space="preserve">       Incorporating comprehensive, descriptive language will enable future enhancements for capturing and improving product tagging.</t>
        </is>
      </c>
      <c r="C23" s="16" t="inlineStr">
        <is>
          <t>Number*</t>
        </is>
      </c>
      <c r="D23" s="9" t="inlineStr">
        <is>
          <t>Enter a decimal numeric response with up to 2 decimal points</t>
        </is>
      </c>
    </row>
    <row r="24">
      <c r="A24" s="4" t="inlineStr">
        <is>
          <t xml:space="preserve">       ◦  Provide key selling point(s)/feature(s) that differentiate your product and inform customers about your product and encourage purchase.</t>
        </is>
      </c>
      <c r="C24" s="16" t="inlineStr">
        <is>
          <t>Whole Number*</t>
        </is>
      </c>
      <c r="D24" s="9" t="inlineStr">
        <is>
          <t>Enter an integer (whole number) numeric response</t>
        </is>
      </c>
    </row>
    <row r="25">
      <c r="A25" s="4" t="inlineStr">
        <is>
          <t xml:space="preserve">       ◦  Either Marketing Copy OR at least 3 Feature Bullets are required. Feature bullets will be displayed on Wayfair PDP in bulleted form.</t>
        </is>
      </c>
      <c r="C25" s="14" t="inlineStr">
        <is>
          <t>Yes or No</t>
        </is>
      </c>
      <c r="D25" s="15" t="inlineStr">
        <is>
          <t>Enter a Yes, No or Does Not Apply response (listed in a dropdown on the cell)</t>
        </is>
      </c>
    </row>
    <row r="26">
      <c r="A26" s="4" t="inlineStr">
        <is>
          <t xml:space="preserve">  •  The order in which media is input may not be reflected in order of imagery on the product page.</t>
        </is>
      </c>
      <c r="D26" s="4" t="inlineStr">
        <is>
          <t>* Does Not Apply is a valid response when applicable</t>
        </is>
      </c>
    </row>
    <row r="27">
      <c r="A27" s="4" t="inlineStr">
        <is>
          <t xml:space="preserve">  •  If all products in a class have the same answer to a question, a default value can be set. An answer entered in the Default Answer row will be applied to all products</t>
        </is>
      </c>
    </row>
    <row r="28">
      <c r="A28" s="4" t="inlineStr">
        <is>
          <t xml:space="preserve">      in that class automatically. Additional products added to this class in the future will have the same default value applied as well. For any products that have a</t>
        </is>
      </c>
    </row>
    <row r="29">
      <c r="A29" s="4" t="inlineStr">
        <is>
          <t xml:space="preserve">      different answer than others in the class, enter the answer manually to the applicable row to bypass the default just for that question and product.</t>
        </is>
      </c>
    </row>
    <row r="31">
      <c r="A31" s="5" t="inlineStr">
        <is>
          <t>Additional Tabs Instructions</t>
        </is>
      </c>
    </row>
    <row r="32">
      <c r="A32" s="3" t="inlineStr">
        <is>
          <t>Additional Cartons</t>
        </is>
      </c>
    </row>
    <row r="33">
      <c r="A33" s="4" t="inlineStr">
        <is>
          <t>If a product ships in more than 5 cartons, use the Additional Cartons tab to submit data for cartons 6 and beyond. To add additional cartons, provide the Supplier Part</t>
        </is>
      </c>
    </row>
    <row r="34">
      <c r="A34" s="4" t="inlineStr">
        <is>
          <t>Number followed by corresponding data for each carton.</t>
        </is>
      </c>
    </row>
    <row r="35">
      <c r="A35" s="3" t="inlineStr">
        <is>
          <t>Additional Chemicals</t>
        </is>
      </c>
    </row>
    <row r="36">
      <c r="A36" s="4" t="inlineStr">
        <is>
          <t>If your product contains more than 5 chemicals that need to be reported for Proposition 65, use the Additional Chemicals tab to add additional data.</t>
        </is>
      </c>
    </row>
    <row r="37">
      <c r="A37" s="3" t="inlineStr">
        <is>
          <t>Additional Media</t>
        </is>
      </c>
    </row>
    <row r="38">
      <c r="A38" s="4" t="inlineStr">
        <is>
          <t>If a product has more media files than there are columns for in the class sheet, use the Additional Images, Videos or Documents tabs to add additional data.</t>
        </is>
      </c>
    </row>
    <row r="39">
      <c r="A39" s="17" t="inlineStr">
        <is>
          <t>Notes:</t>
        </is>
      </c>
    </row>
    <row r="40">
      <c r="A40" s="4" t="inlineStr">
        <is>
          <t xml:space="preserve">  •  A maximum of 3 videos can be shown on a product display page in the media tray. Additional videos can be showcased within Waymore content.</t>
        </is>
      </c>
    </row>
    <row r="41">
      <c r="A41" s="3" t="inlineStr">
        <is>
          <t>Valid Values</t>
        </is>
      </c>
    </row>
    <row r="42">
      <c r="A42" s="4" t="inlineStr">
        <is>
          <t>The Valid Values tab shows all acceptable answers to single- and multi-select questions. Hyperlinks below each column header will bring you to the corresponding</t>
        </is>
      </c>
    </row>
    <row r="43">
      <c r="A43" s="4" t="inlineStr">
        <is>
          <t>values list on this tab.</t>
        </is>
      </c>
    </row>
    <row r="44">
      <c r="A44" s="3" t="inlineStr">
        <is>
          <t>Failed Products</t>
        </is>
      </c>
    </row>
    <row r="45">
      <c r="A45"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width="13" customWidth="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_xlfn.LET(_xlpm.class3Data, GetSheetStatusData(Class3Tracker, Class3Errors), _xlpm.class6Data, GetSheetStatusData(Class6Tracker, Class6Errors), _xlpm.class10Data, GetSheetStatusData(Class10Tracker, Class10Errors), _xlpm.class13Data, GetSheetStatusData(Class13Tracker, Class13Errors), _xlpm.class12Data, GetSheetStatusData(Class12Tracker, Class12Errors),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_xlfn.VSTACK(_xlpm.class3Data, _xlpm.class6Data, _xlpm.class10Data, _xlpm.class13Data, _xlpm.class12Data,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_xlfn.LET(_xlpm.class3Data, GetSheetNameData(Class3Tracker, Class3Errors, "3 - Carts &amp; Stands"), _xlpm.class6Data, GetSheetNameData(Class6Tracker, Class6Errors, "6 - TV Stands &amp; Enterta"), _xlpm.class10Data, GetSheetNameData(Class10Tracker, Class10Errors, "10 - Office Chairs"), _xlpm.class13Data, GetSheetNameData(Class13Tracker, Class13Errors, "13 - Dressers &amp; Chests"), _xlpm.class12Data, GetSheetNameData(Class12Tracker, Class12Errors, "12 - Beds"),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_xlfn.VSTACK(_xlpm.class3Data, _xlpm.class6Data, _xlpm.class10Data, _xlpm.class13Data, _xlpm.class12Data, _xlpm.shippingAndFulfillment__cartonsData, _xlpm.propSixtyFive__chemicalsData, _xlpm.media__imagesData, _xlpm.media__videosData, _xlpm.media__documentsData), _xlfn._xlws.FILTER(_xlpm.stackedData, _xlpm.stackedData&lt;&gt;"", ""))</f>
        <v/>
      </c>
      <c r="D3" s="20">
        <f t="array" ref="D3">_xlfn.LET(_xlpm.class3PartNumbers, GetSheetSupplierPartNumbers(Class3Tracker, Class3Errors, '3 - Carts &amp; Stands'!B:B), _xlpm.class6PartNumbers, GetSheetSupplierPartNumbers(Class6Tracker, Class6Errors, '6 - TV Stands &amp; Enterta'!B:B), _xlpm.class10PartNumbers, GetSheetSupplierPartNumbers(Class10Tracker, Class10Errors, '10 - Office Chairs'!B:B), _xlpm.class13PartNumbers, GetSheetSupplierPartNumbers(Class13Tracker, Class13Errors, '13 - Dressers &amp; Chests'!B:B), _xlpm.class12PartNumbers, GetSheetSupplierPartNumbers(Class12Tracker, Class12Errors, '12 - Beds'!B:B),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_xlfn.VSTACK(_xlpm.class3PartNumbers, _xlpm.class6PartNumbers, _xlpm.class10PartNumbers, _xlpm.class13PartNumbers, _xlpm.class12PartNumbers,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_xlfn.LET(_xlpm.class3ProductNames, GetSheetProductNames(Class3Tracker, Class3Errors, '3 - Carts &amp; Stands'!G:G), _xlpm.class6ProductNames, GetSheetProductNames(Class6Tracker, Class6Errors, '6 - TV Stands &amp; Enterta'!G:G), _xlpm.class10ProductNames, GetSheetProductNames(Class10Tracker, Class10Errors, '10 - Office Chairs'!G:G), _xlpm.class13ProductNames, GetSheetProductNames(Class13Tracker, Class13Errors, '13 - Dressers &amp; Chests'!G:G), _xlpm.class12ProductNames, GetSheetProductNames(Class12Tracker, Class12Errors, '12 - Beds'!G:G),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_xlfn.VSTACK(_xlpm.class3ProductNames, _xlpm.class6ProductNames, _xlpm.class10ProductNames, _xlpm.class13ProductNames, _xlpm.class12ProductNames,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_xlpm.class3QuestionDisplayNames, GetErrorQuestionDisplayNames(Class3Headers, Class3Tracker, Class3Errors)
                , 
                                     _xlpm.class6QuestionDisplayNames, GetErrorQuestionDisplayNames(Class6Headers, Class6Tracker, Class6Errors)
                , 
                                     _xlpm.class10QuestionDisplayNames, GetErrorQuestionDisplayNames(Class10Headers, Class10Tracker, Class10Errors)
                , 
                                     _xlpm.class13QuestionDisplayNames, GetErrorQuestionDisplayNames(Class13Headers, Class13Tracker, Class13Errors)
                , 
                                     _xlpm.class12QuestionDisplayNames, GetErrorQuestionDisplayNames(Class12Headers, Class12Tracker, Class12Errors)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_xlfn.VSTACK(_xlpm.class3QuestionDisplayNames, _xlpm.class6QuestionDisplayNames, _xlpm.class10QuestionDisplayNames, _xlpm.class13QuestionDisplayNames, _xlpm.class12QuestionDisplayNames,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_xlpm.class3ProvidedAnswers, GetFilteredProvidedAnswers(Class3Answers, Class3Errors, Class3Tracker)
    , 
                         _xlpm.class6ProvidedAnswers, GetFilteredProvidedAnswers(Class6Answers, Class6Errors, Class6Tracker)
    , 
                         _xlpm.class10ProvidedAnswers, GetFilteredProvidedAnswers(Class10Answers, Class10Errors, Class10Tracker)
    , 
                         _xlpm.class13ProvidedAnswers, GetFilteredProvidedAnswers(Class13Answers, Class13Errors, Class13Tracker)
    , 
                         _xlpm.class12ProvidedAnswers, GetFilteredProvidedAnswers(Class12Answers, Class12Errors, Class12Tracker)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_xlfn.VSTACK(_xlpm.class3ProvidedAnswers, _xlpm.class6ProvidedAnswers, _xlpm.class10ProvidedAnswers, _xlpm.class13ProvidedAnswers, _xlpm.class12ProvidedAnswers,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_xlfn.LET(_xlpm.class3ErrorMessages, _xlfn.FILTER(
                    _xlfn.TOCOL(Class3Errors),
                    _xlfn.TOCOL((Class3Errors &lt;&gt; "") * (Class3Tracker &lt;&gt; "Valid") * (Class3Tracker &lt;&gt; "Disabled")), ""
                ), _xlpm.class6ErrorMessages, _xlfn.FILTER(
                    _xlfn.TOCOL(Class6Errors),
                    _xlfn.TOCOL((Class6Errors &lt;&gt; "") * (Class6Tracker &lt;&gt; "Valid") * (Class6Tracker &lt;&gt; "Disabled")), ""
                ), _xlpm.class10ErrorMessages, _xlfn.FILTER(
                    _xlfn.TOCOL(Class10Errors),
                    _xlfn.TOCOL((Class10Errors &lt;&gt; "") * (Class10Tracker &lt;&gt; "Valid") * (Class10Tracker &lt;&gt; "Disabled")), ""
                ), _xlpm.class13ErrorMessages, _xlfn.FILTER(
                    _xlfn.TOCOL(Class13Errors),
                    _xlfn.TOCOL((Class13Errors &lt;&gt; "") * (Class13Tracker &lt;&gt; "Valid") * (Class13Tracker &lt;&gt; "Disabled")), ""
                ), _xlpm.class12ErrorMessages, _xlfn.FILTER(
                    _xlfn.TOCOL(Class12Errors),
                    _xlfn.TOCOL((Class12Errors &lt;&gt; "") * (Class12Tracker &lt;&gt; "Valid") * (Class12Tracker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_xlfn.VSTACK(_xlpm.class3ErrorMessages, _xlpm.class6ErrorMessages, _xlpm.class10ErrorMessages, _xlpm.class13ErrorMessages, _xlpm.class12ErrorMessages,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_xlfn.LET(_xlpm.class3Addresses, GetSheetLocationAddresses(Class3Tracker, Class3Errors), _xlpm.class6Addresses, GetSheetLocationAddresses(Class6Tracker, Class6Errors), _xlpm.class10Addresses, GetSheetLocationAddresses(Class10Tracker, Class10Errors), _xlpm.class13Addresses, GetSheetLocationAddresses(Class13Tracker, Class13Errors), _xlpm.class12Addresses, GetSheetLocationAddresses(Class12Tracker, Class12Errors),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_xlfn.VSTACK(_xlpm.class3Addresses, _xlpm.class6Addresses, _xlpm.class10Addresses, _xlpm.class13Addresses, _xlpm.class12Addresses,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K908"/>
  <sheetViews>
    <sheetView workbookViewId="0">
      <selection activeCell="A1" sqref="A1"/>
    </sheetView>
  </sheetViews>
  <sheetFormatPr baseColWidth="8" defaultRowHeight="15"/>
  <sheetData>
    <row r="1">
      <c r="A1" t="inlineStr">
        <is>
          <t>{"brand_catalog_id": 1, "previous_upload_id": null, "template_type": "DEFAULT_QUESTIONS", "supplier_id": 455634, "template_context": "STANDARD", "app_version": "v2", "product_count": 0, "default_answers_included": true, "default_answers_supported": true, "use_legacy_excel_format": false, "include_variant_grouping": true, "download_template_request_id": "60a3a202-b692-44e4-ba02-96f72434bb32",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AV Cart</t>
        </is>
      </c>
      <c r="C8" t="inlineStr">
        <is>
          <t>No</t>
        </is>
      </c>
      <c r="D8" t="inlineStr">
        <is>
          <t>No</t>
        </is>
      </c>
      <c r="E8" t="inlineStr">
        <is>
          <t>No</t>
        </is>
      </c>
      <c r="F8" t="inlineStr">
        <is>
          <t>Yes</t>
        </is>
      </c>
      <c r="G8" t="inlineStr">
        <is>
          <t>Yes</t>
        </is>
      </c>
      <c r="H8" t="inlineStr">
        <is>
          <t>No</t>
        </is>
      </c>
      <c r="I8" t="inlineStr">
        <is>
          <t>Lithium Metal</t>
        </is>
      </c>
      <c r="J8" t="inlineStr">
        <is>
          <t>Cell</t>
        </is>
      </c>
      <c r="K8" t="inlineStr">
        <is>
          <t>1</t>
        </is>
      </c>
      <c r="L8" t="inlineStr">
        <is>
          <t>Stand alone</t>
        </is>
      </c>
      <c r="M8" t="inlineStr">
        <is>
          <t>Cells exceeding 5 grams</t>
        </is>
      </c>
      <c r="N8" t="inlineStr">
        <is>
          <t>Cells of between 20w/h and 60w/h</t>
        </is>
      </c>
      <c r="O8" t="inlineStr">
        <is>
          <t>2.5kg or less</t>
        </is>
      </c>
      <c r="P8" t="inlineStr">
        <is>
          <t>Yes</t>
        </is>
      </c>
      <c r="Q8" t="inlineStr">
        <is>
          <t>Yes</t>
        </is>
      </c>
      <c r="R8" t="inlineStr">
        <is>
          <t>Yes</t>
        </is>
      </c>
      <c r="S8" t="inlineStr">
        <is>
          <t>Free Standing</t>
        </is>
      </c>
      <c r="T8" t="inlineStr">
        <is>
          <t>Yes</t>
        </is>
      </c>
      <c r="U8" t="inlineStr">
        <is>
          <t>Yes</t>
        </is>
      </c>
      <c r="V8" t="inlineStr">
        <is>
          <t>Yes</t>
        </is>
      </c>
      <c r="W8" t="inlineStr">
        <is>
          <t>Yes</t>
        </is>
      </c>
      <c r="X8" t="inlineStr">
        <is>
          <t>Yes</t>
        </is>
      </c>
      <c r="Y8" t="inlineStr">
        <is>
          <t>Yes</t>
        </is>
      </c>
      <c r="Z8" t="inlineStr">
        <is>
          <t>Yes</t>
        </is>
      </c>
      <c r="AA8" t="inlineStr">
        <is>
          <t>Yes</t>
        </is>
      </c>
      <c r="AB8" t="inlineStr">
        <is>
          <t>Yes</t>
        </is>
      </c>
      <c r="AC8" t="inlineStr">
        <is>
          <t>Yes</t>
        </is>
      </c>
      <c r="AD8" t="inlineStr">
        <is>
          <t>Yes</t>
        </is>
      </c>
      <c r="AE8" t="inlineStr">
        <is>
          <t>1</t>
        </is>
      </c>
      <c r="AF8" t="inlineStr">
        <is>
          <t>I</t>
        </is>
      </c>
      <c r="AG8" t="inlineStr">
        <is>
          <t>&gt;0 - ≤25ml</t>
        </is>
      </c>
      <c r="AH8" t="inlineStr">
        <is>
          <t>Yes</t>
        </is>
      </c>
      <c r="AI8" t="inlineStr">
        <is>
          <t>No</t>
        </is>
      </c>
      <c r="AJ8" t="inlineStr">
        <is>
          <t>1A</t>
        </is>
      </c>
      <c r="AK8" t="inlineStr">
        <is>
          <t>Yes</t>
        </is>
      </c>
      <c r="AL8" t="inlineStr">
        <is>
          <t>Yes</t>
        </is>
      </c>
      <c r="AM8" t="inlineStr">
        <is>
          <t>30 Days</t>
        </is>
      </c>
      <c r="AN8" t="inlineStr">
        <is>
          <t>Yes</t>
        </is>
      </c>
      <c r="AO8" t="inlineStr">
        <is>
          <t>Yes</t>
        </is>
      </c>
      <c r="AQ8" t="inlineStr">
        <is>
          <t>US</t>
        </is>
      </c>
      <c r="AR8" t="inlineStr">
        <is>
          <t>Arabic</t>
        </is>
      </c>
      <c r="AS8" t="inlineStr">
        <is>
          <t>Yes</t>
        </is>
      </c>
      <c r="AT8" t="inlineStr">
        <is>
          <t>A-alpha-C (2-Amino-9H-pyrido[2,3-b]indole)</t>
        </is>
      </c>
      <c r="AU8" t="inlineStr">
        <is>
          <t>United States</t>
        </is>
      </c>
      <c r="AV8" t="inlineStr">
        <is>
          <t>Small Parcel</t>
        </is>
      </c>
      <c r="AW8" t="inlineStr">
        <is>
          <t>50</t>
        </is>
      </c>
      <c r="AX8" t="inlineStr">
        <is>
          <t>0</t>
        </is>
      </c>
      <c r="AY8" t="inlineStr">
        <is>
          <t>0</t>
        </is>
      </c>
      <c r="AZ8" t="inlineStr">
        <is>
          <t>Yes</t>
        </is>
      </c>
      <c r="BA8" t="inlineStr">
        <is>
          <t>Yes</t>
        </is>
      </c>
      <c r="BB8" t="inlineStr">
        <is>
          <t>Primary Variant</t>
        </is>
      </c>
      <c r="BC8" t="inlineStr">
        <is>
          <t>Color</t>
        </is>
      </c>
      <c r="BD8" t="inlineStr">
        <is>
          <t>Entertainment Center</t>
        </is>
      </c>
      <c r="BE8" t="inlineStr">
        <is>
          <t>Yes</t>
        </is>
      </c>
      <c r="BF8" t="inlineStr">
        <is>
          <t>Yes</t>
        </is>
      </c>
      <c r="BG8" t="inlineStr">
        <is>
          <t>No</t>
        </is>
      </c>
      <c r="BH8" t="inlineStr">
        <is>
          <t>Yes</t>
        </is>
      </c>
      <c r="BI8" t="inlineStr">
        <is>
          <t>Yes</t>
        </is>
      </c>
      <c r="BJ8" t="inlineStr">
        <is>
          <t>Yes</t>
        </is>
      </c>
      <c r="BK8" t="inlineStr">
        <is>
          <t>No</t>
        </is>
      </c>
      <c r="BL8" t="inlineStr">
        <is>
          <t>Yes</t>
        </is>
      </c>
      <c r="BM8" t="inlineStr">
        <is>
          <t>Yes</t>
        </is>
      </c>
      <c r="BN8" t="inlineStr">
        <is>
          <t>Yes</t>
        </is>
      </c>
      <c r="BO8" t="inlineStr">
        <is>
          <t>Yes</t>
        </is>
      </c>
      <c r="BP8" t="inlineStr">
        <is>
          <t>No</t>
        </is>
      </c>
      <c r="BQ8" t="inlineStr">
        <is>
          <t>Yes</t>
        </is>
      </c>
      <c r="BR8" t="inlineStr">
        <is>
          <t>No</t>
        </is>
      </c>
      <c r="BS8" t="inlineStr">
        <is>
          <t>No</t>
        </is>
      </c>
      <c r="BT8" t="inlineStr">
        <is>
          <t>No</t>
        </is>
      </c>
      <c r="BU8" t="inlineStr">
        <is>
          <t>Yes</t>
        </is>
      </c>
      <c r="BV8" t="inlineStr">
        <is>
          <t>No</t>
        </is>
      </c>
      <c r="BW8" t="inlineStr">
        <is>
          <t>No</t>
        </is>
      </c>
      <c r="BX8" t="inlineStr">
        <is>
          <t>Dovetail</t>
        </is>
      </c>
      <c r="BY8" t="inlineStr">
        <is>
          <t>Yes</t>
        </is>
      </c>
      <c r="BZ8" t="inlineStr">
        <is>
          <t>Lithium Metal</t>
        </is>
      </c>
      <c r="CA8" t="inlineStr">
        <is>
          <t>Cell</t>
        </is>
      </c>
      <c r="CB8" t="inlineStr">
        <is>
          <t>1</t>
        </is>
      </c>
      <c r="CC8" t="inlineStr">
        <is>
          <t>Stand alone</t>
        </is>
      </c>
      <c r="CD8" t="inlineStr">
        <is>
          <t>Cells exceeding 5 grams</t>
        </is>
      </c>
      <c r="CE8" t="inlineStr">
        <is>
          <t>Cells of between 20w/h and 60w/h</t>
        </is>
      </c>
      <c r="CF8" t="inlineStr">
        <is>
          <t>2.5kg or less</t>
        </is>
      </c>
      <c r="CG8" t="inlineStr">
        <is>
          <t>Yes</t>
        </is>
      </c>
      <c r="CH8" t="inlineStr">
        <is>
          <t>No</t>
        </is>
      </c>
      <c r="CI8" t="inlineStr">
        <is>
          <t>Yes</t>
        </is>
      </c>
      <c r="CJ8" t="inlineStr">
        <is>
          <t>Yes</t>
        </is>
      </c>
      <c r="CK8" t="inlineStr">
        <is>
          <t>Direct Vent</t>
        </is>
      </c>
      <c r="CL8" t="inlineStr">
        <is>
          <t>Yes</t>
        </is>
      </c>
      <c r="CM8" t="inlineStr">
        <is>
          <t>Yes</t>
        </is>
      </c>
      <c r="CN8" t="inlineStr">
        <is>
          <t>Yes</t>
        </is>
      </c>
      <c r="CO8" t="inlineStr">
        <is>
          <t>Yes</t>
        </is>
      </c>
      <c r="CP8" t="inlineStr">
        <is>
          <t>Yes</t>
        </is>
      </c>
      <c r="CQ8" t="inlineStr">
        <is>
          <t>Yes</t>
        </is>
      </c>
      <c r="CR8" t="inlineStr">
        <is>
          <t>Yes</t>
        </is>
      </c>
      <c r="CS8" t="inlineStr">
        <is>
          <t>Yes</t>
        </is>
      </c>
      <c r="CT8" t="inlineStr">
        <is>
          <t>Yes</t>
        </is>
      </c>
      <c r="CU8" t="inlineStr">
        <is>
          <t>Yes</t>
        </is>
      </c>
      <c r="CV8" t="inlineStr">
        <is>
          <t>Yes</t>
        </is>
      </c>
      <c r="CW8" t="inlineStr">
        <is>
          <t>1</t>
        </is>
      </c>
      <c r="CX8" t="inlineStr">
        <is>
          <t>I</t>
        </is>
      </c>
      <c r="CY8" t="inlineStr">
        <is>
          <t>&gt;0 - ≤25ml</t>
        </is>
      </c>
      <c r="CZ8" t="inlineStr">
        <is>
          <t>Yes</t>
        </is>
      </c>
      <c r="DA8" t="inlineStr">
        <is>
          <t>No</t>
        </is>
      </c>
      <c r="DB8" t="inlineStr">
        <is>
          <t>No</t>
        </is>
      </c>
      <c r="DC8" t="inlineStr">
        <is>
          <t>1A</t>
        </is>
      </c>
      <c r="DD8" t="inlineStr">
        <is>
          <t>Yes</t>
        </is>
      </c>
      <c r="DE8" t="inlineStr">
        <is>
          <t>BIFMA Accredited</t>
        </is>
      </c>
      <c r="DF8" t="inlineStr">
        <is>
          <t>28"</t>
        </is>
      </c>
      <c r="DG8" t="inlineStr">
        <is>
          <t>Yes</t>
        </is>
      </c>
      <c r="DH8" t="inlineStr">
        <is>
          <t>No Assembly Needed</t>
        </is>
      </c>
      <c r="DI8" t="inlineStr">
        <is>
          <t>30 Days</t>
        </is>
      </c>
      <c r="DJ8" t="inlineStr">
        <is>
          <t>Yes</t>
        </is>
      </c>
      <c r="DK8" t="inlineStr">
        <is>
          <t>Yes</t>
        </is>
      </c>
      <c r="DL8" t="inlineStr">
        <is>
          <t>Full</t>
        </is>
      </c>
      <c r="DM8" t="inlineStr">
        <is>
          <t>Color</t>
        </is>
      </c>
      <c r="DN8" t="inlineStr">
        <is>
          <t>Bankers Chair</t>
        </is>
      </c>
      <c r="DO8" t="inlineStr">
        <is>
          <t>Metal</t>
        </is>
      </c>
      <c r="DP8" t="inlineStr">
        <is>
          <t>Yes</t>
        </is>
      </c>
      <c r="DQ8" t="inlineStr">
        <is>
          <t>Yes</t>
        </is>
      </c>
      <c r="DR8" t="inlineStr">
        <is>
          <t>Yes</t>
        </is>
      </c>
      <c r="DS8" t="inlineStr">
        <is>
          <t>No</t>
        </is>
      </c>
      <c r="DT8" t="inlineStr">
        <is>
          <t>No</t>
        </is>
      </c>
      <c r="DU8" t="inlineStr">
        <is>
          <t>No</t>
        </is>
      </c>
      <c r="DV8" t="inlineStr">
        <is>
          <t>Yes</t>
        </is>
      </c>
      <c r="DW8" t="inlineStr">
        <is>
          <t>No</t>
        </is>
      </c>
      <c r="DX8" t="inlineStr">
        <is>
          <t>Yes</t>
        </is>
      </c>
      <c r="DY8" t="inlineStr">
        <is>
          <t>No</t>
        </is>
      </c>
      <c r="DZ8" t="inlineStr">
        <is>
          <t>No</t>
        </is>
      </c>
      <c r="EA8" t="inlineStr">
        <is>
          <t>No</t>
        </is>
      </c>
      <c r="EB8" t="inlineStr">
        <is>
          <t>Yes</t>
        </is>
      </c>
      <c r="EC8" t="inlineStr">
        <is>
          <t>No</t>
        </is>
      </c>
      <c r="ED8" t="inlineStr">
        <is>
          <t>No</t>
        </is>
      </c>
      <c r="EE8" t="inlineStr">
        <is>
          <t>No</t>
        </is>
      </c>
      <c r="EF8" t="inlineStr">
        <is>
          <t>No</t>
        </is>
      </c>
      <c r="EG8" t="inlineStr">
        <is>
          <t>Yes</t>
        </is>
      </c>
      <c r="EH8" t="inlineStr">
        <is>
          <t>No</t>
        </is>
      </c>
      <c r="EI8" t="inlineStr">
        <is>
          <t>Dovetail</t>
        </is>
      </c>
      <c r="EJ8" t="inlineStr">
        <is>
          <t>Yes</t>
        </is>
      </c>
      <c r="EK8" t="inlineStr">
        <is>
          <t>No</t>
        </is>
      </c>
      <c r="EL8" t="inlineStr">
        <is>
          <t>Lithium Metal</t>
        </is>
      </c>
      <c r="EM8" t="inlineStr">
        <is>
          <t>Cell</t>
        </is>
      </c>
      <c r="EN8" t="inlineStr">
        <is>
          <t>1</t>
        </is>
      </c>
      <c r="EO8" t="inlineStr">
        <is>
          <t>Stand alone</t>
        </is>
      </c>
      <c r="EP8" t="inlineStr">
        <is>
          <t>Cells exceeding 5 grams</t>
        </is>
      </c>
      <c r="EQ8" t="inlineStr">
        <is>
          <t>Cells of between 20w/h and 60w/h</t>
        </is>
      </c>
      <c r="ER8" t="inlineStr">
        <is>
          <t>2.5kg or less</t>
        </is>
      </c>
      <c r="ES8" t="inlineStr">
        <is>
          <t>Yes</t>
        </is>
      </c>
      <c r="ET8" t="inlineStr">
        <is>
          <t>Yes</t>
        </is>
      </c>
      <c r="EU8" t="inlineStr">
        <is>
          <t>Yes</t>
        </is>
      </c>
      <c r="EV8" t="inlineStr">
        <is>
          <t>No</t>
        </is>
      </c>
      <c r="EW8" t="inlineStr">
        <is>
          <t>No</t>
        </is>
      </c>
      <c r="EX8" t="inlineStr">
        <is>
          <t>Yes</t>
        </is>
      </c>
      <c r="EY8" t="inlineStr">
        <is>
          <t>Yes</t>
        </is>
      </c>
      <c r="EZ8" t="inlineStr">
        <is>
          <t>Less than 3,000</t>
        </is>
      </c>
      <c r="FA8" t="inlineStr">
        <is>
          <t>Yes</t>
        </is>
      </c>
      <c r="FB8" t="inlineStr">
        <is>
          <t>Yes</t>
        </is>
      </c>
      <c r="FC8" t="inlineStr">
        <is>
          <t>Yes</t>
        </is>
      </c>
      <c r="FD8" t="inlineStr">
        <is>
          <t>Yes</t>
        </is>
      </c>
      <c r="FE8" t="inlineStr">
        <is>
          <t>Yes</t>
        </is>
      </c>
      <c r="FF8" t="inlineStr">
        <is>
          <t>Yes</t>
        </is>
      </c>
      <c r="FG8" t="inlineStr">
        <is>
          <t>Yes</t>
        </is>
      </c>
      <c r="FH8" t="inlineStr">
        <is>
          <t>Yes</t>
        </is>
      </c>
      <c r="FI8" t="inlineStr">
        <is>
          <t>Yes</t>
        </is>
      </c>
      <c r="FJ8" t="inlineStr">
        <is>
          <t>Yes</t>
        </is>
      </c>
      <c r="FK8" t="inlineStr">
        <is>
          <t>Yes</t>
        </is>
      </c>
      <c r="FL8" t="inlineStr">
        <is>
          <t>Yes</t>
        </is>
      </c>
      <c r="FM8" t="inlineStr">
        <is>
          <t>Yes</t>
        </is>
      </c>
      <c r="FN8" t="inlineStr">
        <is>
          <t>Yes</t>
        </is>
      </c>
      <c r="FO8" t="inlineStr">
        <is>
          <t>1</t>
        </is>
      </c>
      <c r="FP8" t="inlineStr">
        <is>
          <t>I</t>
        </is>
      </c>
      <c r="FQ8" t="inlineStr">
        <is>
          <t>&gt;0 - ≤25ml</t>
        </is>
      </c>
      <c r="FR8" t="inlineStr">
        <is>
          <t>Yes</t>
        </is>
      </c>
      <c r="FS8" t="inlineStr">
        <is>
          <t>No</t>
        </is>
      </c>
      <c r="FT8" t="inlineStr">
        <is>
          <t>Yes</t>
        </is>
      </c>
      <c r="FU8" t="inlineStr">
        <is>
          <t>1A</t>
        </is>
      </c>
      <c r="FV8" t="inlineStr">
        <is>
          <t>Yes</t>
        </is>
      </c>
      <c r="FW8" t="inlineStr">
        <is>
          <t>Yes</t>
        </is>
      </c>
      <c r="FX8" t="inlineStr">
        <is>
          <t>BIFMA Accredited</t>
        </is>
      </c>
      <c r="FY8" t="inlineStr">
        <is>
          <t>Yes</t>
        </is>
      </c>
      <c r="FZ8" t="inlineStr">
        <is>
          <t>No Assembly Needed</t>
        </is>
      </c>
      <c r="GA8" t="inlineStr">
        <is>
          <t>30 Days</t>
        </is>
      </c>
      <c r="GB8" t="inlineStr">
        <is>
          <t>Yes</t>
        </is>
      </c>
      <c r="GC8" t="inlineStr">
        <is>
          <t>Yes</t>
        </is>
      </c>
      <c r="GD8" t="inlineStr">
        <is>
          <t>Full</t>
        </is>
      </c>
      <c r="GE8" t="inlineStr">
        <is>
          <t>Frame Color</t>
        </is>
      </c>
      <c r="GF8" t="inlineStr">
        <is>
          <t>Combo Dresser</t>
        </is>
      </c>
      <c r="GG8" t="inlineStr">
        <is>
          <t>Yes</t>
        </is>
      </c>
      <c r="GH8" t="inlineStr">
        <is>
          <t>No</t>
        </is>
      </c>
      <c r="GI8" t="inlineStr">
        <is>
          <t>No</t>
        </is>
      </c>
      <c r="GJ8" t="inlineStr">
        <is>
          <t>Yes</t>
        </is>
      </c>
      <c r="GK8" t="inlineStr">
        <is>
          <t>Yes</t>
        </is>
      </c>
      <c r="GL8" t="inlineStr">
        <is>
          <t>No</t>
        </is>
      </c>
      <c r="GM8" t="inlineStr">
        <is>
          <t>No</t>
        </is>
      </c>
      <c r="GN8" t="inlineStr">
        <is>
          <t>Metal</t>
        </is>
      </c>
      <c r="GO8" t="inlineStr">
        <is>
          <t>No</t>
        </is>
      </c>
      <c r="GP8" t="inlineStr">
        <is>
          <t>Dovetail</t>
        </is>
      </c>
      <c r="GQ8" t="inlineStr">
        <is>
          <t>Yes</t>
        </is>
      </c>
      <c r="GR8" t="inlineStr">
        <is>
          <t>Yes</t>
        </is>
      </c>
      <c r="GS8" t="inlineStr">
        <is>
          <t>Yes</t>
        </is>
      </c>
      <c r="GT8" t="inlineStr">
        <is>
          <t>Yes</t>
        </is>
      </c>
      <c r="GU8" t="inlineStr">
        <is>
          <t>Particle Board / Chipboard</t>
        </is>
      </c>
      <c r="GV8" t="inlineStr">
        <is>
          <t>Yes</t>
        </is>
      </c>
      <c r="GW8" t="inlineStr">
        <is>
          <t>Yes</t>
        </is>
      </c>
      <c r="GX8" t="inlineStr">
        <is>
          <t>Yes</t>
        </is>
      </c>
      <c r="GY8" t="inlineStr">
        <is>
          <t>Yes</t>
        </is>
      </c>
      <c r="GZ8" t="inlineStr">
        <is>
          <t>Yes</t>
        </is>
      </c>
      <c r="HA8" t="inlineStr">
        <is>
          <t>No</t>
        </is>
      </c>
      <c r="HB8" t="inlineStr">
        <is>
          <t>Yes</t>
        </is>
      </c>
      <c r="HC8" t="inlineStr">
        <is>
          <t>Yes</t>
        </is>
      </c>
      <c r="HD8" t="inlineStr">
        <is>
          <t>Yes</t>
        </is>
      </c>
      <c r="HE8" t="inlineStr">
        <is>
          <t>Yes</t>
        </is>
      </c>
      <c r="HF8" t="inlineStr">
        <is>
          <t>Yes</t>
        </is>
      </c>
      <c r="HG8" t="inlineStr">
        <is>
          <t>Yes</t>
        </is>
      </c>
      <c r="HH8" t="inlineStr">
        <is>
          <t>Yes</t>
        </is>
      </c>
      <c r="HI8" t="inlineStr">
        <is>
          <t>Yes</t>
        </is>
      </c>
      <c r="HJ8" t="inlineStr">
        <is>
          <t>Yes</t>
        </is>
      </c>
      <c r="HK8" t="inlineStr">
        <is>
          <t>Yes</t>
        </is>
      </c>
      <c r="HL8" t="inlineStr">
        <is>
          <t>No</t>
        </is>
      </c>
      <c r="HM8" t="inlineStr">
        <is>
          <t>1A</t>
        </is>
      </c>
      <c r="HN8" t="inlineStr">
        <is>
          <t>Yes</t>
        </is>
      </c>
      <c r="HO8" t="inlineStr">
        <is>
          <t>Yes</t>
        </is>
      </c>
      <c r="HP8" t="inlineStr">
        <is>
          <t>BIFMA Accredited</t>
        </is>
      </c>
      <c r="HQ8" t="inlineStr">
        <is>
          <t>Yes</t>
        </is>
      </c>
      <c r="HR8" t="inlineStr">
        <is>
          <t>No Assembly Needed</t>
        </is>
      </c>
      <c r="HS8" t="inlineStr">
        <is>
          <t>30 Days</t>
        </is>
      </c>
      <c r="HT8" t="inlineStr">
        <is>
          <t>Yes</t>
        </is>
      </c>
      <c r="HU8" t="inlineStr">
        <is>
          <t>Yes</t>
        </is>
      </c>
      <c r="HV8" t="inlineStr">
        <is>
          <t>Full</t>
        </is>
      </c>
      <c r="HW8" t="inlineStr">
        <is>
          <t>Color</t>
        </is>
      </c>
      <c r="HX8" t="inlineStr">
        <is>
          <t>Twin</t>
        </is>
      </c>
      <c r="HY8" t="inlineStr">
        <is>
          <t>Standard</t>
        </is>
      </c>
      <c r="HZ8" t="inlineStr">
        <is>
          <t>Yes</t>
        </is>
      </c>
      <c r="IA8" t="inlineStr">
        <is>
          <t>Yes</t>
        </is>
      </c>
      <c r="IB8" t="inlineStr">
        <is>
          <t>Bonded Leather</t>
        </is>
      </c>
      <c r="IC8" t="inlineStr">
        <is>
          <t>Yes</t>
        </is>
      </c>
      <c r="ID8" t="inlineStr">
        <is>
          <t>No</t>
        </is>
      </c>
      <c r="IE8" t="inlineStr">
        <is>
          <t>Yes</t>
        </is>
      </c>
      <c r="IF8" t="inlineStr">
        <is>
          <t>Yes</t>
        </is>
      </c>
      <c r="IG8" t="inlineStr">
        <is>
          <t>Yes</t>
        </is>
      </c>
      <c r="IH8" t="inlineStr">
        <is>
          <t>No</t>
        </is>
      </c>
      <c r="II8" t="inlineStr">
        <is>
          <t>Dovetail</t>
        </is>
      </c>
      <c r="IJ8" t="inlineStr">
        <is>
          <t>Yes</t>
        </is>
      </c>
      <c r="IK8" t="inlineStr">
        <is>
          <t>Cell</t>
        </is>
      </c>
      <c r="IL8" t="inlineStr">
        <is>
          <t>Lithium Metal</t>
        </is>
      </c>
      <c r="IM8" t="inlineStr">
        <is>
          <t>1</t>
        </is>
      </c>
      <c r="IN8" t="inlineStr">
        <is>
          <t>Stand alone</t>
        </is>
      </c>
      <c r="IO8" t="inlineStr">
        <is>
          <t>Cells exceeding 5 grams</t>
        </is>
      </c>
      <c r="IP8" t="inlineStr">
        <is>
          <t>Cells of between 20w/h and 60w/h</t>
        </is>
      </c>
      <c r="IQ8" t="inlineStr">
        <is>
          <t>2.5kg or less</t>
        </is>
      </c>
      <c r="IR8" t="inlineStr">
        <is>
          <t>Yes</t>
        </is>
      </c>
      <c r="IS8" t="inlineStr">
        <is>
          <t>Yes</t>
        </is>
      </c>
      <c r="IT8" t="inlineStr">
        <is>
          <t>No</t>
        </is>
      </c>
      <c r="IU8" t="inlineStr">
        <is>
          <t>Yes</t>
        </is>
      </c>
      <c r="IV8" t="inlineStr">
        <is>
          <t>Yes</t>
        </is>
      </c>
      <c r="IW8" t="inlineStr">
        <is>
          <t>Particle Board / Chipboard</t>
        </is>
      </c>
      <c r="IX8" t="inlineStr">
        <is>
          <t>No</t>
        </is>
      </c>
      <c r="IY8" t="inlineStr">
        <is>
          <t>Suede</t>
        </is>
      </c>
      <c r="IZ8" t="inlineStr">
        <is>
          <t>Chenille</t>
        </is>
      </c>
      <c r="JA8" t="inlineStr">
        <is>
          <t>Beveled</t>
        </is>
      </c>
      <c r="JB8" t="inlineStr">
        <is>
          <t>Yes</t>
        </is>
      </c>
      <c r="JC8" t="inlineStr">
        <is>
          <t>Yes</t>
        </is>
      </c>
      <c r="JD8" t="inlineStr">
        <is>
          <t>Yes</t>
        </is>
      </c>
      <c r="JE8" t="inlineStr">
        <is>
          <t>Yes</t>
        </is>
      </c>
      <c r="JF8" t="inlineStr">
        <is>
          <t>Yes</t>
        </is>
      </c>
      <c r="JG8" t="inlineStr">
        <is>
          <t>Yes</t>
        </is>
      </c>
      <c r="JH8" t="inlineStr">
        <is>
          <t>Yes</t>
        </is>
      </c>
      <c r="JI8" t="inlineStr">
        <is>
          <t>Yes</t>
        </is>
      </c>
      <c r="JJ8" t="inlineStr">
        <is>
          <t>Yes</t>
        </is>
      </c>
      <c r="JK8" t="inlineStr">
        <is>
          <t>Yes</t>
        </is>
      </c>
      <c r="JL8" t="inlineStr">
        <is>
          <t>Yes</t>
        </is>
      </c>
      <c r="JM8" t="inlineStr">
        <is>
          <t>Yes</t>
        </is>
      </c>
      <c r="JN8" t="inlineStr">
        <is>
          <t>Yes</t>
        </is>
      </c>
      <c r="JO8" t="inlineStr">
        <is>
          <t>Yes</t>
        </is>
      </c>
      <c r="JP8" t="inlineStr">
        <is>
          <t>Yes</t>
        </is>
      </c>
      <c r="JQ8" t="inlineStr">
        <is>
          <t>Yes</t>
        </is>
      </c>
      <c r="JR8" t="inlineStr">
        <is>
          <t>Yes</t>
        </is>
      </c>
      <c r="JS8" t="inlineStr">
        <is>
          <t>1</t>
        </is>
      </c>
      <c r="JT8" t="inlineStr">
        <is>
          <t>I</t>
        </is>
      </c>
      <c r="JU8" t="inlineStr">
        <is>
          <t>&gt;0 - ≤25ml</t>
        </is>
      </c>
      <c r="JV8" t="inlineStr">
        <is>
          <t>Yes</t>
        </is>
      </c>
      <c r="JW8" t="inlineStr">
        <is>
          <t>No</t>
        </is>
      </c>
      <c r="JX8" t="inlineStr">
        <is>
          <t>1A</t>
        </is>
      </c>
      <c r="JY8" t="inlineStr">
        <is>
          <t>Yes</t>
        </is>
      </c>
      <c r="JZ8" t="inlineStr">
        <is>
          <t>Yes</t>
        </is>
      </c>
      <c r="KA8" t="inlineStr">
        <is>
          <t>No</t>
        </is>
      </c>
      <c r="KB8" t="inlineStr">
        <is>
          <t>Yes</t>
        </is>
      </c>
      <c r="KC8" t="inlineStr">
        <is>
          <t>Yes</t>
        </is>
      </c>
      <c r="KD8" t="inlineStr">
        <is>
          <t>Yes</t>
        </is>
      </c>
      <c r="KE8" t="inlineStr">
        <is>
          <t>Yes</t>
        </is>
      </c>
      <c r="KF8" t="inlineStr">
        <is>
          <t>No Assembly Needed</t>
        </is>
      </c>
      <c r="KG8" t="inlineStr">
        <is>
          <t>30 Days</t>
        </is>
      </c>
      <c r="KH8" t="inlineStr">
        <is>
          <t>Yes</t>
        </is>
      </c>
      <c r="KI8" t="inlineStr">
        <is>
          <t>Yes</t>
        </is>
      </c>
      <c r="KJ8" t="inlineStr">
        <is>
          <t>Full</t>
        </is>
      </c>
      <c r="KK8" t="inlineStr">
        <is>
          <t>Size</t>
        </is>
      </c>
    </row>
    <row r="9">
      <c r="A9" t="inlineStr">
        <is>
          <t>Multimedia Storage</t>
        </is>
      </c>
      <c r="B9" t="inlineStr">
        <is>
          <t>Book Cart</t>
        </is>
      </c>
      <c r="C9" t="inlineStr">
        <is>
          <t>Yes</t>
        </is>
      </c>
      <c r="D9" t="inlineStr">
        <is>
          <t>Yes</t>
        </is>
      </c>
      <c r="E9" t="inlineStr">
        <is>
          <t>Yes</t>
        </is>
      </c>
      <c r="F9" t="inlineStr">
        <is>
          <t>No</t>
        </is>
      </c>
      <c r="G9" t="inlineStr">
        <is>
          <t>No</t>
        </is>
      </c>
      <c r="H9" t="inlineStr">
        <is>
          <t>Yes</t>
        </is>
      </c>
      <c r="I9" t="inlineStr">
        <is>
          <t>Lithium Ion / Lithium Polymer</t>
        </is>
      </c>
      <c r="J9" t="inlineStr">
        <is>
          <t>Battery</t>
        </is>
      </c>
      <c r="K9" t="inlineStr">
        <is>
          <t>2</t>
        </is>
      </c>
      <c r="L9" t="inlineStr">
        <is>
          <t>Contained in product</t>
        </is>
      </c>
      <c r="M9" t="inlineStr">
        <is>
          <t>Batteries of 2 grams or less</t>
        </is>
      </c>
      <c r="N9" t="inlineStr">
        <is>
          <t>Cells exceeding 60w/h</t>
        </is>
      </c>
      <c r="O9" t="inlineStr">
        <is>
          <t>2.5kg to 5kg</t>
        </is>
      </c>
      <c r="P9" t="inlineStr">
        <is>
          <t>No</t>
        </is>
      </c>
      <c r="Q9" t="inlineStr">
        <is>
          <t>No</t>
        </is>
      </c>
      <c r="R9" t="inlineStr">
        <is>
          <t>No</t>
        </is>
      </c>
      <c r="S9" t="inlineStr">
        <is>
          <t>Fixed</t>
        </is>
      </c>
      <c r="T9" t="inlineStr">
        <is>
          <t>No</t>
        </is>
      </c>
      <c r="U9" t="inlineStr">
        <is>
          <t>No</t>
        </is>
      </c>
      <c r="V9" t="inlineStr">
        <is>
          <t>No</t>
        </is>
      </c>
      <c r="W9" t="inlineStr">
        <is>
          <t>No</t>
        </is>
      </c>
      <c r="X9" t="inlineStr">
        <is>
          <t>No</t>
        </is>
      </c>
      <c r="Y9" t="inlineStr">
        <is>
          <t>No</t>
        </is>
      </c>
      <c r="Z9" t="inlineStr">
        <is>
          <t>No</t>
        </is>
      </c>
      <c r="AA9" t="inlineStr">
        <is>
          <t>No</t>
        </is>
      </c>
      <c r="AB9" t="inlineStr">
        <is>
          <t>No</t>
        </is>
      </c>
      <c r="AC9" t="inlineStr">
        <is>
          <t>No</t>
        </is>
      </c>
      <c r="AD9" t="inlineStr">
        <is>
          <t>No</t>
        </is>
      </c>
      <c r="AE9" t="inlineStr">
        <is>
          <t>2.2</t>
        </is>
      </c>
      <c r="AF9" t="inlineStr">
        <is>
          <t>III</t>
        </is>
      </c>
      <c r="AG9" t="inlineStr">
        <is>
          <t>&gt;1L - ≤5L</t>
        </is>
      </c>
      <c r="AH9" t="inlineStr">
        <is>
          <t>No</t>
        </is>
      </c>
      <c r="AI9" t="inlineStr">
        <is>
          <t>Yes</t>
        </is>
      </c>
      <c r="AJ9" t="inlineStr">
        <is>
          <t>3A or 6A</t>
        </is>
      </c>
      <c r="AK9" t="inlineStr">
        <is>
          <t>No</t>
        </is>
      </c>
      <c r="AL9" t="inlineStr">
        <is>
          <t>No</t>
        </is>
      </c>
      <c r="AM9" t="inlineStr">
        <is>
          <t>60 Days</t>
        </is>
      </c>
      <c r="AN9" t="inlineStr">
        <is>
          <t>No</t>
        </is>
      </c>
      <c r="AO9" t="inlineStr">
        <is>
          <t>No</t>
        </is>
      </c>
      <c r="AQ9" t="inlineStr">
        <is>
          <t>UK</t>
        </is>
      </c>
      <c r="AR9" t="inlineStr">
        <is>
          <t>Bulgarian</t>
        </is>
      </c>
      <c r="AS9" t="inlineStr">
        <is>
          <t>No</t>
        </is>
      </c>
      <c r="AT9" t="inlineStr">
        <is>
          <t>Abiraterone acetate</t>
        </is>
      </c>
      <c r="AU9" t="inlineStr">
        <is>
          <t>Canada</t>
        </is>
      </c>
      <c r="AV9" t="inlineStr">
        <is>
          <t>LTL</t>
        </is>
      </c>
      <c r="AW9" t="inlineStr">
        <is>
          <t>55</t>
        </is>
      </c>
      <c r="AX9" t="inlineStr">
        <is>
          <t>24</t>
        </is>
      </c>
      <c r="AY9" t="inlineStr">
        <is>
          <t>24</t>
        </is>
      </c>
      <c r="AZ9" t="inlineStr">
        <is>
          <t>No</t>
        </is>
      </c>
      <c r="BA9" t="inlineStr">
        <is>
          <t>No</t>
        </is>
      </c>
      <c r="BB9" t="inlineStr">
        <is>
          <t>Non-Primary Variant</t>
        </is>
      </c>
      <c r="BC9" t="inlineStr">
        <is>
          <t>Finish</t>
        </is>
      </c>
      <c r="BD9" t="inlineStr">
        <is>
          <t>TV Stand</t>
        </is>
      </c>
      <c r="BE9" t="inlineStr">
        <is>
          <t>No</t>
        </is>
      </c>
      <c r="BF9" t="inlineStr">
        <is>
          <t>No</t>
        </is>
      </c>
      <c r="BG9" t="inlineStr">
        <is>
          <t>Yes</t>
        </is>
      </c>
      <c r="BH9" t="inlineStr">
        <is>
          <t>No</t>
        </is>
      </c>
      <c r="BI9" t="inlineStr">
        <is>
          <t>No</t>
        </is>
      </c>
      <c r="BJ9" t="inlineStr">
        <is>
          <t>No</t>
        </is>
      </c>
      <c r="BK9" t="inlineStr">
        <is>
          <t>Yes</t>
        </is>
      </c>
      <c r="BL9" t="inlineStr">
        <is>
          <t>No</t>
        </is>
      </c>
      <c r="BM9" t="inlineStr">
        <is>
          <t>No</t>
        </is>
      </c>
      <c r="BN9" t="inlineStr">
        <is>
          <t>No</t>
        </is>
      </c>
      <c r="BO9" t="inlineStr">
        <is>
          <t>No</t>
        </is>
      </c>
      <c r="BP9" t="inlineStr">
        <is>
          <t>Yes</t>
        </is>
      </c>
      <c r="BQ9" t="inlineStr">
        <is>
          <t>No</t>
        </is>
      </c>
      <c r="BR9" t="inlineStr">
        <is>
          <t>Yes</t>
        </is>
      </c>
      <c r="BS9" t="inlineStr">
        <is>
          <t>Yes</t>
        </is>
      </c>
      <c r="BT9" t="inlineStr">
        <is>
          <t>Yes</t>
        </is>
      </c>
      <c r="BU9" t="inlineStr">
        <is>
          <t>No</t>
        </is>
      </c>
      <c r="BV9" t="inlineStr">
        <is>
          <t>Yes</t>
        </is>
      </c>
      <c r="BW9" t="inlineStr">
        <is>
          <t>Yes</t>
        </is>
      </c>
      <c r="BX9" t="inlineStr">
        <is>
          <t>Mortise and Tenon</t>
        </is>
      </c>
      <c r="BY9" t="inlineStr">
        <is>
          <t>No</t>
        </is>
      </c>
      <c r="BZ9" t="inlineStr">
        <is>
          <t>Lithium Ion / Lithium Polymer</t>
        </is>
      </c>
      <c r="CA9" t="inlineStr">
        <is>
          <t>Battery</t>
        </is>
      </c>
      <c r="CB9" t="inlineStr">
        <is>
          <t>2</t>
        </is>
      </c>
      <c r="CC9" t="inlineStr">
        <is>
          <t>Contained in product</t>
        </is>
      </c>
      <c r="CD9" t="inlineStr">
        <is>
          <t>Batteries of 2 grams or less</t>
        </is>
      </c>
      <c r="CE9" t="inlineStr">
        <is>
          <t>Cells exceeding 60w/h</t>
        </is>
      </c>
      <c r="CF9" t="inlineStr">
        <is>
          <t>2.5kg to 5kg</t>
        </is>
      </c>
      <c r="CG9" t="inlineStr">
        <is>
          <t>No</t>
        </is>
      </c>
      <c r="CH9" t="inlineStr">
        <is>
          <t>Yes</t>
        </is>
      </c>
      <c r="CI9" t="inlineStr">
        <is>
          <t>No</t>
        </is>
      </c>
      <c r="CJ9" t="inlineStr">
        <is>
          <t>No</t>
        </is>
      </c>
      <c r="CK9" t="inlineStr">
        <is>
          <t>Natural Vent</t>
        </is>
      </c>
      <c r="CL9" t="inlineStr">
        <is>
          <t>No</t>
        </is>
      </c>
      <c r="CM9" t="inlineStr">
        <is>
          <t>No</t>
        </is>
      </c>
      <c r="CN9" t="inlineStr">
        <is>
          <t>No</t>
        </is>
      </c>
      <c r="CO9" t="inlineStr">
        <is>
          <t>No</t>
        </is>
      </c>
      <c r="CP9" t="inlineStr">
        <is>
          <t>No</t>
        </is>
      </c>
      <c r="CQ9" t="inlineStr">
        <is>
          <t>No</t>
        </is>
      </c>
      <c r="CR9" t="inlineStr">
        <is>
          <t>No</t>
        </is>
      </c>
      <c r="CS9" t="inlineStr">
        <is>
          <t>No</t>
        </is>
      </c>
      <c r="CT9" t="inlineStr">
        <is>
          <t>No</t>
        </is>
      </c>
      <c r="CU9" t="inlineStr">
        <is>
          <t>No</t>
        </is>
      </c>
      <c r="CV9" t="inlineStr">
        <is>
          <t>No</t>
        </is>
      </c>
      <c r="CW9" t="inlineStr">
        <is>
          <t>2.2</t>
        </is>
      </c>
      <c r="CX9" t="inlineStr">
        <is>
          <t>III</t>
        </is>
      </c>
      <c r="CY9" t="inlineStr">
        <is>
          <t>&gt;1L - ≤5L</t>
        </is>
      </c>
      <c r="CZ9" t="inlineStr">
        <is>
          <t>No</t>
        </is>
      </c>
      <c r="DA9" t="inlineStr">
        <is>
          <t>Yes</t>
        </is>
      </c>
      <c r="DB9" t="inlineStr">
        <is>
          <t>Yes</t>
        </is>
      </c>
      <c r="DC9" t="inlineStr">
        <is>
          <t>3A or 6A</t>
        </is>
      </c>
      <c r="DD9" t="inlineStr">
        <is>
          <t>No</t>
        </is>
      </c>
      <c r="DE9" t="inlineStr">
        <is>
          <t>BIFMA Equivalent</t>
        </is>
      </c>
      <c r="DF9" t="inlineStr">
        <is>
          <t>24"</t>
        </is>
      </c>
      <c r="DG9" t="inlineStr">
        <is>
          <t>No</t>
        </is>
      </c>
      <c r="DH9" t="inlineStr">
        <is>
          <t>Minimal Assembly Needed</t>
        </is>
      </c>
      <c r="DI9" t="inlineStr">
        <is>
          <t>60 Days</t>
        </is>
      </c>
      <c r="DJ9" t="inlineStr">
        <is>
          <t>No</t>
        </is>
      </c>
      <c r="DK9" t="inlineStr">
        <is>
          <t>No</t>
        </is>
      </c>
      <c r="DL9" t="inlineStr">
        <is>
          <t>Limited</t>
        </is>
      </c>
      <c r="DM9" t="inlineStr">
        <is>
          <t>Material</t>
        </is>
      </c>
      <c r="DN9" t="inlineStr">
        <is>
          <t>Conference Chair</t>
        </is>
      </c>
      <c r="DO9" t="inlineStr">
        <is>
          <t>Aluminum</t>
        </is>
      </c>
      <c r="DP9" t="inlineStr">
        <is>
          <t>No</t>
        </is>
      </c>
      <c r="DQ9" t="inlineStr">
        <is>
          <t>No</t>
        </is>
      </c>
      <c r="DR9" t="inlineStr">
        <is>
          <t>No</t>
        </is>
      </c>
      <c r="DS9" t="inlineStr">
        <is>
          <t>Yes</t>
        </is>
      </c>
      <c r="DT9" t="inlineStr">
        <is>
          <t>Yes</t>
        </is>
      </c>
      <c r="DU9" t="inlineStr">
        <is>
          <t>Yes</t>
        </is>
      </c>
      <c r="DV9" t="inlineStr">
        <is>
          <t>No</t>
        </is>
      </c>
      <c r="DW9" t="inlineStr">
        <is>
          <t>Yes</t>
        </is>
      </c>
      <c r="DX9" t="inlineStr">
        <is>
          <t>No</t>
        </is>
      </c>
      <c r="DY9" t="inlineStr">
        <is>
          <t>Yes</t>
        </is>
      </c>
      <c r="DZ9" t="inlineStr">
        <is>
          <t>Yes</t>
        </is>
      </c>
      <c r="EA9" t="inlineStr">
        <is>
          <t>Yes</t>
        </is>
      </c>
      <c r="EB9" t="inlineStr">
        <is>
          <t>No</t>
        </is>
      </c>
      <c r="EC9" t="inlineStr">
        <is>
          <t>Yes</t>
        </is>
      </c>
      <c r="ED9" t="inlineStr">
        <is>
          <t>Yes</t>
        </is>
      </c>
      <c r="EE9" t="inlineStr">
        <is>
          <t>Yes</t>
        </is>
      </c>
      <c r="EF9" t="inlineStr">
        <is>
          <t>Yes</t>
        </is>
      </c>
      <c r="EG9" t="inlineStr">
        <is>
          <t>No</t>
        </is>
      </c>
      <c r="EH9" t="inlineStr">
        <is>
          <t>Yes</t>
        </is>
      </c>
      <c r="EI9" t="inlineStr">
        <is>
          <t>Mortise and Tenon</t>
        </is>
      </c>
      <c r="EJ9" t="inlineStr">
        <is>
          <t>No</t>
        </is>
      </c>
      <c r="EK9" t="inlineStr">
        <is>
          <t>Yes</t>
        </is>
      </c>
      <c r="EL9" t="inlineStr">
        <is>
          <t>Lithium Ion / Lithium Polymer</t>
        </is>
      </c>
      <c r="EM9" t="inlineStr">
        <is>
          <t>Battery</t>
        </is>
      </c>
      <c r="EN9" t="inlineStr">
        <is>
          <t>2</t>
        </is>
      </c>
      <c r="EO9" t="inlineStr">
        <is>
          <t>Contained in product</t>
        </is>
      </c>
      <c r="EP9" t="inlineStr">
        <is>
          <t>Batteries of 2 grams or less</t>
        </is>
      </c>
      <c r="EQ9" t="inlineStr">
        <is>
          <t>Cells exceeding 60w/h</t>
        </is>
      </c>
      <c r="ER9" t="inlineStr">
        <is>
          <t>2.5kg to 5kg</t>
        </is>
      </c>
      <c r="ES9" t="inlineStr">
        <is>
          <t>No</t>
        </is>
      </c>
      <c r="ET9" t="inlineStr">
        <is>
          <t>No</t>
        </is>
      </c>
      <c r="EU9" t="inlineStr">
        <is>
          <t>No</t>
        </is>
      </c>
      <c r="EV9" t="inlineStr">
        <is>
          <t>Yes</t>
        </is>
      </c>
      <c r="EW9" t="inlineStr">
        <is>
          <t>Yes</t>
        </is>
      </c>
      <c r="EX9" t="inlineStr">
        <is>
          <t>No</t>
        </is>
      </c>
      <c r="EY9" t="inlineStr">
        <is>
          <t>No</t>
        </is>
      </c>
      <c r="EZ9" t="inlineStr">
        <is>
          <t>3,000-9,000</t>
        </is>
      </c>
      <c r="FA9" t="inlineStr">
        <is>
          <t>No</t>
        </is>
      </c>
      <c r="FB9" t="inlineStr">
        <is>
          <t>No</t>
        </is>
      </c>
      <c r="FC9" t="inlineStr">
        <is>
          <t>No</t>
        </is>
      </c>
      <c r="FD9" t="inlineStr">
        <is>
          <t>No</t>
        </is>
      </c>
      <c r="FE9" t="inlineStr">
        <is>
          <t>No</t>
        </is>
      </c>
      <c r="FF9" t="inlineStr">
        <is>
          <t>No</t>
        </is>
      </c>
      <c r="FG9" t="inlineStr">
        <is>
          <t>No</t>
        </is>
      </c>
      <c r="FH9" t="inlineStr">
        <is>
          <t>No</t>
        </is>
      </c>
      <c r="FI9" t="inlineStr">
        <is>
          <t>No</t>
        </is>
      </c>
      <c r="FJ9" t="inlineStr">
        <is>
          <t>No</t>
        </is>
      </c>
      <c r="FK9" t="inlineStr">
        <is>
          <t>No</t>
        </is>
      </c>
      <c r="FL9" t="inlineStr">
        <is>
          <t>No</t>
        </is>
      </c>
      <c r="FM9" t="inlineStr">
        <is>
          <t>No</t>
        </is>
      </c>
      <c r="FN9" t="inlineStr">
        <is>
          <t>No</t>
        </is>
      </c>
      <c r="FO9" t="inlineStr">
        <is>
          <t>2.2</t>
        </is>
      </c>
      <c r="FP9" t="inlineStr">
        <is>
          <t>III</t>
        </is>
      </c>
      <c r="FQ9" t="inlineStr">
        <is>
          <t>&gt;1L - ≤5L</t>
        </is>
      </c>
      <c r="FR9" t="inlineStr">
        <is>
          <t>No</t>
        </is>
      </c>
      <c r="FS9" t="inlineStr">
        <is>
          <t>Yes</t>
        </is>
      </c>
      <c r="FT9" t="inlineStr">
        <is>
          <t>No</t>
        </is>
      </c>
      <c r="FU9" t="inlineStr">
        <is>
          <t>3A or 6A</t>
        </is>
      </c>
      <c r="FV9" t="inlineStr">
        <is>
          <t>No</t>
        </is>
      </c>
      <c r="FW9" t="inlineStr">
        <is>
          <t>No</t>
        </is>
      </c>
      <c r="FX9" t="inlineStr">
        <is>
          <t>BIFMA Equivalent</t>
        </is>
      </c>
      <c r="FY9" t="inlineStr">
        <is>
          <t>No</t>
        </is>
      </c>
      <c r="FZ9" t="inlineStr">
        <is>
          <t>Minimal Assembly Needed</t>
        </is>
      </c>
      <c r="GA9" t="inlineStr">
        <is>
          <t>60 Days</t>
        </is>
      </c>
      <c r="GB9" t="inlineStr">
        <is>
          <t>No</t>
        </is>
      </c>
      <c r="GC9" t="inlineStr">
        <is>
          <t>No</t>
        </is>
      </c>
      <c r="GD9" t="inlineStr">
        <is>
          <t>Limited</t>
        </is>
      </c>
      <c r="GE9" t="inlineStr">
        <is>
          <t>Upholstery Color</t>
        </is>
      </c>
      <c r="GF9" t="inlineStr">
        <is>
          <t>Double Dresser</t>
        </is>
      </c>
      <c r="GG9" t="inlineStr">
        <is>
          <t>No</t>
        </is>
      </c>
      <c r="GH9" t="inlineStr">
        <is>
          <t>Yes</t>
        </is>
      </c>
      <c r="GI9" t="inlineStr">
        <is>
          <t>Yes</t>
        </is>
      </c>
      <c r="GJ9" t="inlineStr">
        <is>
          <t>No</t>
        </is>
      </c>
      <c r="GK9" t="inlineStr">
        <is>
          <t>No</t>
        </is>
      </c>
      <c r="GL9" t="inlineStr">
        <is>
          <t>Yes</t>
        </is>
      </c>
      <c r="GM9" t="inlineStr">
        <is>
          <t>Yes</t>
        </is>
      </c>
      <c r="GN9" t="inlineStr">
        <is>
          <t>Ceramic</t>
        </is>
      </c>
      <c r="GO9" t="inlineStr">
        <is>
          <t>Yes</t>
        </is>
      </c>
      <c r="GP9" t="inlineStr">
        <is>
          <t>Mortise and Tenon</t>
        </is>
      </c>
      <c r="GQ9" t="inlineStr">
        <is>
          <t>No</t>
        </is>
      </c>
      <c r="GR9" t="inlineStr">
        <is>
          <t>No</t>
        </is>
      </c>
      <c r="GS9" t="inlineStr">
        <is>
          <t>No</t>
        </is>
      </c>
      <c r="GT9" t="inlineStr">
        <is>
          <t>No</t>
        </is>
      </c>
      <c r="GU9" t="inlineStr">
        <is>
          <t>MDF</t>
        </is>
      </c>
      <c r="GV9" t="inlineStr">
        <is>
          <t>No</t>
        </is>
      </c>
      <c r="GW9" t="inlineStr">
        <is>
          <t>No</t>
        </is>
      </c>
      <c r="GX9" t="inlineStr">
        <is>
          <t>No</t>
        </is>
      </c>
      <c r="GY9" t="inlineStr">
        <is>
          <t>No</t>
        </is>
      </c>
      <c r="GZ9" t="inlineStr">
        <is>
          <t>No</t>
        </is>
      </c>
      <c r="HA9" t="inlineStr">
        <is>
          <t>Yes</t>
        </is>
      </c>
      <c r="HB9" t="inlineStr">
        <is>
          <t>No</t>
        </is>
      </c>
      <c r="HC9" t="inlineStr">
        <is>
          <t>No</t>
        </is>
      </c>
      <c r="HD9" t="inlineStr">
        <is>
          <t>No</t>
        </is>
      </c>
      <c r="HE9" t="inlineStr">
        <is>
          <t>No</t>
        </is>
      </c>
      <c r="HF9" t="inlineStr">
        <is>
          <t>No</t>
        </is>
      </c>
      <c r="HG9" t="inlineStr">
        <is>
          <t>No</t>
        </is>
      </c>
      <c r="HH9" t="inlineStr">
        <is>
          <t>No</t>
        </is>
      </c>
      <c r="HI9" t="inlineStr">
        <is>
          <t>No</t>
        </is>
      </c>
      <c r="HJ9" t="inlineStr">
        <is>
          <t>No</t>
        </is>
      </c>
      <c r="HK9" t="inlineStr">
        <is>
          <t>No</t>
        </is>
      </c>
      <c r="HL9" t="inlineStr">
        <is>
          <t>Yes</t>
        </is>
      </c>
      <c r="HM9" t="inlineStr">
        <is>
          <t>3A or 6A</t>
        </is>
      </c>
      <c r="HN9" t="inlineStr">
        <is>
          <t>No</t>
        </is>
      </c>
      <c r="HO9" t="inlineStr">
        <is>
          <t>No</t>
        </is>
      </c>
      <c r="HP9" t="inlineStr">
        <is>
          <t>BIFMA Equivalent</t>
        </is>
      </c>
      <c r="HQ9" t="inlineStr">
        <is>
          <t>No</t>
        </is>
      </c>
      <c r="HR9" t="inlineStr">
        <is>
          <t>Minimal Assembly Needed</t>
        </is>
      </c>
      <c r="HS9" t="inlineStr">
        <is>
          <t>60 Days</t>
        </is>
      </c>
      <c r="HT9" t="inlineStr">
        <is>
          <t>No</t>
        </is>
      </c>
      <c r="HU9" t="inlineStr">
        <is>
          <t>No</t>
        </is>
      </c>
      <c r="HV9" t="inlineStr">
        <is>
          <t>Limited</t>
        </is>
      </c>
      <c r="HX9" t="inlineStr">
        <is>
          <t>Extra-long Twin</t>
        </is>
      </c>
      <c r="HY9" t="inlineStr">
        <is>
          <t>Canopy</t>
        </is>
      </c>
      <c r="HZ9" t="inlineStr">
        <is>
          <t>No</t>
        </is>
      </c>
      <c r="IA9" t="inlineStr">
        <is>
          <t>No</t>
        </is>
      </c>
      <c r="IB9" t="inlineStr">
        <is>
          <t>PU</t>
        </is>
      </c>
      <c r="IC9" t="inlineStr">
        <is>
          <t>No</t>
        </is>
      </c>
      <c r="ID9" t="inlineStr">
        <is>
          <t>Yes</t>
        </is>
      </c>
      <c r="IE9" t="inlineStr">
        <is>
          <t>No</t>
        </is>
      </c>
      <c r="IF9" t="inlineStr">
        <is>
          <t>No</t>
        </is>
      </c>
      <c r="IG9" t="inlineStr">
        <is>
          <t>No</t>
        </is>
      </c>
      <c r="IH9" t="inlineStr">
        <is>
          <t>Yes</t>
        </is>
      </c>
      <c r="II9" t="inlineStr">
        <is>
          <t>Mortise and Tenon</t>
        </is>
      </c>
      <c r="IJ9" t="inlineStr">
        <is>
          <t>No</t>
        </is>
      </c>
      <c r="IK9" t="inlineStr">
        <is>
          <t>Battery</t>
        </is>
      </c>
      <c r="IL9" t="inlineStr">
        <is>
          <t>Lithium Ion / Lithium Polymer</t>
        </is>
      </c>
      <c r="IM9" t="inlineStr">
        <is>
          <t>2</t>
        </is>
      </c>
      <c r="IN9" t="inlineStr">
        <is>
          <t>Contained in product</t>
        </is>
      </c>
      <c r="IO9" t="inlineStr">
        <is>
          <t>Batteries of 2 grams or less</t>
        </is>
      </c>
      <c r="IP9" t="inlineStr">
        <is>
          <t>Cells exceeding 60w/h</t>
        </is>
      </c>
      <c r="IQ9" t="inlineStr">
        <is>
          <t>2.5kg to 5kg</t>
        </is>
      </c>
      <c r="IR9" t="inlineStr">
        <is>
          <t>No</t>
        </is>
      </c>
      <c r="IS9" t="inlineStr">
        <is>
          <t>No</t>
        </is>
      </c>
      <c r="IT9" t="inlineStr">
        <is>
          <t>Yes</t>
        </is>
      </c>
      <c r="IU9" t="inlineStr">
        <is>
          <t>No</t>
        </is>
      </c>
      <c r="IV9" t="inlineStr">
        <is>
          <t>No</t>
        </is>
      </c>
      <c r="IW9" t="inlineStr">
        <is>
          <t>MDF</t>
        </is>
      </c>
      <c r="IX9" t="inlineStr">
        <is>
          <t>Yes</t>
        </is>
      </c>
      <c r="IY9" t="inlineStr">
        <is>
          <t>Leather Match</t>
        </is>
      </c>
      <c r="IZ9" t="inlineStr">
        <is>
          <t>Velvet</t>
        </is>
      </c>
      <c r="JA9" t="inlineStr">
        <is>
          <t>Arched</t>
        </is>
      </c>
      <c r="JB9" t="inlineStr">
        <is>
          <t>No</t>
        </is>
      </c>
      <c r="JC9" t="inlineStr">
        <is>
          <t>No</t>
        </is>
      </c>
      <c r="JD9" t="inlineStr">
        <is>
          <t>No</t>
        </is>
      </c>
      <c r="JE9" t="inlineStr">
        <is>
          <t>No</t>
        </is>
      </c>
      <c r="JF9" t="inlineStr">
        <is>
          <t>No</t>
        </is>
      </c>
      <c r="JG9" t="inlineStr">
        <is>
          <t>No</t>
        </is>
      </c>
      <c r="JH9" t="inlineStr">
        <is>
          <t>No</t>
        </is>
      </c>
      <c r="JI9" t="inlineStr">
        <is>
          <t>No</t>
        </is>
      </c>
      <c r="JJ9" t="inlineStr">
        <is>
          <t>No</t>
        </is>
      </c>
      <c r="JK9" t="inlineStr">
        <is>
          <t>No</t>
        </is>
      </c>
      <c r="JL9" t="inlineStr">
        <is>
          <t>No</t>
        </is>
      </c>
      <c r="JM9" t="inlineStr">
        <is>
          <t>No</t>
        </is>
      </c>
      <c r="JN9" t="inlineStr">
        <is>
          <t>No</t>
        </is>
      </c>
      <c r="JO9" t="inlineStr">
        <is>
          <t>No</t>
        </is>
      </c>
      <c r="JP9" t="inlineStr">
        <is>
          <t>No</t>
        </is>
      </c>
      <c r="JQ9" t="inlineStr">
        <is>
          <t>No</t>
        </is>
      </c>
      <c r="JR9" t="inlineStr">
        <is>
          <t>No</t>
        </is>
      </c>
      <c r="JS9" t="inlineStr">
        <is>
          <t>2.2</t>
        </is>
      </c>
      <c r="JT9" t="inlineStr">
        <is>
          <t>III</t>
        </is>
      </c>
      <c r="JU9" t="inlineStr">
        <is>
          <t>&gt;1L - ≤5L</t>
        </is>
      </c>
      <c r="JV9" t="inlineStr">
        <is>
          <t>No</t>
        </is>
      </c>
      <c r="JW9" t="inlineStr">
        <is>
          <t>Yes</t>
        </is>
      </c>
      <c r="JX9" t="inlineStr">
        <is>
          <t>3A or 6A</t>
        </is>
      </c>
      <c r="JY9" t="inlineStr">
        <is>
          <t>No</t>
        </is>
      </c>
      <c r="JZ9" t="inlineStr">
        <is>
          <t>No</t>
        </is>
      </c>
      <c r="KA9" t="inlineStr">
        <is>
          <t>Yes</t>
        </is>
      </c>
      <c r="KB9" t="inlineStr">
        <is>
          <t>No</t>
        </is>
      </c>
      <c r="KC9" t="inlineStr">
        <is>
          <t>No</t>
        </is>
      </c>
      <c r="KD9" t="inlineStr">
        <is>
          <t>No</t>
        </is>
      </c>
      <c r="KE9" t="inlineStr">
        <is>
          <t>No</t>
        </is>
      </c>
      <c r="KF9" t="inlineStr">
        <is>
          <t>Minimal Assembly Needed</t>
        </is>
      </c>
      <c r="KG9" t="inlineStr">
        <is>
          <t>60 Days</t>
        </is>
      </c>
      <c r="KH9" t="inlineStr">
        <is>
          <t>No</t>
        </is>
      </c>
      <c r="KI9" t="inlineStr">
        <is>
          <t>No</t>
        </is>
      </c>
      <c r="KJ9" t="inlineStr">
        <is>
          <t>Limited</t>
        </is>
      </c>
      <c r="KK9" t="inlineStr">
        <is>
          <t>Color</t>
        </is>
      </c>
    </row>
    <row r="10">
      <c r="A10" t="inlineStr">
        <is>
          <t>Speaker Stands</t>
        </is>
      </c>
      <c r="B10" t="inlineStr">
        <is>
          <t>CPU Holder</t>
        </is>
      </c>
      <c r="C10" t="inlineStr">
        <is>
          <t>Does Not Apply</t>
        </is>
      </c>
      <c r="D10" t="inlineStr">
        <is>
          <t>Unavailable</t>
        </is>
      </c>
      <c r="G10" t="inlineStr">
        <is>
          <t>Unavailable</t>
        </is>
      </c>
      <c r="I10" t="inlineStr">
        <is>
          <t>Nickel Cadmium</t>
        </is>
      </c>
      <c r="J10" t="inlineStr">
        <is>
          <t>Button Cell</t>
        </is>
      </c>
      <c r="K10" t="inlineStr">
        <is>
          <t>3</t>
        </is>
      </c>
      <c r="L10" t="inlineStr">
        <is>
          <t>Packed with product</t>
        </is>
      </c>
      <c r="M10" t="inlineStr">
        <is>
          <t>Batteries of between 2 and 25 grams</t>
        </is>
      </c>
      <c r="N10" t="inlineStr">
        <is>
          <t>Cells of 20w/h or less</t>
        </is>
      </c>
      <c r="O10" t="inlineStr">
        <is>
          <t>More than 10kg</t>
        </is>
      </c>
      <c r="P10" t="inlineStr">
        <is>
          <t>Unavailable</t>
        </is>
      </c>
      <c r="Q10" t="inlineStr">
        <is>
          <t>Unavailable</t>
        </is>
      </c>
      <c r="R10" t="inlineStr">
        <is>
          <t>Does Not Apply</t>
        </is>
      </c>
      <c r="S10" t="inlineStr">
        <is>
          <t>Wall Mounted</t>
        </is>
      </c>
      <c r="T10" t="inlineStr">
        <is>
          <t>Unavailable</t>
        </is>
      </c>
      <c r="U10" t="inlineStr">
        <is>
          <t>Yes, Compliance Verified Program Member</t>
        </is>
      </c>
      <c r="V10" t="inlineStr">
        <is>
          <t>Does Not Apply</t>
        </is>
      </c>
      <c r="W10" t="inlineStr">
        <is>
          <t>Yes, Compliance Verified Program Member</t>
        </is>
      </c>
      <c r="X10" t="inlineStr">
        <is>
          <t>Yes, Compliance Verified Program Member</t>
        </is>
      </c>
      <c r="Y10" t="inlineStr">
        <is>
          <t>Yes, Compliance Verified Program Member</t>
        </is>
      </c>
      <c r="Z10" t="inlineStr">
        <is>
          <t>Does Not Apply</t>
        </is>
      </c>
      <c r="AA10" t="inlineStr">
        <is>
          <t>Yes, Compliance Verified Program Member</t>
        </is>
      </c>
      <c r="AC10" t="inlineStr">
        <is>
          <t>Yes, Compliance Verified Program Member</t>
        </is>
      </c>
      <c r="AD10" t="inlineStr">
        <is>
          <t>Yes, Compliance Verified Program Member</t>
        </is>
      </c>
      <c r="AE10" t="inlineStr">
        <is>
          <t>2.1</t>
        </is>
      </c>
      <c r="AF10" t="inlineStr">
        <is>
          <t>No Packing Group</t>
        </is>
      </c>
      <c r="AG10" t="inlineStr">
        <is>
          <t>&gt;0.5L - ≤1L</t>
        </is>
      </c>
      <c r="AI10" t="inlineStr">
        <is>
          <t>Yes, Compliance Verified Program Member</t>
        </is>
      </c>
      <c r="AJ10" t="inlineStr">
        <is>
          <t>Does Not Apply</t>
        </is>
      </c>
      <c r="AK10" t="inlineStr">
        <is>
          <t>Does Not Apply</t>
        </is>
      </c>
      <c r="AM10" t="inlineStr">
        <is>
          <t>90 Days</t>
        </is>
      </c>
      <c r="AN10" t="inlineStr">
        <is>
          <t>Does Not Apply</t>
        </is>
      </c>
      <c r="AQ10" t="inlineStr">
        <is>
          <t>EU</t>
        </is>
      </c>
      <c r="AR10" t="inlineStr">
        <is>
          <t>Czech (Czech Republic)</t>
        </is>
      </c>
      <c r="AT10" t="inlineStr">
        <is>
          <t>Acetaldehyde</t>
        </is>
      </c>
      <c r="AU10" t="inlineStr">
        <is>
          <t>Afghanistan</t>
        </is>
      </c>
      <c r="AW10" t="inlineStr">
        <is>
          <t>60</t>
        </is>
      </c>
      <c r="AX10" t="inlineStr">
        <is>
          <t>48</t>
        </is>
      </c>
      <c r="AY10" t="inlineStr">
        <is>
          <t>48</t>
        </is>
      </c>
      <c r="BB10" t="inlineStr">
        <is>
          <t>Not Variant</t>
        </is>
      </c>
      <c r="BC10" t="inlineStr">
        <is>
          <t>Assembly</t>
        </is>
      </c>
      <c r="BE10" t="inlineStr">
        <is>
          <t>Unavailable</t>
        </is>
      </c>
      <c r="BH10" t="inlineStr">
        <is>
          <t>Does Not Apply</t>
        </is>
      </c>
      <c r="BJ10" t="inlineStr">
        <is>
          <t>Unavailable</t>
        </is>
      </c>
      <c r="BK10" t="inlineStr">
        <is>
          <t>Unavailable</t>
        </is>
      </c>
      <c r="BL10" t="inlineStr">
        <is>
          <t>Unavailable</t>
        </is>
      </c>
      <c r="BM10" t="inlineStr">
        <is>
          <t>Does Not Apply</t>
        </is>
      </c>
      <c r="BN10" t="inlineStr">
        <is>
          <t>Unavailable</t>
        </is>
      </c>
      <c r="BO10" t="inlineStr">
        <is>
          <t>Unavailable</t>
        </is>
      </c>
      <c r="BP10" t="inlineStr">
        <is>
          <t>Unavailable</t>
        </is>
      </c>
      <c r="BQ10" t="inlineStr">
        <is>
          <t>Unavailable</t>
        </is>
      </c>
      <c r="BV10" t="inlineStr">
        <is>
          <t>Unavailable</t>
        </is>
      </c>
      <c r="BW10" t="inlineStr">
        <is>
          <t>Does Not Apply</t>
        </is>
      </c>
      <c r="BX10" t="inlineStr">
        <is>
          <t>Rabbet Joint</t>
        </is>
      </c>
      <c r="BY10" t="inlineStr">
        <is>
          <t>Unavailable</t>
        </is>
      </c>
      <c r="BZ10" t="inlineStr">
        <is>
          <t>Nickel Cadmium</t>
        </is>
      </c>
      <c r="CA10" t="inlineStr">
        <is>
          <t>Button Cell</t>
        </is>
      </c>
      <c r="CB10" t="inlineStr">
        <is>
          <t>3</t>
        </is>
      </c>
      <c r="CC10" t="inlineStr">
        <is>
          <t>Packed with product</t>
        </is>
      </c>
      <c r="CD10" t="inlineStr">
        <is>
          <t>Batteries of between 2 and 25 grams</t>
        </is>
      </c>
      <c r="CE10" t="inlineStr">
        <is>
          <t>Cells of 20w/h or less</t>
        </is>
      </c>
      <c r="CF10" t="inlineStr">
        <is>
          <t>More than 10kg</t>
        </is>
      </c>
      <c r="CG10" t="inlineStr">
        <is>
          <t>Unavailable</t>
        </is>
      </c>
      <c r="CH10" t="inlineStr">
        <is>
          <t>Unavailable</t>
        </is>
      </c>
      <c r="CI10" t="inlineStr">
        <is>
          <t>Does Not Apply</t>
        </is>
      </c>
      <c r="CJ10" t="inlineStr">
        <is>
          <t>Unavailable</t>
        </is>
      </c>
      <c r="CK10" t="inlineStr">
        <is>
          <t>Vent Free</t>
        </is>
      </c>
      <c r="CL10" t="inlineStr">
        <is>
          <t>Unavailable</t>
        </is>
      </c>
      <c r="CM10" t="inlineStr">
        <is>
          <t>Unavailable</t>
        </is>
      </c>
      <c r="CN10" t="inlineStr">
        <is>
          <t>Unavailable</t>
        </is>
      </c>
      <c r="CO10" t="inlineStr">
        <is>
          <t>Does Not Apply</t>
        </is>
      </c>
      <c r="CP10" t="inlineStr">
        <is>
          <t>Does Not Apply</t>
        </is>
      </c>
      <c r="CQ10" t="inlineStr">
        <is>
          <t>Does Not Apply</t>
        </is>
      </c>
      <c r="CR10" t="inlineStr">
        <is>
          <t>Yes, Compliance Verified Program Member</t>
        </is>
      </c>
      <c r="CS10" t="inlineStr">
        <is>
          <t>Does Not Apply</t>
        </is>
      </c>
      <c r="CV10" t="inlineStr">
        <is>
          <t>Yes, Compliance Verified Program Member</t>
        </is>
      </c>
      <c r="CW10" t="inlineStr">
        <is>
          <t>2.1</t>
        </is>
      </c>
      <c r="CX10" t="inlineStr">
        <is>
          <t>No Packing Group</t>
        </is>
      </c>
      <c r="CY10" t="inlineStr">
        <is>
          <t>&gt;0.5L - ≤1L</t>
        </is>
      </c>
      <c r="DA10" t="inlineStr">
        <is>
          <t>Yes, Compliance Verified Program Member</t>
        </is>
      </c>
      <c r="DB10" t="inlineStr">
        <is>
          <t>Yes, Compliance Verified Program Member</t>
        </is>
      </c>
      <c r="DC10" t="inlineStr">
        <is>
          <t>Does Not Apply</t>
        </is>
      </c>
      <c r="DD10" t="inlineStr">
        <is>
          <t>Does Not Apply</t>
        </is>
      </c>
      <c r="DE10" t="inlineStr">
        <is>
          <t>Contract Grade Accredited</t>
        </is>
      </c>
      <c r="DF10" t="inlineStr">
        <is>
          <t>40"</t>
        </is>
      </c>
      <c r="DH10" t="inlineStr">
        <is>
          <t>Full Assembly Needed</t>
        </is>
      </c>
      <c r="DI10" t="inlineStr">
        <is>
          <t>90 Days</t>
        </is>
      </c>
      <c r="DJ10" t="inlineStr">
        <is>
          <t>Does Not Apply</t>
        </is>
      </c>
      <c r="DL10" t="inlineStr">
        <is>
          <t>Does Not Apply</t>
        </is>
      </c>
      <c r="DM10" t="inlineStr">
        <is>
          <t>Size</t>
        </is>
      </c>
      <c r="DN10" t="inlineStr">
        <is>
          <t>Drafting Chair</t>
        </is>
      </c>
      <c r="DO10" t="inlineStr">
        <is>
          <t>Solid Wood</t>
        </is>
      </c>
      <c r="DQ10" t="inlineStr">
        <is>
          <t>Unavailable</t>
        </is>
      </c>
      <c r="DR10" t="inlineStr">
        <is>
          <t>Unavailable</t>
        </is>
      </c>
      <c r="DS10" t="inlineStr">
        <is>
          <t>Unavailable</t>
        </is>
      </c>
      <c r="DV10" t="inlineStr">
        <is>
          <t>Unavailable</t>
        </is>
      </c>
      <c r="DW10" t="inlineStr">
        <is>
          <t>Unavailable</t>
        </is>
      </c>
      <c r="DX10" t="inlineStr">
        <is>
          <t>Unavailable</t>
        </is>
      </c>
      <c r="DY10" t="inlineStr">
        <is>
          <t>Unavailable</t>
        </is>
      </c>
      <c r="DZ10" t="inlineStr">
        <is>
          <t>Does Not Apply</t>
        </is>
      </c>
      <c r="EA10" t="inlineStr">
        <is>
          <t>Unavailable</t>
        </is>
      </c>
      <c r="EB10" t="inlineStr">
        <is>
          <t>Unavailable</t>
        </is>
      </c>
      <c r="EC10" t="inlineStr">
        <is>
          <t>Unavailable</t>
        </is>
      </c>
      <c r="ED10" t="inlineStr">
        <is>
          <t>Does Not Apply</t>
        </is>
      </c>
      <c r="EE10" t="inlineStr">
        <is>
          <t>Unavailable</t>
        </is>
      </c>
      <c r="EF10" t="inlineStr">
        <is>
          <t>Unavailable</t>
        </is>
      </c>
      <c r="EG10" t="inlineStr">
        <is>
          <t>Unavailable</t>
        </is>
      </c>
      <c r="EH10" t="inlineStr">
        <is>
          <t>Unavailable</t>
        </is>
      </c>
      <c r="EI10" t="inlineStr">
        <is>
          <t>Rabbet Joint</t>
        </is>
      </c>
      <c r="EJ10" t="inlineStr">
        <is>
          <t>Unavailable</t>
        </is>
      </c>
      <c r="EK10" t="inlineStr">
        <is>
          <t>Unavailable</t>
        </is>
      </c>
      <c r="EL10" t="inlineStr">
        <is>
          <t>Nickel Cadmium</t>
        </is>
      </c>
      <c r="EM10" t="inlineStr">
        <is>
          <t>Button Cell</t>
        </is>
      </c>
      <c r="EN10" t="inlineStr">
        <is>
          <t>3</t>
        </is>
      </c>
      <c r="EO10" t="inlineStr">
        <is>
          <t>Packed with product</t>
        </is>
      </c>
      <c r="EP10" t="inlineStr">
        <is>
          <t>Batteries of between 2 and 25 grams</t>
        </is>
      </c>
      <c r="EQ10" t="inlineStr">
        <is>
          <t>Cells of 20w/h or less</t>
        </is>
      </c>
      <c r="ER10" t="inlineStr">
        <is>
          <t>More than 10kg</t>
        </is>
      </c>
      <c r="ES10" t="inlineStr">
        <is>
          <t>Unavailable</t>
        </is>
      </c>
      <c r="ET10" t="inlineStr">
        <is>
          <t>Unavailable</t>
        </is>
      </c>
      <c r="EU10" t="inlineStr">
        <is>
          <t>Does Not Apply</t>
        </is>
      </c>
      <c r="EW10" t="inlineStr">
        <is>
          <t>Unavailable</t>
        </is>
      </c>
      <c r="EX10" t="inlineStr">
        <is>
          <t>Unavailable</t>
        </is>
      </c>
      <c r="EY10" t="inlineStr">
        <is>
          <t>Unavailable</t>
        </is>
      </c>
      <c r="EZ10" t="inlineStr">
        <is>
          <t>9,000-15,000</t>
        </is>
      </c>
      <c r="FA10" t="inlineStr">
        <is>
          <t>Yes, Compliance Verified Program Member</t>
        </is>
      </c>
      <c r="FB10" t="inlineStr">
        <is>
          <t>Yes, Compliance Verified Program Member</t>
        </is>
      </c>
      <c r="FC10" t="inlineStr">
        <is>
          <t>Yes, Compliance Verified Program Member</t>
        </is>
      </c>
      <c r="FD10" t="inlineStr">
        <is>
          <t>Yes, Compliance Verified Program Member</t>
        </is>
      </c>
      <c r="FE10" t="inlineStr">
        <is>
          <t>Does Not Apply</t>
        </is>
      </c>
      <c r="FF10" t="inlineStr">
        <is>
          <t>Does Not Apply</t>
        </is>
      </c>
      <c r="FH10" t="inlineStr">
        <is>
          <t>Yes, Compliance Verified Program Member</t>
        </is>
      </c>
      <c r="FI10" t="inlineStr">
        <is>
          <t>Yes, Compliance Verified Program Member</t>
        </is>
      </c>
      <c r="FJ10" t="inlineStr">
        <is>
          <t>Yes, Compliance Verified Program Member</t>
        </is>
      </c>
      <c r="FK10" t="inlineStr">
        <is>
          <t>Yes, Compliance Verified Program Member</t>
        </is>
      </c>
      <c r="FM10" t="inlineStr">
        <is>
          <t>Yes, Compliance Verified Program Member</t>
        </is>
      </c>
      <c r="FN10" t="inlineStr">
        <is>
          <t>Does Not Apply</t>
        </is>
      </c>
      <c r="FO10" t="inlineStr">
        <is>
          <t>2.1</t>
        </is>
      </c>
      <c r="FP10" t="inlineStr">
        <is>
          <t>No Packing Group</t>
        </is>
      </c>
      <c r="FQ10" t="inlineStr">
        <is>
          <t>&gt;0.5L - ≤1L</t>
        </is>
      </c>
      <c r="FS10" t="inlineStr">
        <is>
          <t>Yes, Compliance Verified Program Member</t>
        </is>
      </c>
      <c r="FT10" t="inlineStr">
        <is>
          <t>Yes, Compliance Verified Program Member</t>
        </is>
      </c>
      <c r="FU10" t="inlineStr">
        <is>
          <t>Does Not Apply</t>
        </is>
      </c>
      <c r="FV10" t="inlineStr">
        <is>
          <t>Yes, Compliance Verified Program Member</t>
        </is>
      </c>
      <c r="FW10" t="inlineStr">
        <is>
          <t>Does Not Apply</t>
        </is>
      </c>
      <c r="FX10" t="inlineStr">
        <is>
          <t>Contract Grade Accredited</t>
        </is>
      </c>
      <c r="FZ10" t="inlineStr">
        <is>
          <t>Full Assembly Needed</t>
        </is>
      </c>
      <c r="GA10" t="inlineStr">
        <is>
          <t>90 Days</t>
        </is>
      </c>
      <c r="GB10" t="inlineStr">
        <is>
          <t>Does Not Apply</t>
        </is>
      </c>
      <c r="GD10" t="inlineStr">
        <is>
          <t>Does Not Apply</t>
        </is>
      </c>
      <c r="GE10" t="inlineStr">
        <is>
          <t>Upholstery Material</t>
        </is>
      </c>
      <c r="GF10" t="inlineStr">
        <is>
          <t>Gentlemens Chest</t>
        </is>
      </c>
      <c r="GG10" t="inlineStr">
        <is>
          <t>Unavailable</t>
        </is>
      </c>
      <c r="GI10" t="inlineStr">
        <is>
          <t>Unavailable</t>
        </is>
      </c>
      <c r="GJ10" t="inlineStr">
        <is>
          <t>Unavailable</t>
        </is>
      </c>
      <c r="GN10" t="inlineStr">
        <is>
          <t>Plastic</t>
        </is>
      </c>
      <c r="GO10" t="inlineStr">
        <is>
          <t>Unavailable</t>
        </is>
      </c>
      <c r="GP10" t="inlineStr">
        <is>
          <t>Rabbet Joint</t>
        </is>
      </c>
      <c r="GQ10" t="inlineStr">
        <is>
          <t>Unavailable</t>
        </is>
      </c>
      <c r="GR10" t="inlineStr">
        <is>
          <t>Unavailable</t>
        </is>
      </c>
      <c r="GS10" t="inlineStr">
        <is>
          <t>Unavailable</t>
        </is>
      </c>
      <c r="GT10" t="inlineStr">
        <is>
          <t>Unavailable</t>
        </is>
      </c>
      <c r="GU10" t="inlineStr">
        <is>
          <t>Plywood / Laminate Board</t>
        </is>
      </c>
      <c r="GV10" t="inlineStr">
        <is>
          <t>Unavailable</t>
        </is>
      </c>
      <c r="GW10" t="inlineStr">
        <is>
          <t>Unavailable</t>
        </is>
      </c>
      <c r="GX10" t="inlineStr">
        <is>
          <t>Unavailable</t>
        </is>
      </c>
      <c r="GY10" t="inlineStr">
        <is>
          <t>Unavailable</t>
        </is>
      </c>
      <c r="HA10" t="inlineStr">
        <is>
          <t>Does Not Apply</t>
        </is>
      </c>
      <c r="HC10" t="inlineStr">
        <is>
          <t>Does Not Apply</t>
        </is>
      </c>
      <c r="HD10" t="inlineStr">
        <is>
          <t>Does Not Apply</t>
        </is>
      </c>
      <c r="HE10" t="inlineStr">
        <is>
          <t>Does Not Apply</t>
        </is>
      </c>
      <c r="HF10" t="inlineStr">
        <is>
          <t>Does Not Apply</t>
        </is>
      </c>
      <c r="HG10" t="inlineStr">
        <is>
          <t>Yes, Compliance Verified Program Member</t>
        </is>
      </c>
      <c r="HH10" t="inlineStr">
        <is>
          <t>Does Not Apply</t>
        </is>
      </c>
      <c r="HI10" t="inlineStr">
        <is>
          <t>Does Not Apply</t>
        </is>
      </c>
      <c r="HL10" t="inlineStr">
        <is>
          <t>Yes, Compliance Verified Program Member</t>
        </is>
      </c>
      <c r="HM10" t="inlineStr">
        <is>
          <t>Does Not Apply</t>
        </is>
      </c>
      <c r="HN10" t="inlineStr">
        <is>
          <t>Yes, Compliance Verified Program Member</t>
        </is>
      </c>
      <c r="HO10" t="inlineStr">
        <is>
          <t>Does Not Apply</t>
        </is>
      </c>
      <c r="HP10" t="inlineStr">
        <is>
          <t>Contract Grade Accredited</t>
        </is>
      </c>
      <c r="HR10" t="inlineStr">
        <is>
          <t>Full Assembly Needed</t>
        </is>
      </c>
      <c r="HS10" t="inlineStr">
        <is>
          <t>90 Days</t>
        </is>
      </c>
      <c r="HT10" t="inlineStr">
        <is>
          <t>Does Not Apply</t>
        </is>
      </c>
      <c r="HV10" t="inlineStr">
        <is>
          <t>Unavailable</t>
        </is>
      </c>
      <c r="HX10" t="inlineStr">
        <is>
          <t>Full / Double</t>
        </is>
      </c>
      <c r="HY10" t="inlineStr">
        <is>
          <t>Four Poster</t>
        </is>
      </c>
      <c r="HZ10" t="inlineStr">
        <is>
          <t>Unavailable</t>
        </is>
      </c>
      <c r="IB10" t="inlineStr">
        <is>
          <t>PVC</t>
        </is>
      </c>
      <c r="ID10" t="inlineStr">
        <is>
          <t>Unavailable</t>
        </is>
      </c>
      <c r="IE10" t="inlineStr">
        <is>
          <t>Unavailable</t>
        </is>
      </c>
      <c r="IG10" t="inlineStr">
        <is>
          <t>Unavailable</t>
        </is>
      </c>
      <c r="II10" t="inlineStr">
        <is>
          <t>Rabbet Joint</t>
        </is>
      </c>
      <c r="IJ10" t="inlineStr">
        <is>
          <t>Unavailable</t>
        </is>
      </c>
      <c r="IK10" t="inlineStr">
        <is>
          <t>Button Cell</t>
        </is>
      </c>
      <c r="IL10" t="inlineStr">
        <is>
          <t>Nickel Cadmium</t>
        </is>
      </c>
      <c r="IM10" t="inlineStr">
        <is>
          <t>3</t>
        </is>
      </c>
      <c r="IN10" t="inlineStr">
        <is>
          <t>Packed with product</t>
        </is>
      </c>
      <c r="IO10" t="inlineStr">
        <is>
          <t>Batteries of between 2 and 25 grams</t>
        </is>
      </c>
      <c r="IP10" t="inlineStr">
        <is>
          <t>Cells of 20w/h or less</t>
        </is>
      </c>
      <c r="IQ10" t="inlineStr">
        <is>
          <t>More than 10kg</t>
        </is>
      </c>
      <c r="IR10" t="inlineStr">
        <is>
          <t>Unavailable</t>
        </is>
      </c>
      <c r="IS10" t="inlineStr">
        <is>
          <t>Unavailable</t>
        </is>
      </c>
      <c r="IU10" t="inlineStr">
        <is>
          <t>Unavailable</t>
        </is>
      </c>
      <c r="IV10" t="inlineStr">
        <is>
          <t>Unavailable</t>
        </is>
      </c>
      <c r="IW10" t="inlineStr">
        <is>
          <t>Plywood / Laminate Board</t>
        </is>
      </c>
      <c r="IX10" t="inlineStr">
        <is>
          <t>Unavailable</t>
        </is>
      </c>
      <c r="IY10" t="inlineStr">
        <is>
          <t>Top Grain Leather</t>
        </is>
      </c>
      <c r="IZ10" t="inlineStr">
        <is>
          <t>Cord</t>
        </is>
      </c>
      <c r="JA10" t="inlineStr">
        <is>
          <t>Portman</t>
        </is>
      </c>
      <c r="JB10" t="inlineStr">
        <is>
          <t>Unavailable</t>
        </is>
      </c>
      <c r="JC10" t="inlineStr">
        <is>
          <t>Unavailable</t>
        </is>
      </c>
      <c r="JE10" t="inlineStr">
        <is>
          <t>Yes, Compliance Verified Program Member</t>
        </is>
      </c>
      <c r="JF10" t="inlineStr">
        <is>
          <t>Yes, Compliance Verified Program Member</t>
        </is>
      </c>
      <c r="JG10" t="inlineStr">
        <is>
          <t>Yes, Compliance Verified Program Member</t>
        </is>
      </c>
      <c r="JH10" t="inlineStr">
        <is>
          <t>Does Not Apply</t>
        </is>
      </c>
      <c r="JI10" t="inlineStr">
        <is>
          <t>Yes, Compliance Verified Program Member</t>
        </is>
      </c>
      <c r="JJ10" t="inlineStr">
        <is>
          <t>Yes, Compliance Verified Program Member</t>
        </is>
      </c>
      <c r="JK10" t="inlineStr">
        <is>
          <t>Yes, Compliance Verified Program Member</t>
        </is>
      </c>
      <c r="JL10" t="inlineStr">
        <is>
          <t>Yes, Compliance Verified Program Member</t>
        </is>
      </c>
      <c r="JN10" t="inlineStr">
        <is>
          <t>Yes, Compliance Verified Program Member</t>
        </is>
      </c>
      <c r="JO10" t="inlineStr">
        <is>
          <t>Yes, Compliance Verified Program Member</t>
        </is>
      </c>
      <c r="JP10" t="inlineStr">
        <is>
          <t>Does Not Apply</t>
        </is>
      </c>
      <c r="JQ10" t="inlineStr">
        <is>
          <t>Yes, Compliance Verified Program Member</t>
        </is>
      </c>
      <c r="JR10" t="inlineStr">
        <is>
          <t>Yes, Compliance Verified Program Member</t>
        </is>
      </c>
      <c r="JS10" t="inlineStr">
        <is>
          <t>2.1</t>
        </is>
      </c>
      <c r="JT10" t="inlineStr">
        <is>
          <t>No Packing Group</t>
        </is>
      </c>
      <c r="JU10" t="inlineStr">
        <is>
          <t>&gt;0.5L - ≤1L</t>
        </is>
      </c>
      <c r="JW10" t="inlineStr">
        <is>
          <t>Yes, Compliance Verified Program Member</t>
        </is>
      </c>
      <c r="JX10" t="inlineStr">
        <is>
          <t>Does Not Apply</t>
        </is>
      </c>
      <c r="JY10" t="inlineStr">
        <is>
          <t>Yes, Compliance Verified Program Member</t>
        </is>
      </c>
      <c r="JZ10" t="inlineStr">
        <is>
          <t>Yes, Compliance Verified Program Member</t>
        </is>
      </c>
      <c r="KA10" t="inlineStr">
        <is>
          <t>Yes, Compliance Verified Program Member</t>
        </is>
      </c>
      <c r="KB10" t="inlineStr">
        <is>
          <t>Yes, Compliance Verified Program Member</t>
        </is>
      </c>
      <c r="KC10" t="inlineStr">
        <is>
          <t>Does Not Apply</t>
        </is>
      </c>
      <c r="KD10" t="inlineStr">
        <is>
          <t>Yes, Compliance Verified Program Member</t>
        </is>
      </c>
      <c r="KF10" t="inlineStr">
        <is>
          <t>Full Assembly Needed</t>
        </is>
      </c>
      <c r="KG10" t="inlineStr">
        <is>
          <t>90 Days</t>
        </is>
      </c>
      <c r="KH10" t="inlineStr">
        <is>
          <t>Does Not Apply</t>
        </is>
      </c>
      <c r="KJ10" t="inlineStr">
        <is>
          <t>Does Not Apply</t>
        </is>
      </c>
      <c r="KK10" t="inlineStr">
        <is>
          <t>Frame Material</t>
        </is>
      </c>
    </row>
    <row r="11">
      <c r="A11" t="inlineStr">
        <is>
          <t>TV Stands &amp; Entertainment Centers</t>
        </is>
      </c>
      <c r="B11" t="inlineStr">
        <is>
          <t>File Cart</t>
        </is>
      </c>
      <c r="I11" t="inlineStr">
        <is>
          <t>Nickel Metal Hydride</t>
        </is>
      </c>
      <c r="J11" t="inlineStr">
        <is>
          <t>Does Not Apply</t>
        </is>
      </c>
      <c r="K11" t="inlineStr">
        <is>
          <t>6</t>
        </is>
      </c>
      <c r="L11" t="inlineStr">
        <is>
          <t>Does Not Apply</t>
        </is>
      </c>
      <c r="M11" t="inlineStr">
        <is>
          <t>Cells of 1gram or less</t>
        </is>
      </c>
      <c r="N11" t="inlineStr">
        <is>
          <t>Batteries exceeding 300w/h</t>
        </is>
      </c>
      <c r="O11" t="inlineStr">
        <is>
          <t>5kg to 10kg</t>
        </is>
      </c>
      <c r="Q11" t="inlineStr">
        <is>
          <t>Does Not Apply</t>
        </is>
      </c>
      <c r="S11" t="inlineStr">
        <is>
          <t>Tilt</t>
        </is>
      </c>
      <c r="W11" t="inlineStr">
        <is>
          <t>Does Not Apply</t>
        </is>
      </c>
      <c r="X11" t="inlineStr">
        <is>
          <t>Does Not Apply</t>
        </is>
      </c>
      <c r="Y11" t="inlineStr">
        <is>
          <t>Does Not Apply</t>
        </is>
      </c>
      <c r="AC11" t="inlineStr">
        <is>
          <t>Does Not Apply</t>
        </is>
      </c>
      <c r="AD11" t="inlineStr">
        <is>
          <t>Does Not Apply</t>
        </is>
      </c>
      <c r="AE11" t="inlineStr">
        <is>
          <t>7</t>
        </is>
      </c>
      <c r="AF11" t="inlineStr">
        <is>
          <t>II</t>
        </is>
      </c>
      <c r="AG11" t="inlineStr">
        <is>
          <t>&gt;0 - ≤100g</t>
        </is>
      </c>
      <c r="AI11" t="inlineStr">
        <is>
          <t>Unavailable</t>
        </is>
      </c>
      <c r="AM11" t="inlineStr">
        <is>
          <t>6 Months</t>
        </is>
      </c>
      <c r="AQ11" t="inlineStr">
        <is>
          <t>CA</t>
        </is>
      </c>
      <c r="AR11" t="inlineStr">
        <is>
          <t>Danish</t>
        </is>
      </c>
      <c r="AT11" t="inlineStr">
        <is>
          <t>Acetamide</t>
        </is>
      </c>
      <c r="AU11" t="inlineStr">
        <is>
          <t>Åland Islands</t>
        </is>
      </c>
      <c r="AW11" t="inlineStr">
        <is>
          <t>65</t>
        </is>
      </c>
      <c r="AX11" t="inlineStr">
        <is>
          <t>72</t>
        </is>
      </c>
      <c r="AY11" t="inlineStr">
        <is>
          <t>72</t>
        </is>
      </c>
      <c r="BX11" t="inlineStr">
        <is>
          <t>Basic Butt</t>
        </is>
      </c>
      <c r="BY11" t="inlineStr">
        <is>
          <t>Does Not Apply</t>
        </is>
      </c>
      <c r="BZ11" t="inlineStr">
        <is>
          <t>Nickel Metal Hydride</t>
        </is>
      </c>
      <c r="CA11" t="inlineStr">
        <is>
          <t>Does Not Apply</t>
        </is>
      </c>
      <c r="CB11" t="inlineStr">
        <is>
          <t>6</t>
        </is>
      </c>
      <c r="CC11" t="inlineStr">
        <is>
          <t>Does Not Apply</t>
        </is>
      </c>
      <c r="CD11" t="inlineStr">
        <is>
          <t>Cells of 1gram or less</t>
        </is>
      </c>
      <c r="CE11" t="inlineStr">
        <is>
          <t>Batteries exceeding 300w/h</t>
        </is>
      </c>
      <c r="CF11" t="inlineStr">
        <is>
          <t>5kg to 10kg</t>
        </is>
      </c>
      <c r="CH11" t="inlineStr">
        <is>
          <t>Does Not Apply</t>
        </is>
      </c>
      <c r="CK11" t="inlineStr">
        <is>
          <t>External</t>
        </is>
      </c>
      <c r="CL11" t="inlineStr">
        <is>
          <t>Does Not Apply</t>
        </is>
      </c>
      <c r="CM11" t="inlineStr">
        <is>
          <t>Does Not Apply</t>
        </is>
      </c>
      <c r="CN11" t="inlineStr">
        <is>
          <t>Does Not Apply</t>
        </is>
      </c>
      <c r="CR11" t="inlineStr">
        <is>
          <t>Does Not Apply</t>
        </is>
      </c>
      <c r="CV11" t="inlineStr">
        <is>
          <t>Does Not Apply</t>
        </is>
      </c>
      <c r="CW11" t="inlineStr">
        <is>
          <t>7</t>
        </is>
      </c>
      <c r="CX11" t="inlineStr">
        <is>
          <t>II</t>
        </is>
      </c>
      <c r="CY11" t="inlineStr">
        <is>
          <t>&gt;0 - ≤100g</t>
        </is>
      </c>
      <c r="DA11" t="inlineStr">
        <is>
          <t>Unavailable</t>
        </is>
      </c>
      <c r="DB11" t="inlineStr">
        <is>
          <t>Does Not Apply</t>
        </is>
      </c>
      <c r="DE11" t="inlineStr">
        <is>
          <t>Unavailable</t>
        </is>
      </c>
      <c r="DF11" t="inlineStr">
        <is>
          <t>32"</t>
        </is>
      </c>
      <c r="DH11" t="inlineStr">
        <is>
          <t>Does Not Apply</t>
        </is>
      </c>
      <c r="DI11" t="inlineStr">
        <is>
          <t>6 Months</t>
        </is>
      </c>
      <c r="DM11" t="inlineStr">
        <is>
          <t>Fireplace Included</t>
        </is>
      </c>
      <c r="DN11" t="inlineStr">
        <is>
          <t>Executive Chair</t>
        </is>
      </c>
      <c r="DO11" t="inlineStr">
        <is>
          <t>Composite</t>
        </is>
      </c>
      <c r="DV11" t="inlineStr">
        <is>
          <t>Does Not Apply</t>
        </is>
      </c>
      <c r="DX11" t="inlineStr">
        <is>
          <t>Does Not Apply</t>
        </is>
      </c>
      <c r="EH11" t="inlineStr">
        <is>
          <t>Does Not Apply</t>
        </is>
      </c>
      <c r="EI11" t="inlineStr">
        <is>
          <t>Basic Butt</t>
        </is>
      </c>
      <c r="EJ11" t="inlineStr">
        <is>
          <t>Does Not Apply</t>
        </is>
      </c>
      <c r="EK11" t="inlineStr">
        <is>
          <t>Does Not Apply</t>
        </is>
      </c>
      <c r="EL11" t="inlineStr">
        <is>
          <t>Nickel Metal Hydride</t>
        </is>
      </c>
      <c r="EM11" t="inlineStr">
        <is>
          <t>Does Not Apply</t>
        </is>
      </c>
      <c r="EN11" t="inlineStr">
        <is>
          <t>6</t>
        </is>
      </c>
      <c r="EO11" t="inlineStr">
        <is>
          <t>Does Not Apply</t>
        </is>
      </c>
      <c r="EP11" t="inlineStr">
        <is>
          <t>Cells of 1gram or less</t>
        </is>
      </c>
      <c r="EQ11" t="inlineStr">
        <is>
          <t>Batteries exceeding 300w/h</t>
        </is>
      </c>
      <c r="ER11" t="inlineStr">
        <is>
          <t>5kg to 10kg</t>
        </is>
      </c>
      <c r="EW11" t="inlineStr">
        <is>
          <t>Does Not Apply</t>
        </is>
      </c>
      <c r="EX11" t="inlineStr">
        <is>
          <t>Does Not Apply</t>
        </is>
      </c>
      <c r="EY11" t="inlineStr">
        <is>
          <t>Does Not Apply</t>
        </is>
      </c>
      <c r="EZ11" t="inlineStr">
        <is>
          <t>Not Tested</t>
        </is>
      </c>
      <c r="FB11" t="inlineStr">
        <is>
          <t>Does Not Apply</t>
        </is>
      </c>
      <c r="FC11" t="inlineStr">
        <is>
          <t>Does Not Apply</t>
        </is>
      </c>
      <c r="FD11" t="inlineStr">
        <is>
          <t>Does Not Apply</t>
        </is>
      </c>
      <c r="FH11" t="inlineStr">
        <is>
          <t>Unavailable</t>
        </is>
      </c>
      <c r="FI11" t="inlineStr">
        <is>
          <t>Unavailable</t>
        </is>
      </c>
      <c r="FJ11" t="inlineStr">
        <is>
          <t>Does Not Apply</t>
        </is>
      </c>
      <c r="FM11" t="inlineStr">
        <is>
          <t>Does Not Apply</t>
        </is>
      </c>
      <c r="FO11" t="inlineStr">
        <is>
          <t>7</t>
        </is>
      </c>
      <c r="FP11" t="inlineStr">
        <is>
          <t>II</t>
        </is>
      </c>
      <c r="FQ11" t="inlineStr">
        <is>
          <t>&gt;0 - ≤100g</t>
        </is>
      </c>
      <c r="FS11" t="inlineStr">
        <is>
          <t>Unavailable</t>
        </is>
      </c>
      <c r="FT11" t="inlineStr">
        <is>
          <t>Does Not Apply</t>
        </is>
      </c>
      <c r="FV11" t="inlineStr">
        <is>
          <t>Does Not Apply</t>
        </is>
      </c>
      <c r="FX11" t="inlineStr">
        <is>
          <t>Unavailable</t>
        </is>
      </c>
      <c r="FZ11" t="inlineStr">
        <is>
          <t>Does Not Apply</t>
        </is>
      </c>
      <c r="GA11" t="inlineStr">
        <is>
          <t>6 Months</t>
        </is>
      </c>
      <c r="GE11" t="inlineStr">
        <is>
          <t>Leather Type</t>
        </is>
      </c>
      <c r="GF11" t="inlineStr">
        <is>
          <t>Lingerie Chest / Semainier</t>
        </is>
      </c>
      <c r="GI11" t="inlineStr">
        <is>
          <t>Does Not Apply</t>
        </is>
      </c>
      <c r="GN11" t="inlineStr">
        <is>
          <t>Wood</t>
        </is>
      </c>
      <c r="GO11" t="inlineStr">
        <is>
          <t>Does Not Apply</t>
        </is>
      </c>
      <c r="GP11" t="inlineStr">
        <is>
          <t>Basic Butt</t>
        </is>
      </c>
      <c r="GQ11" t="inlineStr">
        <is>
          <t>Does Not Apply</t>
        </is>
      </c>
      <c r="GR11" t="inlineStr">
        <is>
          <t>Does Not Apply</t>
        </is>
      </c>
      <c r="GT11" t="inlineStr">
        <is>
          <t>Does Not Apply</t>
        </is>
      </c>
      <c r="GU11" t="inlineStr">
        <is>
          <t>Unavailable</t>
        </is>
      </c>
      <c r="GW11" t="inlineStr">
        <is>
          <t>Does Not Apply</t>
        </is>
      </c>
      <c r="GX11" t="inlineStr">
        <is>
          <t>Does Not Apply</t>
        </is>
      </c>
      <c r="GY11" t="inlineStr">
        <is>
          <t>Does Not Apply</t>
        </is>
      </c>
      <c r="HG11" t="inlineStr">
        <is>
          <t>Does Not Apply</t>
        </is>
      </c>
      <c r="HN11" t="inlineStr">
        <is>
          <t>Does Not Apply</t>
        </is>
      </c>
      <c r="HP11" t="inlineStr">
        <is>
          <t>Unavailable</t>
        </is>
      </c>
      <c r="HR11" t="inlineStr">
        <is>
          <t>Does Not Apply</t>
        </is>
      </c>
      <c r="HS11" t="inlineStr">
        <is>
          <t>6 Months</t>
        </is>
      </c>
      <c r="HV11" t="inlineStr">
        <is>
          <t>Does Not Apply</t>
        </is>
      </c>
      <c r="HX11" t="inlineStr">
        <is>
          <t>Queen</t>
        </is>
      </c>
      <c r="HY11" t="inlineStr">
        <is>
          <t>Sleigh</t>
        </is>
      </c>
      <c r="HZ11" t="inlineStr">
        <is>
          <t>Does Not Apply</t>
        </is>
      </c>
      <c r="IB11" t="inlineStr">
        <is>
          <t>Vinyl</t>
        </is>
      </c>
      <c r="II11" t="inlineStr">
        <is>
          <t>Basic Butt</t>
        </is>
      </c>
      <c r="IJ11" t="inlineStr">
        <is>
          <t>Does Not Apply</t>
        </is>
      </c>
      <c r="IK11" t="inlineStr">
        <is>
          <t>Does Not Apply</t>
        </is>
      </c>
      <c r="IL11" t="inlineStr">
        <is>
          <t>Nickel Metal Hydride</t>
        </is>
      </c>
      <c r="IM11" t="inlineStr">
        <is>
          <t>6</t>
        </is>
      </c>
      <c r="IN11" t="inlineStr">
        <is>
          <t>Does Not Apply</t>
        </is>
      </c>
      <c r="IO11" t="inlineStr">
        <is>
          <t>Cells of 1gram or less</t>
        </is>
      </c>
      <c r="IP11" t="inlineStr">
        <is>
          <t>Batteries exceeding 300w/h</t>
        </is>
      </c>
      <c r="IQ11" t="inlineStr">
        <is>
          <t>5kg to 10kg</t>
        </is>
      </c>
      <c r="IW11" t="inlineStr">
        <is>
          <t>Unavailable</t>
        </is>
      </c>
      <c r="IY11" t="inlineStr">
        <is>
          <t>Split Grain Leather</t>
        </is>
      </c>
      <c r="IZ11" t="inlineStr">
        <is>
          <t>Denim</t>
        </is>
      </c>
      <c r="JA11" t="inlineStr">
        <is>
          <t>Rectangular</t>
        </is>
      </c>
      <c r="JB11" t="inlineStr">
        <is>
          <t>Does Not Apply</t>
        </is>
      </c>
      <c r="JC11" t="inlineStr">
        <is>
          <t>Does Not Apply</t>
        </is>
      </c>
      <c r="JE11" t="inlineStr">
        <is>
          <t>Does Not Apply</t>
        </is>
      </c>
      <c r="JF11" t="inlineStr">
        <is>
          <t>Does Not Apply</t>
        </is>
      </c>
      <c r="JG11" t="inlineStr">
        <is>
          <t>Does Not Apply</t>
        </is>
      </c>
      <c r="JI11" t="inlineStr">
        <is>
          <t>Does Not Apply</t>
        </is>
      </c>
      <c r="JJ11" t="inlineStr">
        <is>
          <t>Unavailable</t>
        </is>
      </c>
      <c r="JK11" t="inlineStr">
        <is>
          <t>Unavailable</t>
        </is>
      </c>
      <c r="JN11" t="inlineStr">
        <is>
          <t>Does Not Apply</t>
        </is>
      </c>
      <c r="JO11" t="inlineStr">
        <is>
          <t>Does Not Apply</t>
        </is>
      </c>
      <c r="JQ11" t="inlineStr">
        <is>
          <t>Does Not Apply</t>
        </is>
      </c>
      <c r="JR11" t="inlineStr">
        <is>
          <t>Does Not Apply</t>
        </is>
      </c>
      <c r="JS11" t="inlineStr">
        <is>
          <t>7</t>
        </is>
      </c>
      <c r="JT11" t="inlineStr">
        <is>
          <t>II</t>
        </is>
      </c>
      <c r="JU11" t="inlineStr">
        <is>
          <t>&gt;0 - ≤100g</t>
        </is>
      </c>
      <c r="JW11" t="inlineStr">
        <is>
          <t>Does Not Apply</t>
        </is>
      </c>
      <c r="JY11" t="inlineStr">
        <is>
          <t>Does Not Apply</t>
        </is>
      </c>
      <c r="JZ11" t="inlineStr">
        <is>
          <t>Does Not Apply</t>
        </is>
      </c>
      <c r="KA11" t="inlineStr">
        <is>
          <t>Does Not Apply</t>
        </is>
      </c>
      <c r="KD11" t="inlineStr">
        <is>
          <t>Yes, Compliance Verified Program or Baby Safety Alliance (fka JPMA)</t>
        </is>
      </c>
      <c r="KF11" t="inlineStr">
        <is>
          <t>Does Not Apply</t>
        </is>
      </c>
      <c r="KG11" t="inlineStr">
        <is>
          <t>6 Months</t>
        </is>
      </c>
      <c r="KK11" t="inlineStr">
        <is>
          <t>Print/Pattern</t>
        </is>
      </c>
    </row>
    <row r="12">
      <c r="A12" t="inlineStr">
        <is>
          <t>Audio Towers</t>
        </is>
      </c>
      <c r="B12" t="inlineStr">
        <is>
          <t>Laptop Cart</t>
        </is>
      </c>
      <c r="I12" t="inlineStr">
        <is>
          <t>Alkaline</t>
        </is>
      </c>
      <c r="K12" t="inlineStr">
        <is>
          <t>7</t>
        </is>
      </c>
      <c r="M12" t="inlineStr">
        <is>
          <t>Cells of between 1 and 5 grams</t>
        </is>
      </c>
      <c r="N12" t="inlineStr">
        <is>
          <t>Batteries of between 100w/h and 300 w/h</t>
        </is>
      </c>
      <c r="O12" t="inlineStr">
        <is>
          <t>Does Not Apply</t>
        </is>
      </c>
      <c r="S12" t="inlineStr">
        <is>
          <t>Articulating</t>
        </is>
      </c>
      <c r="AE12" t="inlineStr">
        <is>
          <t>5.2</t>
        </is>
      </c>
      <c r="AF12" t="inlineStr">
        <is>
          <t>Does Not Apply</t>
        </is>
      </c>
      <c r="AG12" t="inlineStr">
        <is>
          <t>&gt;100 - ≤500g</t>
        </is>
      </c>
      <c r="AI12" t="inlineStr">
        <is>
          <t>Does Not Apply</t>
        </is>
      </c>
      <c r="AM12" t="inlineStr">
        <is>
          <t>1 Year</t>
        </is>
      </c>
      <c r="AR12" t="inlineStr">
        <is>
          <t>German</t>
        </is>
      </c>
      <c r="AT12" t="inlineStr">
        <is>
          <t>Acetazolamide</t>
        </is>
      </c>
      <c r="AU12" t="inlineStr">
        <is>
          <t>Albania</t>
        </is>
      </c>
      <c r="AW12" t="inlineStr">
        <is>
          <t>70</t>
        </is>
      </c>
      <c r="AX12" t="inlineStr">
        <is>
          <t>96</t>
        </is>
      </c>
      <c r="AY12" t="inlineStr">
        <is>
          <t>96</t>
        </is>
      </c>
      <c r="BX12" t="inlineStr">
        <is>
          <t>Biscuit Joint</t>
        </is>
      </c>
      <c r="BZ12" t="inlineStr">
        <is>
          <t>Alkaline</t>
        </is>
      </c>
      <c r="CB12" t="inlineStr">
        <is>
          <t>7</t>
        </is>
      </c>
      <c r="CD12" t="inlineStr">
        <is>
          <t>Cells of between 1 and 5 grams</t>
        </is>
      </c>
      <c r="CE12" t="inlineStr">
        <is>
          <t>Batteries of between 100w/h and 300 w/h</t>
        </is>
      </c>
      <c r="CF12" t="inlineStr">
        <is>
          <t>Does Not Apply</t>
        </is>
      </c>
      <c r="CK12" t="inlineStr">
        <is>
          <t>Convertible</t>
        </is>
      </c>
      <c r="CW12" t="inlineStr">
        <is>
          <t>5.2</t>
        </is>
      </c>
      <c r="CX12" t="inlineStr">
        <is>
          <t>Does Not Apply</t>
        </is>
      </c>
      <c r="CY12" t="inlineStr">
        <is>
          <t>&gt;100 - ≤500g</t>
        </is>
      </c>
      <c r="DA12" t="inlineStr">
        <is>
          <t>Does Not Apply</t>
        </is>
      </c>
      <c r="DE12" t="inlineStr">
        <is>
          <t>Does Not Apply</t>
        </is>
      </c>
      <c r="DF12" t="inlineStr">
        <is>
          <t>42"</t>
        </is>
      </c>
      <c r="DI12" t="inlineStr">
        <is>
          <t>1 Year</t>
        </is>
      </c>
      <c r="DN12" t="inlineStr">
        <is>
          <t>Gaming Chair</t>
        </is>
      </c>
      <c r="DO12" t="inlineStr">
        <is>
          <t>Plastic</t>
        </is>
      </c>
      <c r="EI12" t="inlineStr">
        <is>
          <t>Biscuit Joint</t>
        </is>
      </c>
      <c r="EL12" t="inlineStr">
        <is>
          <t>Alkaline</t>
        </is>
      </c>
      <c r="EN12" t="inlineStr">
        <is>
          <t>7</t>
        </is>
      </c>
      <c r="EP12" t="inlineStr">
        <is>
          <t>Cells of between 1 and 5 grams</t>
        </is>
      </c>
      <c r="EQ12" t="inlineStr">
        <is>
          <t>Batteries of between 100w/h and 300 w/h</t>
        </is>
      </c>
      <c r="ER12" t="inlineStr">
        <is>
          <t>Does Not Apply</t>
        </is>
      </c>
      <c r="EZ12" t="inlineStr">
        <is>
          <t>30,000-50,000</t>
        </is>
      </c>
      <c r="FH12" t="inlineStr">
        <is>
          <t>Does Not Apply</t>
        </is>
      </c>
      <c r="FI12" t="inlineStr">
        <is>
          <t>Does Not Apply</t>
        </is>
      </c>
      <c r="FO12" t="inlineStr">
        <is>
          <t>5.2</t>
        </is>
      </c>
      <c r="FP12" t="inlineStr">
        <is>
          <t>Does Not Apply</t>
        </is>
      </c>
      <c r="FQ12" t="inlineStr">
        <is>
          <t>&gt;100 - ≤500g</t>
        </is>
      </c>
      <c r="FS12" t="inlineStr">
        <is>
          <t>Does Not Apply</t>
        </is>
      </c>
      <c r="FX12" t="inlineStr">
        <is>
          <t>Does Not Apply</t>
        </is>
      </c>
      <c r="GA12" t="inlineStr">
        <is>
          <t>1 Year</t>
        </is>
      </c>
      <c r="GE12" t="inlineStr">
        <is>
          <t>Casters/Glides</t>
        </is>
      </c>
      <c r="GF12" t="inlineStr">
        <is>
          <t>Mini Chest</t>
        </is>
      </c>
      <c r="GN12" t="inlineStr">
        <is>
          <t>Aluminum</t>
        </is>
      </c>
      <c r="GP12" t="inlineStr">
        <is>
          <t>Biscuit Joint</t>
        </is>
      </c>
      <c r="GU12" t="inlineStr">
        <is>
          <t>Does Not Apply</t>
        </is>
      </c>
      <c r="HP12" t="inlineStr">
        <is>
          <t>Does Not Apply</t>
        </is>
      </c>
      <c r="HS12" t="inlineStr">
        <is>
          <t>1 Year</t>
        </is>
      </c>
      <c r="HX12" t="inlineStr">
        <is>
          <t>King</t>
        </is>
      </c>
      <c r="HY12" t="inlineStr">
        <is>
          <t>TV Bed</t>
        </is>
      </c>
      <c r="IB12" t="inlineStr">
        <is>
          <t>Shagreen Embossed</t>
        </is>
      </c>
      <c r="II12" t="inlineStr">
        <is>
          <t>Biscuit Joint</t>
        </is>
      </c>
      <c r="IL12" t="inlineStr">
        <is>
          <t>Alkaline</t>
        </is>
      </c>
      <c r="IM12" t="inlineStr">
        <is>
          <t>7</t>
        </is>
      </c>
      <c r="IO12" t="inlineStr">
        <is>
          <t>Cells of between 1 and 5 grams</t>
        </is>
      </c>
      <c r="IP12" t="inlineStr">
        <is>
          <t>Batteries of between 100w/h and 300 w/h</t>
        </is>
      </c>
      <c r="IQ12" t="inlineStr">
        <is>
          <t>Does Not Apply</t>
        </is>
      </c>
      <c r="IW12" t="inlineStr">
        <is>
          <t>Does Not Apply</t>
        </is>
      </c>
      <c r="IY12" t="inlineStr">
        <is>
          <t>Nubuck</t>
        </is>
      </c>
      <c r="IZ12" t="inlineStr">
        <is>
          <t>Microfiber / Microsuede</t>
        </is>
      </c>
      <c r="JA12" t="inlineStr">
        <is>
          <t>Camelback</t>
        </is>
      </c>
      <c r="JJ12" t="inlineStr">
        <is>
          <t>Does Not Apply</t>
        </is>
      </c>
      <c r="JK12" t="inlineStr">
        <is>
          <t>Does Not Apply</t>
        </is>
      </c>
      <c r="JS12" t="inlineStr">
        <is>
          <t>5.2</t>
        </is>
      </c>
      <c r="JT12" t="inlineStr">
        <is>
          <t>Does Not Apply</t>
        </is>
      </c>
      <c r="JU12" t="inlineStr">
        <is>
          <t>&gt;100 - ≤500g</t>
        </is>
      </c>
      <c r="KD12" t="inlineStr">
        <is>
          <t>Does Not Apply</t>
        </is>
      </c>
      <c r="KG12" t="inlineStr">
        <is>
          <t>1 Year</t>
        </is>
      </c>
      <c r="KK12" t="inlineStr">
        <is>
          <t>Storage</t>
        </is>
      </c>
    </row>
    <row r="13">
      <c r="A13" t="inlineStr">
        <is>
          <t>Office Chairs</t>
        </is>
      </c>
      <c r="B13" t="inlineStr">
        <is>
          <t>Printer Stand</t>
        </is>
      </c>
      <c r="I13" t="inlineStr">
        <is>
          <t>Carbon Zinc</t>
        </is>
      </c>
      <c r="K13" t="inlineStr">
        <is>
          <t>5</t>
        </is>
      </c>
      <c r="M13" t="inlineStr">
        <is>
          <t>Batteries exceeding 25 grams</t>
        </is>
      </c>
      <c r="N13" t="inlineStr">
        <is>
          <t>Batteries of 100w/h or less</t>
        </is>
      </c>
      <c r="S13" t="inlineStr">
        <is>
          <t>Tank mount</t>
        </is>
      </c>
      <c r="AE13" t="inlineStr">
        <is>
          <t>6.1</t>
        </is>
      </c>
      <c r="AG13" t="inlineStr">
        <is>
          <t>&gt;500g - ≤1kg</t>
        </is>
      </c>
      <c r="AM13" t="inlineStr">
        <is>
          <t>2 Years</t>
        </is>
      </c>
      <c r="AR13" t="inlineStr">
        <is>
          <t>Greek</t>
        </is>
      </c>
      <c r="AT13" t="inlineStr">
        <is>
          <t>Acetochlor</t>
        </is>
      </c>
      <c r="AU13" t="inlineStr">
        <is>
          <t>Algeria</t>
        </is>
      </c>
      <c r="AW13" t="inlineStr">
        <is>
          <t>77.5</t>
        </is>
      </c>
      <c r="AX13" t="inlineStr">
        <is>
          <t>120</t>
        </is>
      </c>
      <c r="AY13" t="inlineStr">
        <is>
          <t>120</t>
        </is>
      </c>
      <c r="BX13" t="inlineStr">
        <is>
          <t>Tongue and Groove</t>
        </is>
      </c>
      <c r="BZ13" t="inlineStr">
        <is>
          <t>Carbon Zinc</t>
        </is>
      </c>
      <c r="CB13" t="inlineStr">
        <is>
          <t>5</t>
        </is>
      </c>
      <c r="CD13" t="inlineStr">
        <is>
          <t>Batteries exceeding 25 grams</t>
        </is>
      </c>
      <c r="CE13" t="inlineStr">
        <is>
          <t>Batteries of 100w/h or less</t>
        </is>
      </c>
      <c r="CK13" t="inlineStr">
        <is>
          <t>Recirculating</t>
        </is>
      </c>
      <c r="CW13" t="inlineStr">
        <is>
          <t>6.1</t>
        </is>
      </c>
      <c r="CY13" t="inlineStr">
        <is>
          <t>&gt;500g - ≤1kg</t>
        </is>
      </c>
      <c r="DF13" t="inlineStr">
        <is>
          <t>49"</t>
        </is>
      </c>
      <c r="DI13" t="inlineStr">
        <is>
          <t>2 Years</t>
        </is>
      </c>
      <c r="DN13" t="inlineStr">
        <is>
          <t>Side Chair</t>
        </is>
      </c>
      <c r="DO13" t="inlineStr">
        <is>
          <t>Acrylic</t>
        </is>
      </c>
      <c r="EI13" t="inlineStr">
        <is>
          <t>Tongue and Groove</t>
        </is>
      </c>
      <c r="EL13" t="inlineStr">
        <is>
          <t>Carbon Zinc</t>
        </is>
      </c>
      <c r="EN13" t="inlineStr">
        <is>
          <t>5</t>
        </is>
      </c>
      <c r="EP13" t="inlineStr">
        <is>
          <t>Batteries exceeding 25 grams</t>
        </is>
      </c>
      <c r="EQ13" t="inlineStr">
        <is>
          <t>Batteries of 100w/h or less</t>
        </is>
      </c>
      <c r="EZ13" t="inlineStr">
        <is>
          <t>15,000-30,000</t>
        </is>
      </c>
      <c r="FO13" t="inlineStr">
        <is>
          <t>6.1</t>
        </is>
      </c>
      <c r="FQ13" t="inlineStr">
        <is>
          <t>&gt;500g - ≤1kg</t>
        </is>
      </c>
      <c r="GA13" t="inlineStr">
        <is>
          <t>2 Years</t>
        </is>
      </c>
      <c r="GE13" t="inlineStr">
        <is>
          <t>Arm Type</t>
        </is>
      </c>
      <c r="GF13" t="inlineStr">
        <is>
          <t>Standard Dresser / Chest</t>
        </is>
      </c>
      <c r="GN13" t="inlineStr">
        <is>
          <t>Melamine</t>
        </is>
      </c>
      <c r="GP13" t="inlineStr">
        <is>
          <t>Tongue and Groove</t>
        </is>
      </c>
      <c r="HS13" t="inlineStr">
        <is>
          <t>2 Years</t>
        </is>
      </c>
      <c r="HX13" t="inlineStr">
        <is>
          <t>California King</t>
        </is>
      </c>
      <c r="HY13" t="inlineStr">
        <is>
          <t>Scalloped</t>
        </is>
      </c>
      <c r="IB13" t="inlineStr">
        <is>
          <t>Bicast Leather</t>
        </is>
      </c>
      <c r="II13" t="inlineStr">
        <is>
          <t>Tongue and Groove</t>
        </is>
      </c>
      <c r="IL13" t="inlineStr">
        <is>
          <t>Carbon Zinc</t>
        </is>
      </c>
      <c r="IM13" t="inlineStr">
        <is>
          <t>5</t>
        </is>
      </c>
      <c r="IO13" t="inlineStr">
        <is>
          <t>Batteries exceeding 25 grams</t>
        </is>
      </c>
      <c r="IP13" t="inlineStr">
        <is>
          <t>Batteries of 100w/h or less</t>
        </is>
      </c>
      <c r="IY13" t="inlineStr">
        <is>
          <t>Full Grain Leather</t>
        </is>
      </c>
      <c r="IZ13" t="inlineStr">
        <is>
          <t>Twill</t>
        </is>
      </c>
      <c r="JA13" t="inlineStr">
        <is>
          <t>Scooped</t>
        </is>
      </c>
      <c r="JS13" t="inlineStr">
        <is>
          <t>6.1</t>
        </is>
      </c>
      <c r="JU13" t="inlineStr">
        <is>
          <t>&gt;500g - ≤1kg</t>
        </is>
      </c>
      <c r="KG13" t="inlineStr">
        <is>
          <t>2 Years</t>
        </is>
      </c>
    </row>
    <row r="14">
      <c r="A14" t="inlineStr">
        <is>
          <t>Beds</t>
        </is>
      </c>
      <c r="B14" t="inlineStr">
        <is>
          <t>Utility Cart</t>
        </is>
      </c>
      <c r="I14" t="inlineStr">
        <is>
          <t>Lead Acid (Spillable)</t>
        </is>
      </c>
      <c r="K14" t="inlineStr">
        <is>
          <t>8</t>
        </is>
      </c>
      <c r="M14" t="inlineStr">
        <is>
          <t>Does Not Apply</t>
        </is>
      </c>
      <c r="N14" t="inlineStr">
        <is>
          <t>Does Not Apply</t>
        </is>
      </c>
      <c r="S14" t="inlineStr">
        <is>
          <t>Recessed</t>
        </is>
      </c>
      <c r="AE14" t="inlineStr">
        <is>
          <t>3</t>
        </is>
      </c>
      <c r="AG14" t="inlineStr">
        <is>
          <t>&gt;125ml - ≤500ml</t>
        </is>
      </c>
      <c r="AM14" t="inlineStr">
        <is>
          <t>3 Years</t>
        </is>
      </c>
      <c r="AR14" t="inlineStr">
        <is>
          <t>English (United Kingdom)</t>
        </is>
      </c>
      <c r="AT14" t="inlineStr">
        <is>
          <t>Acetohydroxamic acid</t>
        </is>
      </c>
      <c r="AU14" t="inlineStr">
        <is>
          <t>American Samoa</t>
        </is>
      </c>
      <c r="AW14" t="inlineStr">
        <is>
          <t>85</t>
        </is>
      </c>
      <c r="AX14" t="inlineStr">
        <is>
          <t>144</t>
        </is>
      </c>
      <c r="BX14" t="inlineStr">
        <is>
          <t>Pocket Joint</t>
        </is>
      </c>
      <c r="BZ14" t="inlineStr">
        <is>
          <t>Lead Acid (Spillable)</t>
        </is>
      </c>
      <c r="CB14" t="inlineStr">
        <is>
          <t>8</t>
        </is>
      </c>
      <c r="CD14" t="inlineStr">
        <is>
          <t>Does Not Apply</t>
        </is>
      </c>
      <c r="CE14" t="inlineStr">
        <is>
          <t>Does Not Apply</t>
        </is>
      </c>
      <c r="CK14" t="inlineStr">
        <is>
          <t>B-Vent</t>
        </is>
      </c>
      <c r="CW14" t="inlineStr">
        <is>
          <t>3</t>
        </is>
      </c>
      <c r="CY14" t="inlineStr">
        <is>
          <t>&gt;125ml - ≤500ml</t>
        </is>
      </c>
      <c r="DF14" t="inlineStr">
        <is>
          <t>55"</t>
        </is>
      </c>
      <c r="DI14" t="inlineStr">
        <is>
          <t>3 Years</t>
        </is>
      </c>
      <c r="DN14" t="inlineStr">
        <is>
          <t>Task Chair</t>
        </is>
      </c>
      <c r="DO14" t="inlineStr">
        <is>
          <t>Manufactured Wood</t>
        </is>
      </c>
      <c r="EI14" t="inlineStr">
        <is>
          <t>Pocket Joint</t>
        </is>
      </c>
      <c r="EL14" t="inlineStr">
        <is>
          <t>Lead Acid (Spillable)</t>
        </is>
      </c>
      <c r="EN14" t="inlineStr">
        <is>
          <t>8</t>
        </is>
      </c>
      <c r="EP14" t="inlineStr">
        <is>
          <t>Does Not Apply</t>
        </is>
      </c>
      <c r="EQ14" t="inlineStr">
        <is>
          <t>Does Not Apply</t>
        </is>
      </c>
      <c r="EZ14" t="inlineStr">
        <is>
          <t>50,000+</t>
        </is>
      </c>
      <c r="FO14" t="inlineStr">
        <is>
          <t>3</t>
        </is>
      </c>
      <c r="FQ14" t="inlineStr">
        <is>
          <t>&gt;125ml - ≤500ml</t>
        </is>
      </c>
      <c r="GA14" t="inlineStr">
        <is>
          <t>3 Years</t>
        </is>
      </c>
      <c r="GE14" t="inlineStr">
        <is>
          <t>Customization</t>
        </is>
      </c>
      <c r="GF14" t="inlineStr">
        <is>
          <t>Unavailable</t>
        </is>
      </c>
      <c r="GN14" t="inlineStr">
        <is>
          <t>Silicone</t>
        </is>
      </c>
      <c r="GP14" t="inlineStr">
        <is>
          <t>Pocket Joint</t>
        </is>
      </c>
      <c r="HS14" t="inlineStr">
        <is>
          <t>3 Years</t>
        </is>
      </c>
      <c r="HX14" t="inlineStr">
        <is>
          <t>Full XL</t>
        </is>
      </c>
      <c r="HY14" t="inlineStr">
        <is>
          <t>Panel Headboard Design</t>
        </is>
      </c>
      <c r="IB14" t="inlineStr">
        <is>
          <t>Faux Cowhide</t>
        </is>
      </c>
      <c r="II14" t="inlineStr">
        <is>
          <t>Pocket Joint</t>
        </is>
      </c>
      <c r="IL14" t="inlineStr">
        <is>
          <t>Lead Acid (Spillable)</t>
        </is>
      </c>
      <c r="IM14" t="inlineStr">
        <is>
          <t>8</t>
        </is>
      </c>
      <c r="IO14" t="inlineStr">
        <is>
          <t>Does Not Apply</t>
        </is>
      </c>
      <c r="IP14" t="inlineStr">
        <is>
          <t>Does Not Apply</t>
        </is>
      </c>
      <c r="IY14" t="inlineStr">
        <is>
          <t>Sheepskin</t>
        </is>
      </c>
      <c r="IZ14" t="inlineStr">
        <is>
          <t>Unavailable</t>
        </is>
      </c>
      <c r="JA14" t="inlineStr">
        <is>
          <t>Stepped</t>
        </is>
      </c>
      <c r="JS14" t="inlineStr">
        <is>
          <t>3</t>
        </is>
      </c>
      <c r="JU14" t="inlineStr">
        <is>
          <t>&gt;125ml - ≤500ml</t>
        </is>
      </c>
      <c r="KG14" t="inlineStr">
        <is>
          <t>3 Years</t>
        </is>
      </c>
    </row>
    <row r="15">
      <c r="A15" t="inlineStr">
        <is>
          <t>Dressers &amp; Chests</t>
        </is>
      </c>
      <c r="B15" t="inlineStr">
        <is>
          <t>Laptop/Tablet Storage Cart</t>
        </is>
      </c>
      <c r="I15" t="inlineStr">
        <is>
          <t>Lead Acid (Non-Spillable)</t>
        </is>
      </c>
      <c r="K15" t="inlineStr">
        <is>
          <t>10</t>
        </is>
      </c>
      <c r="S15" t="inlineStr">
        <is>
          <t>Unavailable</t>
        </is>
      </c>
      <c r="AE15" t="inlineStr">
        <is>
          <t>4.1</t>
        </is>
      </c>
      <c r="AG15" t="inlineStr">
        <is>
          <t>&gt;25 - ≤125ml</t>
        </is>
      </c>
      <c r="AM15" t="inlineStr">
        <is>
          <t>5 Years</t>
        </is>
      </c>
      <c r="AR15" t="inlineStr">
        <is>
          <t>English (United States)</t>
        </is>
      </c>
      <c r="AT15" t="inlineStr">
        <is>
          <t>2-Acetylaminofluorene</t>
        </is>
      </c>
      <c r="AU15" t="inlineStr">
        <is>
          <t>Andorra</t>
        </is>
      </c>
      <c r="AW15" t="inlineStr">
        <is>
          <t>92.5</t>
        </is>
      </c>
      <c r="AX15" t="inlineStr">
        <is>
          <t>168</t>
        </is>
      </c>
      <c r="BX15" t="inlineStr">
        <is>
          <t>Cam Bolt</t>
        </is>
      </c>
      <c r="BZ15" t="inlineStr">
        <is>
          <t>Lead Acid (Non-Spillable)</t>
        </is>
      </c>
      <c r="CB15" t="inlineStr">
        <is>
          <t>10</t>
        </is>
      </c>
      <c r="CK15" t="inlineStr">
        <is>
          <t>Does Not Apply</t>
        </is>
      </c>
      <c r="CW15" t="inlineStr">
        <is>
          <t>4.1</t>
        </is>
      </c>
      <c r="CY15" t="inlineStr">
        <is>
          <t>&gt;25 - ≤125ml</t>
        </is>
      </c>
      <c r="DF15" t="inlineStr">
        <is>
          <t>50"</t>
        </is>
      </c>
      <c r="DI15" t="inlineStr">
        <is>
          <t>5 Years</t>
        </is>
      </c>
      <c r="DN15" t="inlineStr">
        <is>
          <t>Criss Cross Chair</t>
        </is>
      </c>
      <c r="DO15" t="inlineStr">
        <is>
          <t>Solid + Manufactured Wood</t>
        </is>
      </c>
      <c r="EI15" t="inlineStr">
        <is>
          <t>Cam Bolt</t>
        </is>
      </c>
      <c r="EL15" t="inlineStr">
        <is>
          <t>Lead Acid (Non-Spillable)</t>
        </is>
      </c>
      <c r="EN15" t="inlineStr">
        <is>
          <t>10</t>
        </is>
      </c>
      <c r="EZ15" t="inlineStr">
        <is>
          <t>Unavailable</t>
        </is>
      </c>
      <c r="FO15" t="inlineStr">
        <is>
          <t>4.1</t>
        </is>
      </c>
      <c r="FQ15" t="inlineStr">
        <is>
          <t>&gt;25 - ≤125ml</t>
        </is>
      </c>
      <c r="GA15" t="inlineStr">
        <is>
          <t>5 Years</t>
        </is>
      </c>
      <c r="GE15" t="inlineStr">
        <is>
          <t>Back Height</t>
        </is>
      </c>
      <c r="GN15" t="inlineStr">
        <is>
          <t>Brass</t>
        </is>
      </c>
      <c r="GP15" t="inlineStr">
        <is>
          <t>Cam Bolt</t>
        </is>
      </c>
      <c r="HS15" t="inlineStr">
        <is>
          <t>5 Years</t>
        </is>
      </c>
      <c r="HX15" t="inlineStr">
        <is>
          <t>Super Single</t>
        </is>
      </c>
      <c r="HY15" t="inlineStr">
        <is>
          <t>Bookcase</t>
        </is>
      </c>
      <c r="IB15" t="inlineStr">
        <is>
          <t>Faux Sheepskin</t>
        </is>
      </c>
      <c r="II15" t="inlineStr">
        <is>
          <t>Cam Bolt</t>
        </is>
      </c>
      <c r="IL15" t="inlineStr">
        <is>
          <t>Lead Acid (Non-Spillable)</t>
        </is>
      </c>
      <c r="IM15" t="inlineStr">
        <is>
          <t>10</t>
        </is>
      </c>
      <c r="IY15" t="inlineStr">
        <is>
          <t>Cowhide</t>
        </is>
      </c>
      <c r="IZ15" t="inlineStr">
        <is>
          <t>Does Not Apply</t>
        </is>
      </c>
      <c r="JA15" t="inlineStr">
        <is>
          <t>Other</t>
        </is>
      </c>
      <c r="JS15" t="inlineStr">
        <is>
          <t>4.1</t>
        </is>
      </c>
      <c r="JU15" t="inlineStr">
        <is>
          <t>&gt;25 - ≤125ml</t>
        </is>
      </c>
      <c r="KG15" t="inlineStr">
        <is>
          <t>5 Years</t>
        </is>
      </c>
    </row>
    <row r="16">
      <c r="A16" t="inlineStr">
        <is>
          <t>Nightstands</t>
        </is>
      </c>
      <c r="I16" t="inlineStr">
        <is>
          <t>Silver Oxide</t>
        </is>
      </c>
      <c r="K16" t="inlineStr">
        <is>
          <t>4</t>
        </is>
      </c>
      <c r="AE16" t="inlineStr">
        <is>
          <t>4.3</t>
        </is>
      </c>
      <c r="AG16" t="inlineStr">
        <is>
          <t>&gt;1kg - ≤5kg</t>
        </is>
      </c>
      <c r="AM16" t="inlineStr">
        <is>
          <t>10 Years</t>
        </is>
      </c>
      <c r="AR16" t="inlineStr">
        <is>
          <t>Spanish</t>
        </is>
      </c>
      <c r="AT16" t="inlineStr">
        <is>
          <t>Acifluorfen sodium</t>
        </is>
      </c>
      <c r="AU16" t="inlineStr">
        <is>
          <t>Angola</t>
        </is>
      </c>
      <c r="AW16" t="inlineStr">
        <is>
          <t>100</t>
        </is>
      </c>
      <c r="AX16" t="inlineStr">
        <is>
          <t>192</t>
        </is>
      </c>
      <c r="BX16" t="inlineStr">
        <is>
          <t>Dowel Joint</t>
        </is>
      </c>
      <c r="BZ16" t="inlineStr">
        <is>
          <t>Silver Oxide</t>
        </is>
      </c>
      <c r="CB16" t="inlineStr">
        <is>
          <t>4</t>
        </is>
      </c>
      <c r="CW16" t="inlineStr">
        <is>
          <t>4.3</t>
        </is>
      </c>
      <c r="CY16" t="inlineStr">
        <is>
          <t>&gt;1kg - ≤5kg</t>
        </is>
      </c>
      <c r="DF16" t="inlineStr">
        <is>
          <t>58"</t>
        </is>
      </c>
      <c r="DI16" t="inlineStr">
        <is>
          <t>10 Years</t>
        </is>
      </c>
      <c r="DO16" t="inlineStr">
        <is>
          <t>Steel</t>
        </is>
      </c>
      <c r="EI16" t="inlineStr">
        <is>
          <t>Dowel Joint</t>
        </is>
      </c>
      <c r="EL16" t="inlineStr">
        <is>
          <t>Silver Oxide</t>
        </is>
      </c>
      <c r="EN16" t="inlineStr">
        <is>
          <t>4</t>
        </is>
      </c>
      <c r="EZ16" t="inlineStr">
        <is>
          <t>Does Not Apply</t>
        </is>
      </c>
      <c r="FO16" t="inlineStr">
        <is>
          <t>4.3</t>
        </is>
      </c>
      <c r="FQ16" t="inlineStr">
        <is>
          <t>&gt;1kg - ≤5kg</t>
        </is>
      </c>
      <c r="GA16" t="inlineStr">
        <is>
          <t>10 Years</t>
        </is>
      </c>
      <c r="GE16" t="inlineStr">
        <is>
          <t>Team Logo</t>
        </is>
      </c>
      <c r="GN16" t="inlineStr">
        <is>
          <t>Fabric</t>
        </is>
      </c>
      <c r="GP16" t="inlineStr">
        <is>
          <t>Dowel Joint</t>
        </is>
      </c>
      <c r="HS16" t="inlineStr">
        <is>
          <t>10 Years</t>
        </is>
      </c>
      <c r="HX16" t="inlineStr">
        <is>
          <t>RV King</t>
        </is>
      </c>
      <c r="HY16" t="inlineStr">
        <is>
          <t>Spindle</t>
        </is>
      </c>
      <c r="IB16" t="inlineStr">
        <is>
          <t>Faux Shearing</t>
        </is>
      </c>
      <c r="II16" t="inlineStr">
        <is>
          <t>Dowel Joint</t>
        </is>
      </c>
      <c r="IL16" t="inlineStr">
        <is>
          <t>Silver Oxide</t>
        </is>
      </c>
      <c r="IM16" t="inlineStr">
        <is>
          <t>4</t>
        </is>
      </c>
      <c r="IY16" t="inlineStr">
        <is>
          <t>Corrected Grain Leather</t>
        </is>
      </c>
      <c r="JA16" t="inlineStr">
        <is>
          <t>Rounded</t>
        </is>
      </c>
      <c r="JS16" t="inlineStr">
        <is>
          <t>4.3</t>
        </is>
      </c>
      <c r="JU16" t="inlineStr">
        <is>
          <t>&gt;1kg - ≤5kg</t>
        </is>
      </c>
      <c r="KG16" t="inlineStr">
        <is>
          <t>10 Years</t>
        </is>
      </c>
    </row>
    <row r="17">
      <c r="A17" t="inlineStr">
        <is>
          <t>Armoires &amp; Wardrobes</t>
        </is>
      </c>
      <c r="I17" t="inlineStr">
        <is>
          <t>Does Not Apply</t>
        </is>
      </c>
      <c r="K17" t="inlineStr">
        <is>
          <t>9</t>
        </is>
      </c>
      <c r="AE17" t="inlineStr">
        <is>
          <t>4.2</t>
        </is>
      </c>
      <c r="AG17" t="inlineStr">
        <is>
          <t>&gt;5L</t>
        </is>
      </c>
      <c r="AM17" t="inlineStr">
        <is>
          <t>20 Years</t>
        </is>
      </c>
      <c r="AR17" t="inlineStr">
        <is>
          <t>Finnish</t>
        </is>
      </c>
      <c r="AT17" t="inlineStr">
        <is>
          <t>Acrylamide</t>
        </is>
      </c>
      <c r="AU17" t="inlineStr">
        <is>
          <t>Anguilla</t>
        </is>
      </c>
      <c r="AW17" t="inlineStr">
        <is>
          <t>110</t>
        </is>
      </c>
      <c r="AX17" t="inlineStr">
        <is>
          <t>216</t>
        </is>
      </c>
      <c r="BX17" t="inlineStr">
        <is>
          <t>Half-Lap</t>
        </is>
      </c>
      <c r="BZ17" t="inlineStr">
        <is>
          <t>Does Not Apply</t>
        </is>
      </c>
      <c r="CB17" t="inlineStr">
        <is>
          <t>9</t>
        </is>
      </c>
      <c r="CW17" t="inlineStr">
        <is>
          <t>4.2</t>
        </is>
      </c>
      <c r="CY17" t="inlineStr">
        <is>
          <t>&gt;5L</t>
        </is>
      </c>
      <c r="DF17" t="inlineStr">
        <is>
          <t>65"</t>
        </is>
      </c>
      <c r="DI17" t="inlineStr">
        <is>
          <t>20 Years</t>
        </is>
      </c>
      <c r="DO17" t="inlineStr">
        <is>
          <t>Iron</t>
        </is>
      </c>
      <c r="EI17" t="inlineStr">
        <is>
          <t>Half-Lap</t>
        </is>
      </c>
      <c r="EL17" t="inlineStr">
        <is>
          <t>Does Not Apply</t>
        </is>
      </c>
      <c r="EN17" t="inlineStr">
        <is>
          <t>9</t>
        </is>
      </c>
      <c r="FO17" t="inlineStr">
        <is>
          <t>4.2</t>
        </is>
      </c>
      <c r="FQ17" t="inlineStr">
        <is>
          <t>&gt;5L</t>
        </is>
      </c>
      <c r="GA17" t="inlineStr">
        <is>
          <t>20 Years</t>
        </is>
      </c>
      <c r="GE17" t="inlineStr">
        <is>
          <t>Pattern</t>
        </is>
      </c>
      <c r="GN17" t="inlineStr">
        <is>
          <t>Bamboo</t>
        </is>
      </c>
      <c r="GP17" t="inlineStr">
        <is>
          <t>Half-Lap</t>
        </is>
      </c>
      <c r="HS17" t="inlineStr">
        <is>
          <t>20 Years</t>
        </is>
      </c>
      <c r="HX17" t="inlineStr">
        <is>
          <t>Short Queen</t>
        </is>
      </c>
      <c r="HY17" t="inlineStr">
        <is>
          <t>Murphy</t>
        </is>
      </c>
      <c r="IB17" t="inlineStr">
        <is>
          <t>Unavailable</t>
        </is>
      </c>
      <c r="II17" t="inlineStr">
        <is>
          <t>Half-Lap</t>
        </is>
      </c>
      <c r="IL17" t="inlineStr">
        <is>
          <t>Does Not Apply</t>
        </is>
      </c>
      <c r="IM17" t="inlineStr">
        <is>
          <t>9</t>
        </is>
      </c>
      <c r="IY17" t="inlineStr">
        <is>
          <t>Shearling</t>
        </is>
      </c>
      <c r="JA17" t="inlineStr">
        <is>
          <t>Unavailable</t>
        </is>
      </c>
      <c r="JS17" t="inlineStr">
        <is>
          <t>4.2</t>
        </is>
      </c>
      <c r="JU17" t="inlineStr">
        <is>
          <t>&gt;5L</t>
        </is>
      </c>
      <c r="KG17" t="inlineStr">
        <is>
          <t>20 Years</t>
        </is>
      </c>
    </row>
    <row r="18">
      <c r="A18" t="inlineStr">
        <is>
          <t>Daybeds &amp; Guest Beds</t>
        </is>
      </c>
      <c r="K18" t="inlineStr">
        <is>
          <t>Unavailable</t>
        </is>
      </c>
      <c r="AE18" t="inlineStr">
        <is>
          <t>5.1</t>
        </is>
      </c>
      <c r="AG18" t="inlineStr">
        <is>
          <t>&gt;5kg</t>
        </is>
      </c>
      <c r="AM18" t="inlineStr">
        <is>
          <t>25 Years</t>
        </is>
      </c>
      <c r="AR18" t="inlineStr">
        <is>
          <t>French (Canada)</t>
        </is>
      </c>
      <c r="AT18" t="inlineStr">
        <is>
          <t>Acrylonitrile</t>
        </is>
      </c>
      <c r="AU18" t="inlineStr">
        <is>
          <t>Antarctica</t>
        </is>
      </c>
      <c r="AW18" t="inlineStr">
        <is>
          <t>125</t>
        </is>
      </c>
      <c r="AX18" t="inlineStr">
        <is>
          <t>240</t>
        </is>
      </c>
      <c r="BX18" t="inlineStr">
        <is>
          <t>Box</t>
        </is>
      </c>
      <c r="CB18" t="inlineStr">
        <is>
          <t>Unavailable</t>
        </is>
      </c>
      <c r="CW18" t="inlineStr">
        <is>
          <t>5.1</t>
        </is>
      </c>
      <c r="CY18" t="inlineStr">
        <is>
          <t>&gt;5kg</t>
        </is>
      </c>
      <c r="DF18" t="inlineStr">
        <is>
          <t>75"</t>
        </is>
      </c>
      <c r="DI18" t="inlineStr">
        <is>
          <t>25 Years</t>
        </is>
      </c>
      <c r="DO18" t="inlineStr">
        <is>
          <t>Cane</t>
        </is>
      </c>
      <c r="EI18" t="inlineStr">
        <is>
          <t>Box</t>
        </is>
      </c>
      <c r="EN18" t="inlineStr">
        <is>
          <t>Unavailable</t>
        </is>
      </c>
      <c r="FO18" t="inlineStr">
        <is>
          <t>5.1</t>
        </is>
      </c>
      <c r="FQ18" t="inlineStr">
        <is>
          <t>&gt;5kg</t>
        </is>
      </c>
      <c r="GA18" t="inlineStr">
        <is>
          <t>25 Years</t>
        </is>
      </c>
      <c r="GN18" t="inlineStr">
        <is>
          <t>Bakelite</t>
        </is>
      </c>
      <c r="GP18" t="inlineStr">
        <is>
          <t>Box</t>
        </is>
      </c>
      <c r="HS18" t="inlineStr">
        <is>
          <t>25 Years</t>
        </is>
      </c>
      <c r="HX18" t="inlineStr">
        <is>
          <t>Antique / Three Quarter</t>
        </is>
      </c>
      <c r="HY18" t="inlineStr">
        <is>
          <t>Wingback</t>
        </is>
      </c>
      <c r="IB18" t="inlineStr">
        <is>
          <t>Does Not Apply</t>
        </is>
      </c>
      <c r="II18" t="inlineStr">
        <is>
          <t>Box</t>
        </is>
      </c>
      <c r="IM18" t="inlineStr">
        <is>
          <t>Unavailable</t>
        </is>
      </c>
      <c r="IY18" t="inlineStr">
        <is>
          <t>Unavailable</t>
        </is>
      </c>
      <c r="JA18" t="inlineStr">
        <is>
          <t>Does Not Apply</t>
        </is>
      </c>
      <c r="JS18" t="inlineStr">
        <is>
          <t>5.1</t>
        </is>
      </c>
      <c r="JU18" t="inlineStr">
        <is>
          <t>&gt;5kg</t>
        </is>
      </c>
      <c r="KG18" t="inlineStr">
        <is>
          <t>25 Years</t>
        </is>
      </c>
    </row>
    <row r="19">
      <c r="A19" t="inlineStr">
        <is>
          <t>Headboards</t>
        </is>
      </c>
      <c r="K19" t="inlineStr">
        <is>
          <t>Does Not Apply</t>
        </is>
      </c>
      <c r="AE19" t="inlineStr">
        <is>
          <t>2.3</t>
        </is>
      </c>
      <c r="AG19" t="inlineStr">
        <is>
          <t>Does Not Apply</t>
        </is>
      </c>
      <c r="AM19" t="inlineStr">
        <is>
          <t>Lifetime</t>
        </is>
      </c>
      <c r="AR19" t="inlineStr">
        <is>
          <t>Hungarian</t>
        </is>
      </c>
      <c r="AT19" t="inlineStr">
        <is>
          <t>Actinomycin D</t>
        </is>
      </c>
      <c r="AU19" t="inlineStr">
        <is>
          <t>Antigua and Barbuda</t>
        </is>
      </c>
      <c r="AW19" t="inlineStr">
        <is>
          <t>150</t>
        </is>
      </c>
      <c r="AX19" t="inlineStr">
        <is>
          <t>360</t>
        </is>
      </c>
      <c r="BX19" t="inlineStr">
        <is>
          <t>Lap</t>
        </is>
      </c>
      <c r="CB19" t="inlineStr">
        <is>
          <t>Does Not Apply</t>
        </is>
      </c>
      <c r="CW19" t="inlineStr">
        <is>
          <t>2.3</t>
        </is>
      </c>
      <c r="CY19" t="inlineStr">
        <is>
          <t>Does Not Apply</t>
        </is>
      </c>
      <c r="DF19" t="inlineStr">
        <is>
          <t>70"</t>
        </is>
      </c>
      <c r="DI19" t="inlineStr">
        <is>
          <t>Lifetime</t>
        </is>
      </c>
      <c r="DO19" t="inlineStr">
        <is>
          <t>Raffia</t>
        </is>
      </c>
      <c r="EI19" t="inlineStr">
        <is>
          <t>Lap</t>
        </is>
      </c>
      <c r="EN19" t="inlineStr">
        <is>
          <t>Does Not Apply</t>
        </is>
      </c>
      <c r="FO19" t="inlineStr">
        <is>
          <t>2.3</t>
        </is>
      </c>
      <c r="FQ19" t="inlineStr">
        <is>
          <t>Does Not Apply</t>
        </is>
      </c>
      <c r="GA19" t="inlineStr">
        <is>
          <t>Lifetime</t>
        </is>
      </c>
      <c r="GN19" t="inlineStr">
        <is>
          <t>Nylon</t>
        </is>
      </c>
      <c r="GP19" t="inlineStr">
        <is>
          <t>Lap</t>
        </is>
      </c>
      <c r="HS19" t="inlineStr">
        <is>
          <t>Lifetime</t>
        </is>
      </c>
      <c r="HX19" t="inlineStr">
        <is>
          <t>Split California King</t>
        </is>
      </c>
      <c r="HY19" t="inlineStr">
        <is>
          <t>Open-Frame</t>
        </is>
      </c>
      <c r="II19" t="inlineStr">
        <is>
          <t>Lap</t>
        </is>
      </c>
      <c r="IM19" t="inlineStr">
        <is>
          <t>Does Not Apply</t>
        </is>
      </c>
      <c r="IY19" t="inlineStr">
        <is>
          <t>Does Not Apply</t>
        </is>
      </c>
      <c r="JS19" t="inlineStr">
        <is>
          <t>2.3</t>
        </is>
      </c>
      <c r="JU19" t="inlineStr">
        <is>
          <t>Does Not Apply</t>
        </is>
      </c>
      <c r="KG19" t="inlineStr">
        <is>
          <t>Lifetime</t>
        </is>
      </c>
    </row>
    <row r="20">
      <c r="A20" t="inlineStr">
        <is>
          <t>Bedroom Sets</t>
        </is>
      </c>
      <c r="AE20" t="inlineStr">
        <is>
          <t>6.2</t>
        </is>
      </c>
      <c r="AM20" t="inlineStr">
        <is>
          <t>15 Years</t>
        </is>
      </c>
      <c r="AR20" t="inlineStr">
        <is>
          <t>Indonesian</t>
        </is>
      </c>
      <c r="AT20" t="inlineStr">
        <is>
          <t>AF-2;[2-(2-furyl)-3-(5-nitro-2-furyl)]acrylamide</t>
        </is>
      </c>
      <c r="AU20" t="inlineStr">
        <is>
          <t>Argentina</t>
        </is>
      </c>
      <c r="AW20" t="inlineStr">
        <is>
          <t>175</t>
        </is>
      </c>
      <c r="AX20" t="inlineStr">
        <is>
          <t>480</t>
        </is>
      </c>
      <c r="BX20" t="inlineStr">
        <is>
          <t>Double Dowelled</t>
        </is>
      </c>
      <c r="CW20" t="inlineStr">
        <is>
          <t>6.2</t>
        </is>
      </c>
      <c r="DF20" t="inlineStr">
        <is>
          <t>48"</t>
        </is>
      </c>
      <c r="DI20" t="inlineStr">
        <is>
          <t>15 Years</t>
        </is>
      </c>
      <c r="DO20" t="inlineStr">
        <is>
          <t>Nickel</t>
        </is>
      </c>
      <c r="EI20" t="inlineStr">
        <is>
          <t>Double Dowelled</t>
        </is>
      </c>
      <c r="FO20" t="inlineStr">
        <is>
          <t>6.2</t>
        </is>
      </c>
      <c r="GA20" t="inlineStr">
        <is>
          <t>15 Years</t>
        </is>
      </c>
      <c r="GN20" t="inlineStr">
        <is>
          <t>Enameled Cast Iron</t>
        </is>
      </c>
      <c r="GP20" t="inlineStr">
        <is>
          <t>Double Dowelled</t>
        </is>
      </c>
      <c r="HS20" t="inlineStr">
        <is>
          <t>15 Years</t>
        </is>
      </c>
      <c r="HX20" t="inlineStr">
        <is>
          <t>Short Full</t>
        </is>
      </c>
      <c r="HY20" t="inlineStr">
        <is>
          <t>Slat Headboard Design</t>
        </is>
      </c>
      <c r="II20" t="inlineStr">
        <is>
          <t>Double Dowelled</t>
        </is>
      </c>
      <c r="JS20" t="inlineStr">
        <is>
          <t>6.2</t>
        </is>
      </c>
      <c r="KG20" t="inlineStr">
        <is>
          <t>15 Years</t>
        </is>
      </c>
    </row>
    <row r="21">
      <c r="A21" t="inlineStr">
        <is>
          <t>Easels</t>
        </is>
      </c>
      <c r="AE21" t="inlineStr">
        <is>
          <t>9</t>
        </is>
      </c>
      <c r="AM21" t="inlineStr">
        <is>
          <t>4 Years</t>
        </is>
      </c>
      <c r="AR21" t="inlineStr">
        <is>
          <t>Icelandic</t>
        </is>
      </c>
      <c r="AT21" t="inlineStr">
        <is>
          <t>Aflatoxins</t>
        </is>
      </c>
      <c r="AU21" t="inlineStr">
        <is>
          <t>Armenia</t>
        </is>
      </c>
      <c r="AW21" t="inlineStr">
        <is>
          <t>200</t>
        </is>
      </c>
      <c r="AX21" t="inlineStr">
        <is>
          <t>600</t>
        </is>
      </c>
      <c r="BX21" t="inlineStr">
        <is>
          <t>Bridle</t>
        </is>
      </c>
      <c r="CW21" t="inlineStr">
        <is>
          <t>9</t>
        </is>
      </c>
      <c r="DF21" t="inlineStr">
        <is>
          <t>43"</t>
        </is>
      </c>
      <c r="DI21" t="inlineStr">
        <is>
          <t>4 Years</t>
        </is>
      </c>
      <c r="DO21" t="inlineStr">
        <is>
          <t>Glass</t>
        </is>
      </c>
      <c r="EI21" t="inlineStr">
        <is>
          <t>Bridle</t>
        </is>
      </c>
      <c r="FO21" t="inlineStr">
        <is>
          <t>9</t>
        </is>
      </c>
      <c r="GA21" t="inlineStr">
        <is>
          <t>4 Years</t>
        </is>
      </c>
      <c r="GN21" t="inlineStr">
        <is>
          <t>Cast Iron</t>
        </is>
      </c>
      <c r="GP21" t="inlineStr">
        <is>
          <t>Bridle</t>
        </is>
      </c>
      <c r="HS21" t="inlineStr">
        <is>
          <t>4 Years</t>
        </is>
      </c>
      <c r="HX21" t="inlineStr">
        <is>
          <t>Split King</t>
        </is>
      </c>
      <c r="HY21" t="inlineStr">
        <is>
          <t>Daybed</t>
        </is>
      </c>
      <c r="II21" t="inlineStr">
        <is>
          <t>Bridle</t>
        </is>
      </c>
      <c r="JS21" t="inlineStr">
        <is>
          <t>9</t>
        </is>
      </c>
      <c r="KG21" t="inlineStr">
        <is>
          <t>4 Years</t>
        </is>
      </c>
    </row>
    <row r="22">
      <c r="A22" t="inlineStr">
        <is>
          <t>Display Cases</t>
        </is>
      </c>
      <c r="AE22" t="inlineStr">
        <is>
          <t>8</t>
        </is>
      </c>
      <c r="AM22" t="inlineStr">
        <is>
          <t>18 Months</t>
        </is>
      </c>
      <c r="AR22" t="inlineStr">
        <is>
          <t>Italian</t>
        </is>
      </c>
      <c r="AT22" t="inlineStr">
        <is>
          <t>Alachlor</t>
        </is>
      </c>
      <c r="AU22" t="inlineStr">
        <is>
          <t>Aruba</t>
        </is>
      </c>
      <c r="AW22" t="inlineStr">
        <is>
          <t>250</t>
        </is>
      </c>
      <c r="AX22" t="inlineStr">
        <is>
          <t>720</t>
        </is>
      </c>
      <c r="BX22" t="inlineStr">
        <is>
          <t>Halved</t>
        </is>
      </c>
      <c r="CW22" t="inlineStr">
        <is>
          <t>8</t>
        </is>
      </c>
      <c r="DF22" t="inlineStr">
        <is>
          <t>88"</t>
        </is>
      </c>
      <c r="DI22" t="inlineStr">
        <is>
          <t>18 Months</t>
        </is>
      </c>
      <c r="DO22" t="inlineStr">
        <is>
          <t>Laminate</t>
        </is>
      </c>
      <c r="EI22" t="inlineStr">
        <is>
          <t>Halved</t>
        </is>
      </c>
      <c r="FO22" t="inlineStr">
        <is>
          <t>8</t>
        </is>
      </c>
      <c r="GA22" t="inlineStr">
        <is>
          <t>18 Months</t>
        </is>
      </c>
      <c r="GN22" t="inlineStr">
        <is>
          <t>Gold Plated</t>
        </is>
      </c>
      <c r="GP22" t="inlineStr">
        <is>
          <t>Halved</t>
        </is>
      </c>
      <c r="HS22" t="inlineStr">
        <is>
          <t>18 Months</t>
        </is>
      </c>
      <c r="HX22" t="inlineStr">
        <is>
          <t>California Queen</t>
        </is>
      </c>
      <c r="HY22" t="inlineStr">
        <is>
          <t>Unavailable</t>
        </is>
      </c>
      <c r="II22" t="inlineStr">
        <is>
          <t>Halved</t>
        </is>
      </c>
      <c r="JS22" t="inlineStr">
        <is>
          <t>8</t>
        </is>
      </c>
      <c r="KG22" t="inlineStr">
        <is>
          <t>18 Months</t>
        </is>
      </c>
    </row>
    <row r="23">
      <c r="A23" t="inlineStr">
        <is>
          <t>Lockers</t>
        </is>
      </c>
      <c r="AE23" t="inlineStr">
        <is>
          <t>Does Not Apply</t>
        </is>
      </c>
      <c r="AM23" t="inlineStr">
        <is>
          <t>6 Years</t>
        </is>
      </c>
      <c r="AR23" t="inlineStr">
        <is>
          <t>Japanese</t>
        </is>
      </c>
      <c r="AT23" t="inlineStr">
        <is>
          <t>Alcoholic beverages, when associated with alcohol abuse</t>
        </is>
      </c>
      <c r="AU23" t="inlineStr">
        <is>
          <t>Australia</t>
        </is>
      </c>
      <c r="AW23" t="inlineStr">
        <is>
          <t>300</t>
        </is>
      </c>
      <c r="AX23" t="inlineStr">
        <is>
          <t>840</t>
        </is>
      </c>
      <c r="BX23" t="inlineStr">
        <is>
          <t>Corner Block Reinforced</t>
        </is>
      </c>
      <c r="CW23" t="inlineStr">
        <is>
          <t>Does Not Apply</t>
        </is>
      </c>
      <c r="DF23" t="inlineStr">
        <is>
          <t>60"</t>
        </is>
      </c>
      <c r="DI23" t="inlineStr">
        <is>
          <t>6 Years</t>
        </is>
      </c>
      <c r="DO23" t="inlineStr">
        <is>
          <t>Wicker</t>
        </is>
      </c>
      <c r="EI23" t="inlineStr">
        <is>
          <t>Corner Block Reinforced</t>
        </is>
      </c>
      <c r="FO23" t="inlineStr">
        <is>
          <t>Does Not Apply</t>
        </is>
      </c>
      <c r="GA23" t="inlineStr">
        <is>
          <t>6 Years</t>
        </is>
      </c>
      <c r="GN23" t="inlineStr">
        <is>
          <t>Sterling Silver</t>
        </is>
      </c>
      <c r="GP23" t="inlineStr">
        <is>
          <t>Corner Block Reinforced</t>
        </is>
      </c>
      <c r="HS23" t="inlineStr">
        <is>
          <t>6 Years</t>
        </is>
      </c>
      <c r="HX23" t="inlineStr">
        <is>
          <t>Split Queen</t>
        </is>
      </c>
      <c r="II23" t="inlineStr">
        <is>
          <t>Corner Block Reinforced</t>
        </is>
      </c>
      <c r="JS23" t="inlineStr">
        <is>
          <t>Does Not Apply</t>
        </is>
      </c>
      <c r="KG23" t="inlineStr">
        <is>
          <t>6 Years</t>
        </is>
      </c>
    </row>
    <row r="24">
      <c r="A24" t="inlineStr">
        <is>
          <t>Lecterns &amp; Podiums</t>
        </is>
      </c>
      <c r="AM24" t="inlineStr">
        <is>
          <t>7 Years</t>
        </is>
      </c>
      <c r="AR24" t="inlineStr">
        <is>
          <t>Korean</t>
        </is>
      </c>
      <c r="AT24" t="inlineStr">
        <is>
          <t>Aldrin</t>
        </is>
      </c>
      <c r="AU24" t="inlineStr">
        <is>
          <t>Austria</t>
        </is>
      </c>
      <c r="AW24" t="inlineStr">
        <is>
          <t>400</t>
        </is>
      </c>
      <c r="AX24" t="inlineStr">
        <is>
          <t>960</t>
        </is>
      </c>
      <c r="BX24" t="inlineStr">
        <is>
          <t>Miter</t>
        </is>
      </c>
      <c r="DF24" t="inlineStr">
        <is>
          <t>78"</t>
        </is>
      </c>
      <c r="DI24" t="inlineStr">
        <is>
          <t>7 Years</t>
        </is>
      </c>
      <c r="DO24" t="inlineStr">
        <is>
          <t>Leather</t>
        </is>
      </c>
      <c r="EI24" t="inlineStr">
        <is>
          <t>Miter</t>
        </is>
      </c>
      <c r="GA24" t="inlineStr">
        <is>
          <t>7 Years</t>
        </is>
      </c>
      <c r="GN24" t="inlineStr">
        <is>
          <t>Resin</t>
        </is>
      </c>
      <c r="GP24" t="inlineStr">
        <is>
          <t>Miter</t>
        </is>
      </c>
      <c r="HS24" t="inlineStr">
        <is>
          <t>7 Years</t>
        </is>
      </c>
      <c r="HX24" t="inlineStr">
        <is>
          <t>Split Top King</t>
        </is>
      </c>
      <c r="II24" t="inlineStr">
        <is>
          <t>Miter</t>
        </is>
      </c>
      <c r="KG24" t="inlineStr">
        <is>
          <t>7 Years</t>
        </is>
      </c>
    </row>
    <row r="25">
      <c r="A25" t="inlineStr">
        <is>
          <t>Desks</t>
        </is>
      </c>
      <c r="AM25" t="inlineStr">
        <is>
          <t>8 Years</t>
        </is>
      </c>
      <c r="AR25" t="inlineStr">
        <is>
          <t>Norwegian (Bokmål)</t>
        </is>
      </c>
      <c r="AT25" t="inlineStr">
        <is>
          <t>All-trans retinoic acid</t>
        </is>
      </c>
      <c r="AU25" t="inlineStr">
        <is>
          <t>Azerbaijan</t>
        </is>
      </c>
      <c r="AW25" t="inlineStr">
        <is>
          <t>500</t>
        </is>
      </c>
      <c r="BX25" t="inlineStr">
        <is>
          <t>Unavailable</t>
        </is>
      </c>
      <c r="DF25" t="inlineStr">
        <is>
          <t>85"</t>
        </is>
      </c>
      <c r="DI25" t="inlineStr">
        <is>
          <t>8 Years</t>
        </is>
      </c>
      <c r="DO25" t="inlineStr">
        <is>
          <t>Vinyl</t>
        </is>
      </c>
      <c r="EI25" t="inlineStr">
        <is>
          <t>Unavailable</t>
        </is>
      </c>
      <c r="GA25" t="inlineStr">
        <is>
          <t>8 Years</t>
        </is>
      </c>
      <c r="GN25" t="inlineStr">
        <is>
          <t>Silver Plated</t>
        </is>
      </c>
      <c r="GP25" t="inlineStr">
        <is>
          <t>Unavailable</t>
        </is>
      </c>
      <c r="HS25" t="inlineStr">
        <is>
          <t>8 Years</t>
        </is>
      </c>
      <c r="HX25" t="inlineStr">
        <is>
          <t>Split Top Queen</t>
        </is>
      </c>
      <c r="II25" t="inlineStr">
        <is>
          <t>Unavailable</t>
        </is>
      </c>
      <c r="KG25" t="inlineStr">
        <is>
          <t>8 Years</t>
        </is>
      </c>
    </row>
    <row r="26">
      <c r="A26" t="inlineStr">
        <is>
          <t>Literature Racks</t>
        </is>
      </c>
      <c r="AM26" t="inlineStr">
        <is>
          <t>9 Years</t>
        </is>
      </c>
      <c r="AR26" t="inlineStr">
        <is>
          <t>Dutch</t>
        </is>
      </c>
      <c r="AT26" t="inlineStr">
        <is>
          <t>Aloe Vera, non-decolorized whole leaf extract</t>
        </is>
      </c>
      <c r="AU26" t="inlineStr">
        <is>
          <t>Bahamas</t>
        </is>
      </c>
      <c r="BX26" t="inlineStr">
        <is>
          <t>Does Not Apply</t>
        </is>
      </c>
      <c r="DF26" t="inlineStr">
        <is>
          <t>77"</t>
        </is>
      </c>
      <c r="DI26" t="inlineStr">
        <is>
          <t>9 Years</t>
        </is>
      </c>
      <c r="DO26" t="inlineStr">
        <is>
          <t>Foam</t>
        </is>
      </c>
      <c r="EI26" t="inlineStr">
        <is>
          <t>Does Not Apply</t>
        </is>
      </c>
      <c r="GA26" t="inlineStr">
        <is>
          <t>9 Years</t>
        </is>
      </c>
      <c r="GN26" t="inlineStr">
        <is>
          <t>Rubber</t>
        </is>
      </c>
      <c r="GP26" t="inlineStr">
        <is>
          <t>Does Not Apply</t>
        </is>
      </c>
      <c r="HS26" t="inlineStr">
        <is>
          <t>9 Years</t>
        </is>
      </c>
      <c r="II26" t="inlineStr">
        <is>
          <t>Does Not Apply</t>
        </is>
      </c>
      <c r="KG26" t="inlineStr">
        <is>
          <t>9 Years</t>
        </is>
      </c>
    </row>
    <row r="27">
      <c r="A27" t="inlineStr">
        <is>
          <t>Filing Cabinets</t>
        </is>
      </c>
      <c r="AM27" t="inlineStr">
        <is>
          <t>12 Years</t>
        </is>
      </c>
      <c r="AR27" t="inlineStr">
        <is>
          <t>Polish</t>
        </is>
      </c>
      <c r="AT27" t="inlineStr">
        <is>
          <t>Alprazolam</t>
        </is>
      </c>
      <c r="AU27" t="inlineStr">
        <is>
          <t>Bahrain</t>
        </is>
      </c>
      <c r="DI27" t="inlineStr">
        <is>
          <t>12 Years</t>
        </is>
      </c>
      <c r="DO27" t="inlineStr">
        <is>
          <t>Kiln Dried Hardwood</t>
        </is>
      </c>
      <c r="GA27" t="inlineStr">
        <is>
          <t>12 Years</t>
        </is>
      </c>
      <c r="GN27" t="inlineStr">
        <is>
          <t>Stainless Steel</t>
        </is>
      </c>
      <c r="HS27" t="inlineStr">
        <is>
          <t>12 Years</t>
        </is>
      </c>
      <c r="KG27" t="inlineStr">
        <is>
          <t>12 Years</t>
        </is>
      </c>
    </row>
    <row r="28">
      <c r="A28" t="inlineStr">
        <is>
          <t>Bookcases</t>
        </is>
      </c>
      <c r="AM28" t="inlineStr">
        <is>
          <t>11 Years</t>
        </is>
      </c>
      <c r="AR28" t="inlineStr">
        <is>
          <t>Portuguese</t>
        </is>
      </c>
      <c r="AT28" t="inlineStr">
        <is>
          <t>Amantadine hydrochloride</t>
        </is>
      </c>
      <c r="AU28" t="inlineStr">
        <is>
          <t>Bangladesh</t>
        </is>
      </c>
      <c r="DI28" t="inlineStr">
        <is>
          <t>11 Years</t>
        </is>
      </c>
      <c r="DO28" t="inlineStr">
        <is>
          <t>Stainless Steel</t>
        </is>
      </c>
      <c r="GA28" t="inlineStr">
        <is>
          <t>11 Years</t>
        </is>
      </c>
      <c r="GN28" t="inlineStr">
        <is>
          <t>Pewter</t>
        </is>
      </c>
      <c r="HS28" t="inlineStr">
        <is>
          <t>11 Years</t>
        </is>
      </c>
      <c r="KG28" t="inlineStr">
        <is>
          <t>11 Years</t>
        </is>
      </c>
    </row>
    <row r="29">
      <c r="A29" t="inlineStr">
        <is>
          <t>Classroom Chairs</t>
        </is>
      </c>
      <c r="AM29" t="inlineStr">
        <is>
          <t>13 Years</t>
        </is>
      </c>
      <c r="AR29" t="inlineStr">
        <is>
          <t>Romanian</t>
        </is>
      </c>
      <c r="AT29" t="inlineStr">
        <is>
          <t>Amikacin sulfate</t>
        </is>
      </c>
      <c r="AU29" t="inlineStr">
        <is>
          <t>Barbados</t>
        </is>
      </c>
      <c r="DI29" t="inlineStr">
        <is>
          <t>13 Years</t>
        </is>
      </c>
      <c r="DO29" t="inlineStr">
        <is>
          <t>Rubber</t>
        </is>
      </c>
      <c r="GA29" t="inlineStr">
        <is>
          <t>13 Years</t>
        </is>
      </c>
      <c r="GN29" t="inlineStr">
        <is>
          <t>No Handles</t>
        </is>
      </c>
      <c r="HS29" t="inlineStr">
        <is>
          <t>13 Years</t>
        </is>
      </c>
      <c r="KG29" t="inlineStr">
        <is>
          <t>13 Years</t>
        </is>
      </c>
    </row>
    <row r="30">
      <c r="A30" t="inlineStr">
        <is>
          <t>Wall &amp; Accent Mirrors</t>
        </is>
      </c>
      <c r="AM30" t="inlineStr">
        <is>
          <t>14 Years</t>
        </is>
      </c>
      <c r="AR30" t="inlineStr">
        <is>
          <t>Russian</t>
        </is>
      </c>
      <c r="AT30" t="inlineStr">
        <is>
          <t>2-Aminoanthraquinone</t>
        </is>
      </c>
      <c r="AU30" t="inlineStr">
        <is>
          <t>Belarus</t>
        </is>
      </c>
      <c r="DI30" t="inlineStr">
        <is>
          <t>14 Years</t>
        </is>
      </c>
      <c r="DO30" t="inlineStr">
        <is>
          <t>Plywood</t>
        </is>
      </c>
      <c r="GA30" t="inlineStr">
        <is>
          <t>14 Years</t>
        </is>
      </c>
      <c r="GN30" t="inlineStr">
        <is>
          <t>Steel</t>
        </is>
      </c>
      <c r="HS30" t="inlineStr">
        <is>
          <t>14 Years</t>
        </is>
      </c>
      <c r="KG30" t="inlineStr">
        <is>
          <t>14 Years</t>
        </is>
      </c>
    </row>
    <row r="31">
      <c r="A31" t="inlineStr">
        <is>
          <t>Office Stools</t>
        </is>
      </c>
      <c r="AM31" t="inlineStr">
        <is>
          <t>No Commercial Warranty</t>
        </is>
      </c>
      <c r="AR31" t="inlineStr">
        <is>
          <t>Slovak</t>
        </is>
      </c>
      <c r="AT31" t="inlineStr">
        <is>
          <t>p-Aminoazobenzene</t>
        </is>
      </c>
      <c r="AU31" t="inlineStr">
        <is>
          <t>Belgium</t>
        </is>
      </c>
      <c r="DI31" t="inlineStr">
        <is>
          <t>No Commercial Warranty</t>
        </is>
      </c>
      <c r="DO31" t="inlineStr">
        <is>
          <t>Ceramic</t>
        </is>
      </c>
      <c r="GA31" t="inlineStr">
        <is>
          <t>No Commercial Warranty</t>
        </is>
      </c>
      <c r="GN31" t="inlineStr">
        <is>
          <t>Unavailable</t>
        </is>
      </c>
      <c r="HS31" t="inlineStr">
        <is>
          <t>No Commercial Warranty</t>
        </is>
      </c>
      <c r="KG31" t="inlineStr">
        <is>
          <t>No Commercial Warranty</t>
        </is>
      </c>
    </row>
    <row r="32">
      <c r="A32" t="inlineStr">
        <is>
          <t>Office Sets</t>
        </is>
      </c>
      <c r="AM32" t="inlineStr">
        <is>
          <t>Does Not Apply</t>
        </is>
      </c>
      <c r="AR32" t="inlineStr">
        <is>
          <t>Swedish</t>
        </is>
      </c>
      <c r="AT32" t="inlineStr">
        <is>
          <t>o-Aminoazotoluene</t>
        </is>
      </c>
      <c r="AU32" t="inlineStr">
        <is>
          <t>Belize</t>
        </is>
      </c>
      <c r="DI32" t="inlineStr">
        <is>
          <t>Does Not Apply</t>
        </is>
      </c>
      <c r="DO32" t="inlineStr">
        <is>
          <t>Brass</t>
        </is>
      </c>
      <c r="GA32" t="inlineStr">
        <is>
          <t>Does Not Apply</t>
        </is>
      </c>
      <c r="GN32" t="inlineStr">
        <is>
          <t>Does Not Apply</t>
        </is>
      </c>
      <c r="HS32" t="inlineStr">
        <is>
          <t>Does Not Apply</t>
        </is>
      </c>
      <c r="KG32" t="inlineStr">
        <is>
          <t>Does Not Apply</t>
        </is>
      </c>
    </row>
    <row r="33">
      <c r="A33" t="inlineStr">
        <is>
          <t>Stackable &amp; Nesting Chairs</t>
        </is>
      </c>
      <c r="AR33" t="inlineStr">
        <is>
          <t>Ukrainian</t>
        </is>
      </c>
      <c r="AT33" t="inlineStr">
        <is>
          <t>4-Aminobiphenyl (4-aminodiphenyl)</t>
        </is>
      </c>
      <c r="AU33" t="inlineStr">
        <is>
          <t>Benin</t>
        </is>
      </c>
      <c r="DO33" t="inlineStr">
        <is>
          <t>Fabric</t>
        </is>
      </c>
    </row>
    <row r="34">
      <c r="A34" t="inlineStr">
        <is>
          <t>Futon Mattresses</t>
        </is>
      </c>
      <c r="AR34" t="inlineStr">
        <is>
          <t>Vietnamese</t>
        </is>
      </c>
      <c r="AT34" t="inlineStr">
        <is>
          <t>1-Amino-2,4-dibromoanthraquinone</t>
        </is>
      </c>
      <c r="AU34" t="inlineStr">
        <is>
          <t>Bermuda</t>
        </is>
      </c>
      <c r="DO34" t="inlineStr">
        <is>
          <t>Concrete</t>
        </is>
      </c>
    </row>
    <row r="35">
      <c r="A35" t="inlineStr">
        <is>
          <t>Pot Racks</t>
        </is>
      </c>
      <c r="AR35" t="inlineStr">
        <is>
          <t>Chinese (S)</t>
        </is>
      </c>
      <c r="AT35" t="inlineStr">
        <is>
          <t>3-Amino-9-ethylcarbazole hydrochloride</t>
        </is>
      </c>
      <c r="AU35" t="inlineStr">
        <is>
          <t>Bhutan</t>
        </is>
      </c>
      <c r="DO35" t="inlineStr">
        <is>
          <t>Particle Board</t>
        </is>
      </c>
    </row>
    <row r="36">
      <c r="A36" t="inlineStr">
        <is>
          <t>Plant Stands &amp; Tables</t>
        </is>
      </c>
      <c r="AR36" t="inlineStr">
        <is>
          <t>Chinese (T)</t>
        </is>
      </c>
      <c r="AT36" t="inlineStr">
        <is>
          <t>2-Aminofluorene</t>
        </is>
      </c>
      <c r="AU36" t="inlineStr">
        <is>
          <t>Bolivia</t>
        </is>
      </c>
      <c r="DO36" t="inlineStr">
        <is>
          <t>Fiberglass</t>
        </is>
      </c>
    </row>
    <row r="37">
      <c r="A37" t="inlineStr">
        <is>
          <t>Accent Chairs</t>
        </is>
      </c>
      <c r="AT37" t="inlineStr">
        <is>
          <t>Aminoglutethimide</t>
        </is>
      </c>
      <c r="AU37" t="inlineStr">
        <is>
          <t>Bosnia and Herzegovina</t>
        </is>
      </c>
      <c r="DO37" t="inlineStr">
        <is>
          <t>Resin</t>
        </is>
      </c>
    </row>
    <row r="38">
      <c r="A38" t="inlineStr">
        <is>
          <t>Kitchen Islands</t>
        </is>
      </c>
      <c r="AT38" t="inlineStr">
        <is>
          <t>Aminoglycosides</t>
        </is>
      </c>
      <c r="AU38" t="inlineStr">
        <is>
          <t>Botswana</t>
        </is>
      </c>
      <c r="DO38" t="inlineStr">
        <is>
          <t>Faux Leather</t>
        </is>
      </c>
    </row>
    <row r="39">
      <c r="A39" t="inlineStr">
        <is>
          <t>Baker's Racks</t>
        </is>
      </c>
      <c r="AT39" t="inlineStr">
        <is>
          <t>1-Amino-2-methylanthraquinone</t>
        </is>
      </c>
      <c r="AU39" t="inlineStr">
        <is>
          <t>Bouvet Island</t>
        </is>
      </c>
      <c r="DO39" t="inlineStr">
        <is>
          <t>Cardboard</t>
        </is>
      </c>
    </row>
    <row r="40">
      <c r="A40" t="inlineStr">
        <is>
          <t>Wine Racks</t>
        </is>
      </c>
      <c r="AT40" t="inlineStr">
        <is>
          <t>2-Amino-5-(5-nitro-2-furyl)-1,3,4-thiadiazole</t>
        </is>
      </c>
      <c r="AU40" t="inlineStr">
        <is>
          <t>Brazil</t>
        </is>
      </c>
      <c r="DO40" t="inlineStr">
        <is>
          <t>Genuine Marble</t>
        </is>
      </c>
    </row>
    <row r="41">
      <c r="A41" t="inlineStr">
        <is>
          <t>Bar Stools</t>
        </is>
      </c>
      <c r="AT41" t="inlineStr">
        <is>
          <t>4-Amino-2-nitrophenol</t>
        </is>
      </c>
      <c r="AU41" t="inlineStr">
        <is>
          <t>British Indian Ocean Territory</t>
        </is>
      </c>
      <c r="DO41" t="inlineStr">
        <is>
          <t>High-Density Polyethylene (HDPE)</t>
        </is>
      </c>
    </row>
    <row r="42">
      <c r="A42" t="inlineStr">
        <is>
          <t>Mantel &amp; Tabletop Clocks</t>
        </is>
      </c>
      <c r="AT42" t="inlineStr">
        <is>
          <t>Aminopterin</t>
        </is>
      </c>
      <c r="AU42" t="inlineStr">
        <is>
          <t>Brunei Darussalam</t>
        </is>
      </c>
      <c r="DO42" t="inlineStr">
        <is>
          <t>Stone</t>
        </is>
      </c>
    </row>
    <row r="43">
      <c r="A43" t="inlineStr">
        <is>
          <t>Grandfather Clocks / Floor Clocks</t>
        </is>
      </c>
      <c r="AT43" t="inlineStr">
        <is>
          <t>Amiodarone hydrochloride</t>
        </is>
      </c>
      <c r="AU43" t="inlineStr">
        <is>
          <t>Bulgaria</t>
        </is>
      </c>
      <c r="DO43" t="inlineStr">
        <is>
          <t>Rope</t>
        </is>
      </c>
    </row>
    <row r="44">
      <c r="A44" t="inlineStr">
        <is>
          <t>Conference Tables</t>
        </is>
      </c>
      <c r="AT44" t="inlineStr">
        <is>
          <t>Amitraz</t>
        </is>
      </c>
      <c r="AU44" t="inlineStr">
        <is>
          <t>Burkina Faso</t>
        </is>
      </c>
      <c r="DO44" t="inlineStr">
        <is>
          <t>Bamboo / Rattan</t>
        </is>
      </c>
    </row>
    <row r="45">
      <c r="A45" t="inlineStr">
        <is>
          <t>Folding Tables</t>
        </is>
      </c>
      <c r="AT45" t="inlineStr">
        <is>
          <t>Amitrole</t>
        </is>
      </c>
      <c r="AU45" t="inlineStr">
        <is>
          <t>Burundi</t>
        </is>
      </c>
      <c r="DO45" t="inlineStr">
        <is>
          <t>Woven Palm</t>
        </is>
      </c>
    </row>
    <row r="46">
      <c r="A46" t="inlineStr">
        <is>
          <t>Coat Racks and Hooks</t>
        </is>
      </c>
      <c r="AT46" t="inlineStr">
        <is>
          <t>Amoxapine</t>
        </is>
      </c>
      <c r="AU46" t="inlineStr">
        <is>
          <t>Cambodia</t>
        </is>
      </c>
      <c r="DO46" t="inlineStr">
        <is>
          <t>Zinc</t>
        </is>
      </c>
    </row>
    <row r="47">
      <c r="A47" t="inlineStr">
        <is>
          <t>Cafeteria Tables</t>
        </is>
      </c>
      <c r="AT47" t="inlineStr">
        <is>
          <t>Amsacrine</t>
        </is>
      </c>
      <c r="AU47" t="inlineStr">
        <is>
          <t>Cameroon</t>
        </is>
      </c>
      <c r="DO47" t="inlineStr">
        <is>
          <t>Wrought Iron</t>
        </is>
      </c>
    </row>
    <row r="48">
      <c r="A48" t="inlineStr">
        <is>
          <t>Bars &amp; Bar Sets</t>
        </is>
      </c>
      <c r="AT48" t="inlineStr">
        <is>
          <t>Analgesic mixtures containing Phenacetin</t>
        </is>
      </c>
      <c r="AU48" t="inlineStr">
        <is>
          <t>Cape Verde</t>
        </is>
      </c>
      <c r="DO48" t="inlineStr">
        <is>
          <t>Powder Coated Steel</t>
        </is>
      </c>
    </row>
    <row r="49">
      <c r="A49" t="inlineStr">
        <is>
          <t>Electric &amp; Alternative Fuel Fireplaces</t>
        </is>
      </c>
      <c r="AT49" t="inlineStr">
        <is>
          <t>Androstenedione</t>
        </is>
      </c>
      <c r="AU49" t="inlineStr">
        <is>
          <t>Cayman Islands</t>
        </is>
      </c>
      <c r="DO49" t="inlineStr">
        <is>
          <t>Carpet</t>
        </is>
      </c>
    </row>
    <row r="50">
      <c r="A50" t="inlineStr">
        <is>
          <t>Portable Tool Storage</t>
        </is>
      </c>
      <c r="AT50" t="inlineStr">
        <is>
          <t>Angiotensin converting enzyme  (ACE) inhibitors</t>
        </is>
      </c>
      <c r="AU50" t="inlineStr">
        <is>
          <t>Central African Republic</t>
        </is>
      </c>
      <c r="DO50" t="inlineStr">
        <is>
          <t>Chrome</t>
        </is>
      </c>
    </row>
    <row r="51">
      <c r="A51" t="inlineStr">
        <is>
          <t>Patio Tables</t>
        </is>
      </c>
      <c r="AT51" t="inlineStr">
        <is>
          <t>Aniline</t>
        </is>
      </c>
      <c r="AU51" t="inlineStr">
        <is>
          <t>Chad</t>
        </is>
      </c>
      <c r="DO51" t="inlineStr">
        <is>
          <t>Powder Coated Aluminum</t>
        </is>
      </c>
    </row>
    <row r="52">
      <c r="A52" t="inlineStr">
        <is>
          <t>Projector Screens and Accessories</t>
        </is>
      </c>
      <c r="AT52" t="inlineStr">
        <is>
          <t>Aniline hydrochloride</t>
        </is>
      </c>
      <c r="AU52" t="inlineStr">
        <is>
          <t>Chile</t>
        </is>
      </c>
      <c r="DO52" t="inlineStr">
        <is>
          <t>Copper</t>
        </is>
      </c>
    </row>
    <row r="53">
      <c r="A53" t="inlineStr">
        <is>
          <t>Specialty Filing &amp; Filing Accessories</t>
        </is>
      </c>
      <c r="AT53" t="inlineStr">
        <is>
          <t>o-Anisidine</t>
        </is>
      </c>
      <c r="AU53" t="inlineStr">
        <is>
          <t>China</t>
        </is>
      </c>
      <c r="DO53" t="inlineStr">
        <is>
          <t>Canvas</t>
        </is>
      </c>
    </row>
    <row r="54">
      <c r="A54" t="inlineStr">
        <is>
          <t>Safes</t>
        </is>
      </c>
      <c r="AT54" t="inlineStr">
        <is>
          <t>o-Anisidine hydrochloride</t>
        </is>
      </c>
      <c r="AU54" t="inlineStr">
        <is>
          <t>Christmas Island</t>
        </is>
      </c>
      <c r="DO54" t="inlineStr">
        <is>
          <t>Wicker / Rattan</t>
        </is>
      </c>
    </row>
    <row r="55">
      <c r="A55" t="inlineStr">
        <is>
          <t>Office Storage Cabinets</t>
        </is>
      </c>
      <c r="AT55" t="inlineStr">
        <is>
          <t>Anisindione</t>
        </is>
      </c>
      <c r="AU55" t="inlineStr">
        <is>
          <t>Cocos (Keeling) Islands</t>
        </is>
      </c>
      <c r="DO55" t="inlineStr">
        <is>
          <t>Cork</t>
        </is>
      </c>
    </row>
    <row r="56">
      <c r="A56" t="inlineStr">
        <is>
          <t>Patio Sofas</t>
        </is>
      </c>
      <c r="AT56" t="inlineStr">
        <is>
          <t>Anthraquinone</t>
        </is>
      </c>
      <c r="AU56" t="inlineStr">
        <is>
          <t>Colombia</t>
        </is>
      </c>
      <c r="DO56" t="inlineStr">
        <is>
          <t>Bone</t>
        </is>
      </c>
    </row>
    <row r="57">
      <c r="A57" t="inlineStr">
        <is>
          <t>Patio Chaise Lounges</t>
        </is>
      </c>
      <c r="AT57" t="inlineStr">
        <is>
          <t>Antimony oxide (Antimony trioxide)</t>
        </is>
      </c>
      <c r="AU57" t="inlineStr">
        <is>
          <t>Comoros</t>
        </is>
      </c>
      <c r="DO57" t="inlineStr">
        <is>
          <t>Seagrass</t>
        </is>
      </c>
    </row>
    <row r="58">
      <c r="A58" t="inlineStr">
        <is>
          <t>Patio Umbrellas</t>
        </is>
      </c>
      <c r="AT58" t="inlineStr">
        <is>
          <t>Aramite</t>
        </is>
      </c>
      <c r="AU58" t="inlineStr">
        <is>
          <t>Congo</t>
        </is>
      </c>
      <c r="DO58" t="inlineStr">
        <is>
          <t>Rattan</t>
        </is>
      </c>
    </row>
    <row r="59">
      <c r="A59" t="inlineStr">
        <is>
          <t>Patio Dining Sets</t>
        </is>
      </c>
      <c r="AT59" t="inlineStr">
        <is>
          <t>Areca nut</t>
        </is>
      </c>
      <c r="AU59" t="inlineStr">
        <is>
          <t>Congo, The Democratic Republic of the</t>
        </is>
      </c>
      <c r="DO59" t="inlineStr">
        <is>
          <t>Galvanized Steel</t>
        </is>
      </c>
    </row>
    <row r="60">
      <c r="A60" t="inlineStr">
        <is>
          <t>Outdoor Conversation Sets</t>
        </is>
      </c>
      <c r="AT60" t="inlineStr">
        <is>
          <t>Aristolochic acids</t>
        </is>
      </c>
      <c r="AU60" t="inlineStr">
        <is>
          <t>Cook Islands</t>
        </is>
      </c>
      <c r="DO60" t="inlineStr">
        <is>
          <t>Reclaimed Wood</t>
        </is>
      </c>
    </row>
    <row r="61">
      <c r="A61" t="inlineStr">
        <is>
          <t>Shelving &amp; Racks</t>
        </is>
      </c>
      <c r="AT61" t="inlineStr">
        <is>
          <t>Arsenic (inorganic arsenic compounds)</t>
        </is>
      </c>
      <c r="AU61" t="inlineStr">
        <is>
          <t>Costa Rica</t>
        </is>
      </c>
      <c r="DO61" t="inlineStr">
        <is>
          <t>Unavailable</t>
        </is>
      </c>
    </row>
    <row r="62">
      <c r="A62" t="inlineStr">
        <is>
          <t>Tool Cabinets</t>
        </is>
      </c>
      <c r="AT62" t="inlineStr">
        <is>
          <t>Arsenic (inorganic oxides)</t>
        </is>
      </c>
      <c r="AU62" t="inlineStr">
        <is>
          <t>Côte D'Ivoire</t>
        </is>
      </c>
      <c r="DO62" t="inlineStr">
        <is>
          <t>Does Not Apply</t>
        </is>
      </c>
    </row>
    <row r="63">
      <c r="A63" t="inlineStr">
        <is>
          <t>Dining Table Sets</t>
        </is>
      </c>
      <c r="AT63" t="inlineStr">
        <is>
          <t>Asbestos</t>
        </is>
      </c>
      <c r="AU63" t="inlineStr">
        <is>
          <t>Croatia</t>
        </is>
      </c>
    </row>
    <row r="64">
      <c r="A64" t="inlineStr">
        <is>
          <t>Dining Tables</t>
        </is>
      </c>
      <c r="AT64" t="inlineStr">
        <is>
          <t>Aspirin (NOTE: It is especially important not to use aspirin during the last three months of pregnancy, unless specifically directed to do so by a physician because it may cause problems in the unborn child or complications during delivery.)</t>
        </is>
      </c>
      <c r="AU64" t="inlineStr">
        <is>
          <t>Cuba</t>
        </is>
      </c>
    </row>
    <row r="65">
      <c r="A65" t="inlineStr">
        <is>
          <t>Vanities</t>
        </is>
      </c>
      <c r="AT65" t="inlineStr">
        <is>
          <t>Atenolol</t>
        </is>
      </c>
      <c r="AU65" t="inlineStr">
        <is>
          <t>Cyprus</t>
        </is>
      </c>
    </row>
    <row r="66">
      <c r="A66" t="inlineStr">
        <is>
          <t>Bean Bags</t>
        </is>
      </c>
      <c r="AT66" t="inlineStr">
        <is>
          <t>Atrazine</t>
        </is>
      </c>
      <c r="AU66" t="inlineStr">
        <is>
          <t>Czech Republic</t>
        </is>
      </c>
    </row>
    <row r="67">
      <c r="A67" t="inlineStr">
        <is>
          <t>Accent Chests / Cabinets</t>
        </is>
      </c>
      <c r="AT67" t="inlineStr">
        <is>
          <t>Auramine</t>
        </is>
      </c>
      <c r="AU67" t="inlineStr">
        <is>
          <t>Denmark</t>
        </is>
      </c>
    </row>
    <row r="68">
      <c r="A68" t="inlineStr">
        <is>
          <t>Classic Game Tables &amp; Puzzle Tables</t>
        </is>
      </c>
      <c r="AT68" t="inlineStr">
        <is>
          <t>Auranofin</t>
        </is>
      </c>
      <c r="AU68" t="inlineStr">
        <is>
          <t>Djibouti</t>
        </is>
      </c>
    </row>
    <row r="69">
      <c r="A69" t="inlineStr">
        <is>
          <t>Sideboards &amp; Buffets</t>
        </is>
      </c>
      <c r="AT69" t="inlineStr">
        <is>
          <t>Avermectin B1 (Abamectin)</t>
        </is>
      </c>
      <c r="AU69" t="inlineStr">
        <is>
          <t>Dominica</t>
        </is>
      </c>
    </row>
    <row r="70">
      <c r="A70" t="inlineStr">
        <is>
          <t>Hammocks</t>
        </is>
      </c>
      <c r="AT70" t="inlineStr">
        <is>
          <t>Azacitidine</t>
        </is>
      </c>
      <c r="AU70" t="inlineStr">
        <is>
          <t>Dominican Republic</t>
        </is>
      </c>
    </row>
    <row r="71">
      <c r="A71" t="inlineStr">
        <is>
          <t>Area Rugs</t>
        </is>
      </c>
      <c r="AT71" t="inlineStr">
        <is>
          <t>Azaserine</t>
        </is>
      </c>
      <c r="AU71" t="inlineStr">
        <is>
          <t>Ecuador</t>
        </is>
      </c>
    </row>
    <row r="72">
      <c r="A72" t="inlineStr">
        <is>
          <t>Dining Chairs</t>
        </is>
      </c>
      <c r="AT72" t="inlineStr">
        <is>
          <t>Azathioprine</t>
        </is>
      </c>
      <c r="AU72" t="inlineStr">
        <is>
          <t>Egypt</t>
        </is>
      </c>
    </row>
    <row r="73">
      <c r="A73" t="inlineStr">
        <is>
          <t>China Cabinets</t>
        </is>
      </c>
      <c r="AT73" t="inlineStr">
        <is>
          <t>Azobenzene</t>
        </is>
      </c>
      <c r="AU73" t="inlineStr">
        <is>
          <t>El Salvador</t>
        </is>
      </c>
    </row>
    <row r="74">
      <c r="A74" t="inlineStr">
        <is>
          <t>Hall Trees</t>
        </is>
      </c>
      <c r="AT74" t="inlineStr">
        <is>
          <t>Barbiturates</t>
        </is>
      </c>
      <c r="AU74" t="inlineStr">
        <is>
          <t>Equatorial Guinea</t>
        </is>
      </c>
    </row>
    <row r="75">
      <c r="A75" t="inlineStr">
        <is>
          <t>Porch Swings</t>
        </is>
      </c>
      <c r="AT75" t="inlineStr">
        <is>
          <t>Beclomethasone dipropionate</t>
        </is>
      </c>
      <c r="AU75" t="inlineStr">
        <is>
          <t>Eritrea</t>
        </is>
      </c>
    </row>
    <row r="76">
      <c r="A76" t="inlineStr">
        <is>
          <t>Jewelry Armoires</t>
        </is>
      </c>
      <c r="AT76" t="inlineStr">
        <is>
          <t>Benomyl</t>
        </is>
      </c>
      <c r="AU76" t="inlineStr">
        <is>
          <t>Estonia</t>
        </is>
      </c>
    </row>
    <row r="77">
      <c r="A77" t="inlineStr">
        <is>
          <t>Fountains</t>
        </is>
      </c>
      <c r="AT77" t="inlineStr">
        <is>
          <t>Benthiavalicarb-isopropyl</t>
        </is>
      </c>
      <c r="AU77" t="inlineStr">
        <is>
          <t>Ethiopia</t>
        </is>
      </c>
    </row>
    <row r="78">
      <c r="A78" t="inlineStr">
        <is>
          <t>Lighting Shades</t>
        </is>
      </c>
      <c r="AT78" t="inlineStr">
        <is>
          <t>Benz[a]anthracene</t>
        </is>
      </c>
      <c r="AU78" t="inlineStr">
        <is>
          <t>Falkland Islands (Malvinas)</t>
        </is>
      </c>
    </row>
    <row r="79">
      <c r="A79" t="inlineStr">
        <is>
          <t>Fireplace Accessories</t>
        </is>
      </c>
      <c r="AT79" t="inlineStr">
        <is>
          <t>Benzene</t>
        </is>
      </c>
      <c r="AU79" t="inlineStr">
        <is>
          <t>Faroe Islands</t>
        </is>
      </c>
    </row>
    <row r="80">
      <c r="A80" t="inlineStr">
        <is>
          <t>Blanket Racks &amp; Ladders</t>
        </is>
      </c>
      <c r="AT80" t="inlineStr">
        <is>
          <t>Benzidine [and its salts]</t>
        </is>
      </c>
      <c r="AU80" t="inlineStr">
        <is>
          <t>Fiji</t>
        </is>
      </c>
    </row>
    <row r="81">
      <c r="A81" t="inlineStr">
        <is>
          <t>TV Trays</t>
        </is>
      </c>
      <c r="AT81" t="inlineStr">
        <is>
          <t>Benzidine-based dyes</t>
        </is>
      </c>
      <c r="AU81" t="inlineStr">
        <is>
          <t>Finland</t>
        </is>
      </c>
    </row>
    <row r="82">
      <c r="A82" t="inlineStr">
        <is>
          <t>Cutting Boards</t>
        </is>
      </c>
      <c r="AT82" t="inlineStr">
        <is>
          <t>Benzodiazepines</t>
        </is>
      </c>
      <c r="AU82" t="inlineStr">
        <is>
          <t>France</t>
        </is>
      </c>
    </row>
    <row r="83">
      <c r="A83" t="inlineStr">
        <is>
          <t>Rug Pads</t>
        </is>
      </c>
      <c r="AT83" t="inlineStr">
        <is>
          <t>Benzo[b]fluoranthene</t>
        </is>
      </c>
      <c r="AU83" t="inlineStr">
        <is>
          <t>French Guiana</t>
        </is>
      </c>
    </row>
    <row r="84">
      <c r="A84" t="inlineStr">
        <is>
          <t>Folding Chairs</t>
        </is>
      </c>
      <c r="AT84" t="inlineStr">
        <is>
          <t>Benzo[j]fluoranthene</t>
        </is>
      </c>
      <c r="AU84" t="inlineStr">
        <is>
          <t>French Polynesia</t>
        </is>
      </c>
    </row>
    <row r="85">
      <c r="A85" t="inlineStr">
        <is>
          <t>Night Lights</t>
        </is>
      </c>
      <c r="AT85" t="inlineStr">
        <is>
          <t>Benzo[k]fluoranthene</t>
        </is>
      </c>
      <c r="AU85" t="inlineStr">
        <is>
          <t>French Southern Territories</t>
        </is>
      </c>
    </row>
    <row r="86">
      <c r="A86" t="inlineStr">
        <is>
          <t>Changing Tables</t>
        </is>
      </c>
      <c r="AT86" t="inlineStr">
        <is>
          <t>Benzofuran</t>
        </is>
      </c>
      <c r="AU86" t="inlineStr">
        <is>
          <t>Gabon</t>
        </is>
      </c>
    </row>
    <row r="87">
      <c r="A87" t="inlineStr">
        <is>
          <t>Dollies</t>
        </is>
      </c>
      <c r="AT87" t="inlineStr">
        <is>
          <t>Benzophenone</t>
        </is>
      </c>
      <c r="AU87" t="inlineStr">
        <is>
          <t>Gambia</t>
        </is>
      </c>
    </row>
    <row r="88">
      <c r="A88" t="inlineStr">
        <is>
          <t>Patio Bar Sets</t>
        </is>
      </c>
      <c r="AT88" t="inlineStr">
        <is>
          <t>Benzo[a]pyrene</t>
        </is>
      </c>
      <c r="AU88" t="inlineStr">
        <is>
          <t>Georgia</t>
        </is>
      </c>
    </row>
    <row r="89">
      <c r="A89" t="inlineStr">
        <is>
          <t>Ceiling Fans</t>
        </is>
      </c>
      <c r="AT89" t="inlineStr">
        <is>
          <t>Benzotrichloride</t>
        </is>
      </c>
      <c r="AU89" t="inlineStr">
        <is>
          <t>Germany</t>
        </is>
      </c>
    </row>
    <row r="90">
      <c r="A90" t="inlineStr">
        <is>
          <t>Patio Umbrella Accessories</t>
        </is>
      </c>
      <c r="AT90" t="inlineStr">
        <is>
          <t>Benzphetamine hydrochloride</t>
        </is>
      </c>
      <c r="AU90" t="inlineStr">
        <is>
          <t>Ghana</t>
        </is>
      </c>
    </row>
    <row r="91">
      <c r="A91" t="inlineStr">
        <is>
          <t>Gliders</t>
        </is>
      </c>
      <c r="AT91" t="inlineStr">
        <is>
          <t>Benzyl chloride</t>
        </is>
      </c>
      <c r="AU91" t="inlineStr">
        <is>
          <t>Gibraltar</t>
        </is>
      </c>
    </row>
    <row r="92">
      <c r="A92" t="inlineStr">
        <is>
          <t>Mattress Toppers and Pads</t>
        </is>
      </c>
      <c r="AT92" t="inlineStr">
        <is>
          <t>Benzyl violet 4B</t>
        </is>
      </c>
      <c r="AU92" t="inlineStr">
        <is>
          <t>Greece</t>
        </is>
      </c>
    </row>
    <row r="93">
      <c r="A93" t="inlineStr">
        <is>
          <t>TV Stand Accessories</t>
        </is>
      </c>
      <c r="AT93" t="inlineStr">
        <is>
          <t>Beryllium and beryllium compounds</t>
        </is>
      </c>
      <c r="AU93" t="inlineStr">
        <is>
          <t>Greenland</t>
        </is>
      </c>
    </row>
    <row r="94">
      <c r="A94" t="inlineStr">
        <is>
          <t>Furniture Covers</t>
        </is>
      </c>
      <c r="AT94" t="inlineStr">
        <is>
          <t>Betel quid with tobacco</t>
        </is>
      </c>
      <c r="AU94" t="inlineStr">
        <is>
          <t>Grenada</t>
        </is>
      </c>
    </row>
    <row r="95">
      <c r="A95" t="inlineStr">
        <is>
          <t>Mount Accessories</t>
        </is>
      </c>
      <c r="AT95" t="inlineStr">
        <is>
          <t>Betel quid without tobacco</t>
        </is>
      </c>
      <c r="AU95" t="inlineStr">
        <is>
          <t>Guadeloupe</t>
        </is>
      </c>
    </row>
    <row r="96">
      <c r="A96" t="inlineStr">
        <is>
          <t>Room Dividers</t>
        </is>
      </c>
      <c r="AT96" t="inlineStr">
        <is>
          <t>2,2-Bis(bromomethyl)-1,3-propanediol</t>
        </is>
      </c>
      <c r="AU96" t="inlineStr">
        <is>
          <t>Guam</t>
        </is>
      </c>
    </row>
    <row r="97">
      <c r="A97" t="inlineStr">
        <is>
          <t>Bird Baths</t>
        </is>
      </c>
      <c r="AT97" t="inlineStr">
        <is>
          <t>Bis(2-chloroethyl)ether</t>
        </is>
      </c>
      <c r="AU97" t="inlineStr">
        <is>
          <t>Guatemala</t>
        </is>
      </c>
    </row>
    <row r="98">
      <c r="A98" t="inlineStr">
        <is>
          <t>Bird Feeders</t>
        </is>
      </c>
      <c r="AT98" t="inlineStr">
        <is>
          <t>N,N-Bis(2-chloroethyl)-2-naphthylamine  (Chlornapazine)</t>
        </is>
      </c>
      <c r="AU98" t="inlineStr">
        <is>
          <t>Guernsey</t>
        </is>
      </c>
    </row>
    <row r="99">
      <c r="A99" t="inlineStr">
        <is>
          <t>Benches</t>
        </is>
      </c>
      <c r="AT99" t="inlineStr">
        <is>
          <t>Bischloroethyl nitrosourea (BCNU) (Carmustine)</t>
        </is>
      </c>
      <c r="AU99" t="inlineStr">
        <is>
          <t>Guinea</t>
        </is>
      </c>
    </row>
    <row r="100">
      <c r="A100" t="inlineStr">
        <is>
          <t>Recessed Lighting Housing</t>
        </is>
      </c>
      <c r="AT100" t="inlineStr">
        <is>
          <t>Bis(chloromethyl)ether</t>
        </is>
      </c>
      <c r="AU100" t="inlineStr">
        <is>
          <t>Guinea-Bissau</t>
        </is>
      </c>
    </row>
    <row r="101">
      <c r="A101" t="inlineStr">
        <is>
          <t>Lighting Accessories</t>
        </is>
      </c>
      <c r="AT101" t="inlineStr">
        <is>
          <t>Bis(2-chloro-1-methylethyl)ether,  technical grade</t>
        </is>
      </c>
      <c r="AU101" t="inlineStr">
        <is>
          <t>Guyana</t>
        </is>
      </c>
    </row>
    <row r="102">
      <c r="A102" t="inlineStr">
        <is>
          <t>Classroom Desks</t>
        </is>
      </c>
      <c r="AT102" t="inlineStr">
        <is>
          <t>Bisphenol A (BPA)</t>
        </is>
      </c>
      <c r="AU102" t="inlineStr">
        <is>
          <t>Haiti</t>
        </is>
      </c>
    </row>
    <row r="103">
      <c r="A103" t="inlineStr">
        <is>
          <t>Stages, Risers and Accessories</t>
        </is>
      </c>
      <c r="AT103" t="inlineStr">
        <is>
          <t>Bitumens, extracts of steam-refined and air refined</t>
        </is>
      </c>
      <c r="AU103" t="inlineStr">
        <is>
          <t>Heard Island and McDonald Islands</t>
        </is>
      </c>
    </row>
    <row r="104">
      <c r="A104" t="inlineStr">
        <is>
          <t>Rocking Chairs</t>
        </is>
      </c>
      <c r="AT104" t="inlineStr">
        <is>
          <t>Bracken fern</t>
        </is>
      </c>
      <c r="AU104" t="inlineStr">
        <is>
          <t>Holy See (Vatican City State)</t>
        </is>
      </c>
    </row>
    <row r="105">
      <c r="A105" t="inlineStr">
        <is>
          <t>Office Partitions</t>
        </is>
      </c>
      <c r="AT105" t="inlineStr">
        <is>
          <t>Bromacil lithium salt</t>
        </is>
      </c>
      <c r="AU105" t="inlineStr">
        <is>
          <t>Honduras</t>
        </is>
      </c>
    </row>
    <row r="106">
      <c r="A106" t="inlineStr">
        <is>
          <t>Furniture Cushions</t>
        </is>
      </c>
      <c r="AT106" t="inlineStr">
        <is>
          <t>Bromate</t>
        </is>
      </c>
      <c r="AU106" t="inlineStr">
        <is>
          <t>Hong Kong</t>
        </is>
      </c>
    </row>
    <row r="107">
      <c r="A107" t="inlineStr">
        <is>
          <t>Accent Stools</t>
        </is>
      </c>
      <c r="AT107" t="inlineStr">
        <is>
          <t>Bromochloroacetic acid</t>
        </is>
      </c>
      <c r="AU107" t="inlineStr">
        <is>
          <t>Hungary</t>
        </is>
      </c>
    </row>
    <row r="108">
      <c r="A108" t="inlineStr">
        <is>
          <t>Locker Room Benches</t>
        </is>
      </c>
      <c r="AT108" t="inlineStr">
        <is>
          <t>Bromodichloroacetic acid</t>
        </is>
      </c>
      <c r="AU108" t="inlineStr">
        <is>
          <t>Iceland</t>
        </is>
      </c>
    </row>
    <row r="109">
      <c r="A109" t="inlineStr">
        <is>
          <t>Living Room Sets</t>
        </is>
      </c>
      <c r="AT109" t="inlineStr">
        <is>
          <t>Bromodichloromethane</t>
        </is>
      </c>
      <c r="AU109" t="inlineStr">
        <is>
          <t>India</t>
        </is>
      </c>
    </row>
    <row r="110">
      <c r="A110" t="inlineStr">
        <is>
          <t>Sofas</t>
        </is>
      </c>
      <c r="AT110" t="inlineStr">
        <is>
          <t>Bromoethane</t>
        </is>
      </c>
      <c r="AU110" t="inlineStr">
        <is>
          <t>Indonesia</t>
        </is>
      </c>
    </row>
    <row r="111">
      <c r="A111" t="inlineStr">
        <is>
          <t>Sectionals</t>
        </is>
      </c>
      <c r="AT111" t="inlineStr">
        <is>
          <t>Bromoform</t>
        </is>
      </c>
      <c r="AU111" t="inlineStr">
        <is>
          <t>Iran, Islamic Republic of</t>
        </is>
      </c>
    </row>
    <row r="112">
      <c r="A112" t="inlineStr">
        <is>
          <t>Ottomans</t>
        </is>
      </c>
      <c r="AT112" t="inlineStr">
        <is>
          <t>1-Bromopropane (1-BP)</t>
        </is>
      </c>
      <c r="AU112" t="inlineStr">
        <is>
          <t>Iraq</t>
        </is>
      </c>
    </row>
    <row r="113">
      <c r="A113" t="inlineStr">
        <is>
          <t>Listening Centers</t>
        </is>
      </c>
      <c r="AT113" t="inlineStr">
        <is>
          <t>Bromoxynil</t>
        </is>
      </c>
      <c r="AU113" t="inlineStr">
        <is>
          <t>Ireland</t>
        </is>
      </c>
    </row>
    <row r="114">
      <c r="A114" t="inlineStr">
        <is>
          <t>Outdoor Fireplaces</t>
        </is>
      </c>
      <c r="AT114" t="inlineStr">
        <is>
          <t>Bromoxynil octanoate</t>
        </is>
      </c>
      <c r="AU114" t="inlineStr">
        <is>
          <t>Isle of Man</t>
        </is>
      </c>
    </row>
    <row r="115">
      <c r="A115" t="inlineStr">
        <is>
          <t>Projectors</t>
        </is>
      </c>
      <c r="AT115" t="inlineStr">
        <is>
          <t>Butabarbital sodium</t>
        </is>
      </c>
      <c r="AU115" t="inlineStr">
        <is>
          <t>Israel</t>
        </is>
      </c>
    </row>
    <row r="116">
      <c r="A116" t="inlineStr">
        <is>
          <t>Light Bulbs</t>
        </is>
      </c>
      <c r="AT116" t="inlineStr">
        <is>
          <t>1,3-Butadiene</t>
        </is>
      </c>
      <c r="AU116" t="inlineStr">
        <is>
          <t>Italy</t>
        </is>
      </c>
    </row>
    <row r="117">
      <c r="A117" t="inlineStr">
        <is>
          <t>Patio Ottomans</t>
        </is>
      </c>
      <c r="AT117" t="inlineStr">
        <is>
          <t>1,4-Butanediol dimethanesulfonate (Busulfan)</t>
        </is>
      </c>
      <c r="AU117" t="inlineStr">
        <is>
          <t>Jamaica</t>
        </is>
      </c>
    </row>
    <row r="118">
      <c r="A118" t="inlineStr">
        <is>
          <t>Planters</t>
        </is>
      </c>
      <c r="AT118" t="inlineStr">
        <is>
          <t>Butylated hydroxyanisole</t>
        </is>
      </c>
      <c r="AU118" t="inlineStr">
        <is>
          <t>Japan</t>
        </is>
      </c>
    </row>
    <row r="119">
      <c r="A119" t="inlineStr">
        <is>
          <t>Toy Boxes and Organizers</t>
        </is>
      </c>
      <c r="AT119" t="inlineStr">
        <is>
          <t>Butyl benzyl phthalate (BBP)d</t>
        </is>
      </c>
      <c r="AU119" t="inlineStr">
        <is>
          <t>Jersey</t>
        </is>
      </c>
    </row>
    <row r="120">
      <c r="A120" t="inlineStr">
        <is>
          <t>Rocking Horses</t>
        </is>
      </c>
      <c r="AT120" t="inlineStr">
        <is>
          <t>beta-Butyrolactone</t>
        </is>
      </c>
      <c r="AU120" t="inlineStr">
        <is>
          <t>Jordan</t>
        </is>
      </c>
    </row>
    <row r="121">
      <c r="A121" t="inlineStr">
        <is>
          <t>Stair Treads</t>
        </is>
      </c>
      <c r="AT121" t="inlineStr">
        <is>
          <t>Cacodylic acid</t>
        </is>
      </c>
      <c r="AU121" t="inlineStr">
        <is>
          <t>Kazakhstan</t>
        </is>
      </c>
    </row>
    <row r="122">
      <c r="A122" t="inlineStr">
        <is>
          <t>Rug Care</t>
        </is>
      </c>
      <c r="AT122" t="inlineStr">
        <is>
          <t>Cadmium</t>
        </is>
      </c>
      <c r="AU122" t="inlineStr">
        <is>
          <t>Kenya</t>
        </is>
      </c>
    </row>
    <row r="123">
      <c r="A123" t="inlineStr">
        <is>
          <t>Kids Chairs</t>
        </is>
      </c>
      <c r="AT123" t="inlineStr">
        <is>
          <t>Cadmium and cadmium compounds</t>
        </is>
      </c>
      <c r="AU123" t="inlineStr">
        <is>
          <t>Kiribati</t>
        </is>
      </c>
    </row>
    <row r="124">
      <c r="A124" t="inlineStr">
        <is>
          <t>Bath Accessories</t>
        </is>
      </c>
      <c r="AT124" t="inlineStr">
        <is>
          <t>Caffeic acid</t>
        </is>
      </c>
      <c r="AU124" t="inlineStr">
        <is>
          <t>Korea, Democratic People's Republic of</t>
        </is>
      </c>
    </row>
    <row r="125">
      <c r="A125" t="inlineStr">
        <is>
          <t>Storage Drawers</t>
        </is>
      </c>
      <c r="AT125" t="inlineStr">
        <is>
          <t>Captafol</t>
        </is>
      </c>
      <c r="AU125" t="inlineStr">
        <is>
          <t>Korea, Republic of</t>
        </is>
      </c>
    </row>
    <row r="126">
      <c r="A126" t="inlineStr">
        <is>
          <t>Cribs</t>
        </is>
      </c>
      <c r="AT126" t="inlineStr">
        <is>
          <t>Captan</t>
        </is>
      </c>
      <c r="AU126" t="inlineStr">
        <is>
          <t>Kuwait</t>
        </is>
      </c>
    </row>
    <row r="127">
      <c r="A127" t="inlineStr">
        <is>
          <t>Cable Management</t>
        </is>
      </c>
      <c r="AT127" t="inlineStr">
        <is>
          <t>Carbamazepine</t>
        </is>
      </c>
      <c r="AU127" t="inlineStr">
        <is>
          <t>Kyrgyzstan</t>
        </is>
      </c>
    </row>
    <row r="128">
      <c r="A128" t="inlineStr">
        <is>
          <t>Locker Accessories</t>
        </is>
      </c>
      <c r="AT128" t="inlineStr">
        <is>
          <t>Carbaryl</t>
        </is>
      </c>
      <c r="AU128" t="inlineStr">
        <is>
          <t>Lao People's Democratic Republic</t>
        </is>
      </c>
    </row>
    <row r="129">
      <c r="A129" t="inlineStr">
        <is>
          <t>Kids Tables and Sets</t>
        </is>
      </c>
      <c r="AT129" t="inlineStr">
        <is>
          <t>Carbazole</t>
        </is>
      </c>
      <c r="AU129" t="inlineStr">
        <is>
          <t>Latvia</t>
        </is>
      </c>
    </row>
    <row r="130">
      <c r="A130" t="inlineStr">
        <is>
          <t>Breakroom Tables</t>
        </is>
      </c>
      <c r="AT130" t="inlineStr">
        <is>
          <t>Carbon black (airborne, unbound particles of respirable size)</t>
        </is>
      </c>
      <c r="AU130" t="inlineStr">
        <is>
          <t>Lebanon</t>
        </is>
      </c>
    </row>
    <row r="131">
      <c r="A131" t="inlineStr">
        <is>
          <t>Air Mattresses</t>
        </is>
      </c>
      <c r="AT131" t="inlineStr">
        <is>
          <t>Carbon-black extracts</t>
        </is>
      </c>
      <c r="AU131" t="inlineStr">
        <is>
          <t>Lesotho</t>
        </is>
      </c>
    </row>
    <row r="132">
      <c r="A132" t="inlineStr">
        <is>
          <t>Board &amp; Easel Accessories</t>
        </is>
      </c>
      <c r="AT132" t="inlineStr">
        <is>
          <t>Carbon disulfide</t>
        </is>
      </c>
      <c r="AU132" t="inlineStr">
        <is>
          <t>Liberia</t>
        </is>
      </c>
    </row>
    <row r="133">
      <c r="A133" t="inlineStr">
        <is>
          <t>Bassinets &amp; Cradles</t>
        </is>
      </c>
      <c r="AT133" t="inlineStr">
        <is>
          <t>Carbon monoxide</t>
        </is>
      </c>
      <c r="AU133" t="inlineStr">
        <is>
          <t>Libyan Arab Jamahiriya</t>
        </is>
      </c>
    </row>
    <row r="134">
      <c r="A134" t="inlineStr">
        <is>
          <t>Patio Heaters</t>
        </is>
      </c>
      <c r="AT134" t="inlineStr">
        <is>
          <t>Carbon tetrachloride</t>
        </is>
      </c>
      <c r="AU134" t="inlineStr">
        <is>
          <t>Liechtenstein</t>
        </is>
      </c>
    </row>
    <row r="135">
      <c r="A135" t="inlineStr">
        <is>
          <t xml:space="preserve"> Multi-Child Strollers</t>
        </is>
      </c>
      <c r="AT135" t="inlineStr">
        <is>
          <t>Carboplatin</t>
        </is>
      </c>
      <c r="AU135" t="inlineStr">
        <is>
          <t>Lithuania</t>
        </is>
      </c>
    </row>
    <row r="136">
      <c r="A136" t="inlineStr">
        <is>
          <t>Trellises</t>
        </is>
      </c>
      <c r="AT136" t="inlineStr">
        <is>
          <t>N-Carboxymethyl-N-nitrosourea</t>
        </is>
      </c>
      <c r="AU136" t="inlineStr">
        <is>
          <t>Luxembourg</t>
        </is>
      </c>
    </row>
    <row r="137">
      <c r="A137" t="inlineStr">
        <is>
          <t>Chairmats</t>
        </is>
      </c>
      <c r="AT137" t="inlineStr">
        <is>
          <t>Catechol</t>
        </is>
      </c>
      <c r="AU137" t="inlineStr">
        <is>
          <t>Macao</t>
        </is>
      </c>
    </row>
    <row r="138">
      <c r="A138" t="inlineStr">
        <is>
          <t>Dollhouses</t>
        </is>
      </c>
      <c r="AT138" t="inlineStr">
        <is>
          <t>Ceramic fibers (airborne particles of respirable size)</t>
        </is>
      </c>
      <c r="AU138" t="inlineStr">
        <is>
          <t>Macedonia, The Former Yugoslav Republic of</t>
        </is>
      </c>
    </row>
    <row r="139">
      <c r="A139" t="inlineStr">
        <is>
          <t>Mailroom Tables</t>
        </is>
      </c>
      <c r="AT139" t="inlineStr">
        <is>
          <t>Certain combined chemotherapy for lymphomas</t>
        </is>
      </c>
      <c r="AU139" t="inlineStr">
        <is>
          <t>Madagascar</t>
        </is>
      </c>
    </row>
    <row r="140">
      <c r="A140" t="inlineStr">
        <is>
          <t>Maps &amp; Atlases</t>
        </is>
      </c>
      <c r="AT140" t="inlineStr">
        <is>
          <t>Chenodiol</t>
        </is>
      </c>
      <c r="AU140" t="inlineStr">
        <is>
          <t>Malawi</t>
        </is>
      </c>
    </row>
    <row r="141">
      <c r="A141" t="inlineStr">
        <is>
          <t>Door Bells &amp; Chimes</t>
        </is>
      </c>
      <c r="AT141" t="inlineStr">
        <is>
          <t>Chloral</t>
        </is>
      </c>
      <c r="AU141" t="inlineStr">
        <is>
          <t>Malaysia</t>
        </is>
      </c>
    </row>
    <row r="142">
      <c r="A142" t="inlineStr">
        <is>
          <t>Coffee &amp; Cocktail Tables</t>
        </is>
      </c>
      <c r="AT142" t="inlineStr">
        <is>
          <t>Chloral hydrate</t>
        </is>
      </c>
      <c r="AU142" t="inlineStr">
        <is>
          <t>Maldives</t>
        </is>
      </c>
    </row>
    <row r="143">
      <c r="A143" t="inlineStr">
        <is>
          <t>End Tables</t>
        </is>
      </c>
      <c r="AT143" t="inlineStr">
        <is>
          <t>Chlorambucil</t>
        </is>
      </c>
      <c r="AU143" t="inlineStr">
        <is>
          <t>Mali</t>
        </is>
      </c>
    </row>
    <row r="144">
      <c r="A144" t="inlineStr">
        <is>
          <t>Sofa &amp; Console Tables</t>
        </is>
      </c>
      <c r="AT144" t="inlineStr">
        <is>
          <t>Chloramphenicol sodium succinate</t>
        </is>
      </c>
      <c r="AU144" t="inlineStr">
        <is>
          <t>Malta</t>
        </is>
      </c>
    </row>
    <row r="145">
      <c r="A145" t="inlineStr">
        <is>
          <t>Smoking Urns &amp; Ashtrays</t>
        </is>
      </c>
      <c r="AT145" t="inlineStr">
        <is>
          <t>Chlorcyclizine hydrochloride</t>
        </is>
      </c>
      <c r="AU145" t="inlineStr">
        <is>
          <t>Marshall Islands</t>
        </is>
      </c>
    </row>
    <row r="146">
      <c r="A146" t="inlineStr">
        <is>
          <t>Portable Fans</t>
        </is>
      </c>
      <c r="AT146" t="inlineStr">
        <is>
          <t>Chlordane</t>
        </is>
      </c>
      <c r="AU146" t="inlineStr">
        <is>
          <t>Martinique</t>
        </is>
      </c>
    </row>
    <row r="147">
      <c r="A147" t="inlineStr">
        <is>
          <t>Living Room Table Sets</t>
        </is>
      </c>
      <c r="AT147" t="inlineStr">
        <is>
          <t>Chlordecone (Kepone)</t>
        </is>
      </c>
      <c r="AU147" t="inlineStr">
        <is>
          <t>Mauritania</t>
        </is>
      </c>
    </row>
    <row r="148">
      <c r="A148" t="inlineStr">
        <is>
          <t>Trash Cans &amp; Recycling</t>
        </is>
      </c>
      <c r="AT148" t="inlineStr">
        <is>
          <t>Chlordiazepoxide</t>
        </is>
      </c>
      <c r="AU148" t="inlineStr">
        <is>
          <t>Mauritius</t>
        </is>
      </c>
    </row>
    <row r="149">
      <c r="A149" t="inlineStr">
        <is>
          <t>Jewelry Boxes</t>
        </is>
      </c>
      <c r="AT149" t="inlineStr">
        <is>
          <t>Chlordiazepoxide hydrochloride</t>
        </is>
      </c>
      <c r="AU149" t="inlineStr">
        <is>
          <t>Mayotte</t>
        </is>
      </c>
    </row>
    <row r="150">
      <c r="A150" t="inlineStr">
        <is>
          <t>Massage Chairs</t>
        </is>
      </c>
      <c r="AT150" t="inlineStr">
        <is>
          <t>Chlordimeform</t>
        </is>
      </c>
      <c r="AU150" t="inlineStr">
        <is>
          <t>Mexico</t>
        </is>
      </c>
    </row>
    <row r="151">
      <c r="A151" t="inlineStr">
        <is>
          <t>Wall Mounted Shelves</t>
        </is>
      </c>
      <c r="AT151" t="inlineStr">
        <is>
          <t>Chlorendic acid</t>
        </is>
      </c>
      <c r="AU151" t="inlineStr">
        <is>
          <t>Micronesia, Federated States of</t>
        </is>
      </c>
    </row>
    <row r="152">
      <c r="A152" t="inlineStr">
        <is>
          <t>Home Theater Seating</t>
        </is>
      </c>
      <c r="AT152" t="inlineStr">
        <is>
          <t>Chlorinated paraffins (Average chain length, C12;approximately 60 percent chlorine by weight)</t>
        </is>
      </c>
      <c r="AU152" t="inlineStr">
        <is>
          <t>Moldova, Republic of</t>
        </is>
      </c>
    </row>
    <row r="153">
      <c r="A153" t="inlineStr">
        <is>
          <t>Sheds</t>
        </is>
      </c>
      <c r="AT153" t="inlineStr">
        <is>
          <t>p-Chloroaniline</t>
        </is>
      </c>
      <c r="AU153" t="inlineStr">
        <is>
          <t>Monaco</t>
        </is>
      </c>
    </row>
    <row r="154">
      <c r="A154" t="inlineStr">
        <is>
          <t>Trash Can Accessories</t>
        </is>
      </c>
      <c r="AT154" t="inlineStr">
        <is>
          <t>p-Chloroaniline hydrochloride</t>
        </is>
      </c>
      <c r="AU154" t="inlineStr">
        <is>
          <t>Mongolia</t>
        </is>
      </c>
    </row>
    <row r="155">
      <c r="A155" t="inlineStr">
        <is>
          <t>Baby &amp; Kids Nap Mats and Playmats</t>
        </is>
      </c>
      <c r="AT155" t="inlineStr">
        <is>
          <t>Chloroethane (Ethyl chloride)</t>
        </is>
      </c>
      <c r="AU155" t="inlineStr">
        <is>
          <t>Montenegro</t>
        </is>
      </c>
    </row>
    <row r="156">
      <c r="A156" t="inlineStr">
        <is>
          <t>Ride-On Toys</t>
        </is>
      </c>
      <c r="AT156" t="inlineStr">
        <is>
          <t>1-(2-Chloroethyl)-3-cyclohexyl-1-nitrosourea (CCNU) (Lomustine)</t>
        </is>
      </c>
      <c r="AU156" t="inlineStr">
        <is>
          <t>Montserrat</t>
        </is>
      </c>
    </row>
    <row r="157">
      <c r="A157" t="inlineStr">
        <is>
          <t>Classroom Storage</t>
        </is>
      </c>
      <c r="AT157" t="inlineStr">
        <is>
          <t>1-(2-Chloroethyl)-3-(4-methylcyclohexyl)-1-nitrosourea (Methyl-CCNU)</t>
        </is>
      </c>
      <c r="AU157" t="inlineStr">
        <is>
          <t>Morocco</t>
        </is>
      </c>
    </row>
    <row r="158">
      <c r="A158" t="inlineStr">
        <is>
          <t>Canopies</t>
        </is>
      </c>
      <c r="AT158" t="inlineStr">
        <is>
          <t>Chloromethyl methyl ether (technical grade)</t>
        </is>
      </c>
      <c r="AU158" t="inlineStr">
        <is>
          <t>Mozambique</t>
        </is>
      </c>
    </row>
    <row r="159">
      <c r="A159" t="inlineStr">
        <is>
          <t>Kids Bookcases</t>
        </is>
      </c>
      <c r="AT159" t="inlineStr">
        <is>
          <t>3-Chloro-2-methylpropene</t>
        </is>
      </c>
      <c r="AU159" t="inlineStr">
        <is>
          <t>Myanmar</t>
        </is>
      </c>
    </row>
    <row r="160">
      <c r="A160" t="inlineStr">
        <is>
          <t>Laundry Accessories &amp; Storage</t>
        </is>
      </c>
      <c r="AT160" t="inlineStr">
        <is>
          <t>1-Chloro-4-nitrobenzene</t>
        </is>
      </c>
      <c r="AU160" t="inlineStr">
        <is>
          <t>Namibia</t>
        </is>
      </c>
    </row>
    <row r="161">
      <c r="A161" t="inlineStr">
        <is>
          <t>Vases, Urns, Jars, &amp; Bottles</t>
        </is>
      </c>
      <c r="AT161" t="inlineStr">
        <is>
          <t>4-Chloro-o-phenylenediamine</t>
        </is>
      </c>
      <c r="AU161" t="inlineStr">
        <is>
          <t>Nauru</t>
        </is>
      </c>
    </row>
    <row r="162">
      <c r="A162" t="inlineStr">
        <is>
          <t>Greenhouses</t>
        </is>
      </c>
      <c r="AT162" t="inlineStr">
        <is>
          <t>Chloroprene</t>
        </is>
      </c>
      <c r="AU162" t="inlineStr">
        <is>
          <t>Nepal</t>
        </is>
      </c>
    </row>
    <row r="163">
      <c r="A163" t="inlineStr">
        <is>
          <t>Greenhouse Accessories</t>
        </is>
      </c>
      <c r="AT163" t="inlineStr">
        <is>
          <t>Chlorothalonil</t>
        </is>
      </c>
      <c r="AU163" t="inlineStr">
        <is>
          <t>Netherlands</t>
        </is>
      </c>
    </row>
    <row r="164">
      <c r="A164" t="inlineStr">
        <is>
          <t>Shed Accessories</t>
        </is>
      </c>
      <c r="AT164" t="inlineStr">
        <is>
          <t>p-Chloro-o-toluidine</t>
        </is>
      </c>
      <c r="AU164" t="inlineStr">
        <is>
          <t>Netherlands Antilles</t>
        </is>
      </c>
    </row>
    <row r="165">
      <c r="A165" t="inlineStr">
        <is>
          <t>Activity Tables</t>
        </is>
      </c>
      <c r="AT165" t="inlineStr">
        <is>
          <t>p-Chloro-o-toluidine, strong acid salts of</t>
        </is>
      </c>
      <c r="AU165" t="inlineStr">
        <is>
          <t>New Caledonia</t>
        </is>
      </c>
    </row>
    <row r="166">
      <c r="A166" t="inlineStr">
        <is>
          <t>Soft Play</t>
        </is>
      </c>
      <c r="AT166" t="inlineStr">
        <is>
          <t>5-Chloro-o-toluidine and its strong acid salts</t>
        </is>
      </c>
      <c r="AU166" t="inlineStr">
        <is>
          <t>New Zealand</t>
        </is>
      </c>
    </row>
    <row r="167">
      <c r="A167" t="inlineStr">
        <is>
          <t>Mailboxes</t>
        </is>
      </c>
      <c r="AT167" t="inlineStr">
        <is>
          <t>Chlorotrianisene</t>
        </is>
      </c>
      <c r="AU167" t="inlineStr">
        <is>
          <t>Nicaragua</t>
        </is>
      </c>
    </row>
    <row r="168">
      <c r="A168" t="inlineStr">
        <is>
          <t>Mailbox Accessories</t>
        </is>
      </c>
      <c r="AT168" t="inlineStr">
        <is>
          <t>Chlorozotocin</t>
        </is>
      </c>
      <c r="AU168" t="inlineStr">
        <is>
          <t>Niger</t>
        </is>
      </c>
    </row>
    <row r="169">
      <c r="A169" t="inlineStr">
        <is>
          <t>Mailbox Posts &amp; Stands</t>
        </is>
      </c>
      <c r="AT169" t="inlineStr">
        <is>
          <t>Chlorpyrifos</t>
        </is>
      </c>
      <c r="AU169" t="inlineStr">
        <is>
          <t>Nigeria</t>
        </is>
      </c>
    </row>
    <row r="170">
      <c r="A170" t="inlineStr">
        <is>
          <t>Address Plaques &amp; Lettering</t>
        </is>
      </c>
      <c r="AT170" t="inlineStr">
        <is>
          <t>Chromium (hexavalent compounds)</t>
        </is>
      </c>
      <c r="AU170" t="inlineStr">
        <is>
          <t>Niue</t>
        </is>
      </c>
    </row>
    <row r="171">
      <c r="A171" t="inlineStr">
        <is>
          <t>Banner Stands and Booth Displays</t>
        </is>
      </c>
      <c r="AT171" t="inlineStr">
        <is>
          <t>Chrysene</t>
        </is>
      </c>
      <c r="AU171" t="inlineStr">
        <is>
          <t>Norfolk Island</t>
        </is>
      </c>
    </row>
    <row r="172">
      <c r="A172" t="inlineStr">
        <is>
          <t>Toilets</t>
        </is>
      </c>
      <c r="AT172" t="inlineStr">
        <is>
          <t>C.I. Acid Red 114</t>
        </is>
      </c>
      <c r="AU172" t="inlineStr">
        <is>
          <t>Northern Mariana Islands</t>
        </is>
      </c>
    </row>
    <row r="173">
      <c r="A173" t="inlineStr">
        <is>
          <t>Bathroom Sinks</t>
        </is>
      </c>
      <c r="AT173" t="inlineStr">
        <is>
          <t>C.I. Basic Red 9 monohydrochloride</t>
        </is>
      </c>
      <c r="AU173" t="inlineStr">
        <is>
          <t>Norway</t>
        </is>
      </c>
    </row>
    <row r="174">
      <c r="A174" t="inlineStr">
        <is>
          <t>Tubs And Whirlpools</t>
        </is>
      </c>
      <c r="AT174" t="inlineStr">
        <is>
          <t>C.I. Direct Blue 15</t>
        </is>
      </c>
      <c r="AU174" t="inlineStr">
        <is>
          <t>Oman</t>
        </is>
      </c>
    </row>
    <row r="175">
      <c r="A175" t="inlineStr">
        <is>
          <t>Cart Accessories &amp; Parts</t>
        </is>
      </c>
      <c r="AT175" t="inlineStr">
        <is>
          <t>C.I. Direct Blue 218</t>
        </is>
      </c>
      <c r="AU175" t="inlineStr">
        <is>
          <t>Pakistan</t>
        </is>
      </c>
    </row>
    <row r="176">
      <c r="A176" t="inlineStr">
        <is>
          <t>Baking Sheets</t>
        </is>
      </c>
      <c r="AT176" t="inlineStr">
        <is>
          <t>C.I. Disperse Yellow 3</t>
        </is>
      </c>
      <c r="AU176" t="inlineStr">
        <is>
          <t>Palau</t>
        </is>
      </c>
    </row>
    <row r="177">
      <c r="A177" t="inlineStr">
        <is>
          <t>Pie Pans</t>
        </is>
      </c>
      <c r="AT177" t="inlineStr">
        <is>
          <t>C.I. Solvent Yellow 14</t>
        </is>
      </c>
      <c r="AU177" t="inlineStr">
        <is>
          <t>Palestinian Territory, Occupied</t>
        </is>
      </c>
    </row>
    <row r="178">
      <c r="A178" t="inlineStr">
        <is>
          <t>Cake Pans</t>
        </is>
      </c>
      <c r="AT178" t="inlineStr">
        <is>
          <t>Ciclosporin (Cyclosporin A; Cyclosporine)</t>
        </is>
      </c>
      <c r="AU178" t="inlineStr">
        <is>
          <t>Panama</t>
        </is>
      </c>
    </row>
    <row r="179">
      <c r="A179" t="inlineStr">
        <is>
          <t>Fixture Parts And Components</t>
        </is>
      </c>
      <c r="AT179" t="inlineStr">
        <is>
          <t>Cidofovir</t>
        </is>
      </c>
      <c r="AU179" t="inlineStr">
        <is>
          <t>Papua New Guinea</t>
        </is>
      </c>
    </row>
    <row r="180">
      <c r="A180" t="inlineStr">
        <is>
          <t>Garden Statues</t>
        </is>
      </c>
      <c r="AT180" t="inlineStr">
        <is>
          <t>Cinnamyl anthranilate</t>
        </is>
      </c>
      <c r="AU180" t="inlineStr">
        <is>
          <t>Paraguay</t>
        </is>
      </c>
    </row>
    <row r="181">
      <c r="A181" t="inlineStr">
        <is>
          <t>Patio Furniture Replacement Slings</t>
        </is>
      </c>
      <c r="AT181" t="inlineStr">
        <is>
          <t>Cisplatin</t>
        </is>
      </c>
      <c r="AU181" t="inlineStr">
        <is>
          <t>Peru</t>
        </is>
      </c>
    </row>
    <row r="182">
      <c r="A182" t="inlineStr">
        <is>
          <t>Vehicle Ports</t>
        </is>
      </c>
      <c r="AT182" t="inlineStr">
        <is>
          <t>Citrus Red No. 2</t>
        </is>
      </c>
      <c r="AU182" t="inlineStr">
        <is>
          <t>Philippines</t>
        </is>
      </c>
    </row>
    <row r="183">
      <c r="A183" t="inlineStr">
        <is>
          <t>Drains</t>
        </is>
      </c>
      <c r="AT183" t="inlineStr">
        <is>
          <t>Cladribine</t>
        </is>
      </c>
      <c r="AU183" t="inlineStr">
        <is>
          <t>Pitcairn</t>
        </is>
      </c>
    </row>
    <row r="184">
      <c r="A184" t="inlineStr">
        <is>
          <t>Kitchen Sinks</t>
        </is>
      </c>
      <c r="AT184" t="inlineStr">
        <is>
          <t>Clarithromycin</t>
        </is>
      </c>
      <c r="AU184" t="inlineStr">
        <is>
          <t>Poland</t>
        </is>
      </c>
    </row>
    <row r="185">
      <c r="A185" t="inlineStr">
        <is>
          <t>Medicine Cabinets</t>
        </is>
      </c>
      <c r="AT185" t="inlineStr">
        <is>
          <t>Clobetasol propionate</t>
        </is>
      </c>
      <c r="AU185" t="inlineStr">
        <is>
          <t>Portugal</t>
        </is>
      </c>
    </row>
    <row r="186">
      <c r="A186" t="inlineStr">
        <is>
          <t>Valves</t>
        </is>
      </c>
      <c r="AT186" t="inlineStr">
        <is>
          <t>Clofibrate</t>
        </is>
      </c>
      <c r="AU186" t="inlineStr">
        <is>
          <t>Puerto Rico</t>
        </is>
      </c>
    </row>
    <row r="187">
      <c r="A187" t="inlineStr">
        <is>
          <t>Kitchen Sink Accessories</t>
        </is>
      </c>
      <c r="AT187" t="inlineStr">
        <is>
          <t>Clomiphene citrate</t>
        </is>
      </c>
      <c r="AU187" t="inlineStr">
        <is>
          <t>Qatar</t>
        </is>
      </c>
    </row>
    <row r="188">
      <c r="A188" t="inlineStr">
        <is>
          <t>Salt And Pepper Shakers / Grinders (Mills)</t>
        </is>
      </c>
      <c r="AT188" t="inlineStr">
        <is>
          <t>Clorazepate dipotassium</t>
        </is>
      </c>
      <c r="AU188" t="inlineStr">
        <is>
          <t>Reunion</t>
        </is>
      </c>
    </row>
    <row r="189">
      <c r="A189" t="inlineStr">
        <is>
          <t>Blinds and Shades</t>
        </is>
      </c>
      <c r="AT189" t="inlineStr">
        <is>
          <t>CMNP (pyrazachlor)</t>
        </is>
      </c>
      <c r="AU189" t="inlineStr">
        <is>
          <t>Romania</t>
        </is>
      </c>
    </row>
    <row r="190">
      <c r="A190" t="inlineStr">
        <is>
          <t>Picture Frames</t>
        </is>
      </c>
      <c r="AT190" t="inlineStr">
        <is>
          <t>Cobalt metal powder</t>
        </is>
      </c>
      <c r="AU190" t="inlineStr">
        <is>
          <t>Russian Federation</t>
        </is>
      </c>
    </row>
    <row r="191">
      <c r="A191" t="inlineStr">
        <is>
          <t>Safe Accessories</t>
        </is>
      </c>
      <c r="AT191" t="inlineStr">
        <is>
          <t>Cobalt [II] oxide</t>
        </is>
      </c>
      <c r="AU191" t="inlineStr">
        <is>
          <t>Rwanda</t>
        </is>
      </c>
    </row>
    <row r="192">
      <c r="A192" t="inlineStr">
        <is>
          <t>Kitchen Faucets</t>
        </is>
      </c>
      <c r="AT192" t="inlineStr">
        <is>
          <t>Cobalt sulfate</t>
        </is>
      </c>
      <c r="AU192" t="inlineStr">
        <is>
          <t>Saint Barthélemy</t>
        </is>
      </c>
    </row>
    <row r="193">
      <c r="A193" t="inlineStr">
        <is>
          <t>Bathroom Sink Faucets</t>
        </is>
      </c>
      <c r="AT193" t="inlineStr">
        <is>
          <t>Cobalt sulfate heptahydrate</t>
        </is>
      </c>
      <c r="AU193" t="inlineStr">
        <is>
          <t>Saint Helena</t>
        </is>
      </c>
    </row>
    <row r="194">
      <c r="A194" t="inlineStr">
        <is>
          <t>Range Hoods</t>
        </is>
      </c>
      <c r="AT194" t="inlineStr">
        <is>
          <t>Cocaine</t>
        </is>
      </c>
      <c r="AU194" t="inlineStr">
        <is>
          <t>Saint Kitts and Nevis</t>
        </is>
      </c>
    </row>
    <row r="195">
      <c r="A195" t="inlineStr">
        <is>
          <t>Science Tables</t>
        </is>
      </c>
      <c r="AT195" t="inlineStr">
        <is>
          <t>Coconut oil diethanolamine condensate (cocamide diethanolamine)</t>
        </is>
      </c>
      <c r="AU195" t="inlineStr">
        <is>
          <t>Saint Lucia</t>
        </is>
      </c>
    </row>
    <row r="196">
      <c r="A196" t="inlineStr">
        <is>
          <t>Cooking Utensils</t>
        </is>
      </c>
      <c r="AT196" t="inlineStr">
        <is>
          <t>Codeine phosphate</t>
        </is>
      </c>
      <c r="AU196" t="inlineStr">
        <is>
          <t>Saint Martin</t>
        </is>
      </c>
    </row>
    <row r="197">
      <c r="A197" t="inlineStr">
        <is>
          <t>Toilet Seats</t>
        </is>
      </c>
      <c r="AT197" t="inlineStr">
        <is>
          <t>Coke oven emissions</t>
        </is>
      </c>
      <c r="AU197" t="inlineStr">
        <is>
          <t>Saint Pierre and Miquelon</t>
        </is>
      </c>
    </row>
    <row r="198">
      <c r="A198" t="inlineStr">
        <is>
          <t>Birdhouses</t>
        </is>
      </c>
      <c r="AT198" t="inlineStr">
        <is>
          <t>Colchicine</t>
        </is>
      </c>
      <c r="AU198" t="inlineStr">
        <is>
          <t>Saint Vincent and the Grenadines</t>
        </is>
      </c>
    </row>
    <row r="199">
      <c r="A199" t="inlineStr">
        <is>
          <t>Coolers</t>
        </is>
      </c>
      <c r="AT199" t="inlineStr">
        <is>
          <t>Conjugated estrogens</t>
        </is>
      </c>
      <c r="AU199" t="inlineStr">
        <is>
          <t>Samoa</t>
        </is>
      </c>
    </row>
    <row r="200">
      <c r="A200" t="inlineStr">
        <is>
          <t>Play Kitchen Sets</t>
        </is>
      </c>
      <c r="AT200" t="inlineStr">
        <is>
          <t>Creosotes</t>
        </is>
      </c>
      <c r="AU200" t="inlineStr">
        <is>
          <t>San Marino</t>
        </is>
      </c>
    </row>
    <row r="201">
      <c r="A201" t="inlineStr">
        <is>
          <t>Cookware Sets</t>
        </is>
      </c>
      <c r="AT201" t="inlineStr">
        <is>
          <t>p-Cresidine</t>
        </is>
      </c>
      <c r="AU201" t="inlineStr">
        <is>
          <t>Sao Tome and Principe</t>
        </is>
      </c>
    </row>
    <row r="202">
      <c r="A202" t="inlineStr">
        <is>
          <t>Roasting Pans</t>
        </is>
      </c>
      <c r="AT202" t="inlineStr">
        <is>
          <t>Cumene</t>
        </is>
      </c>
      <c r="AU202" t="inlineStr">
        <is>
          <t>Saudi Arabia</t>
        </is>
      </c>
    </row>
    <row r="203">
      <c r="A203" t="inlineStr">
        <is>
          <t>Bed Frames</t>
        </is>
      </c>
      <c r="AT203" t="inlineStr">
        <is>
          <t>Cupferron</t>
        </is>
      </c>
      <c r="AU203" t="inlineStr">
        <is>
          <t>Senegal</t>
        </is>
      </c>
    </row>
    <row r="204">
      <c r="A204" t="inlineStr">
        <is>
          <t>Saucepans And Sauciers</t>
        </is>
      </c>
      <c r="AT204" t="inlineStr">
        <is>
          <t>Cyanazine</t>
        </is>
      </c>
      <c r="AU204" t="inlineStr">
        <is>
          <t>Serbia</t>
        </is>
      </c>
    </row>
    <row r="205">
      <c r="A205" t="inlineStr">
        <is>
          <t>Mobiles</t>
        </is>
      </c>
      <c r="AT205" t="inlineStr">
        <is>
          <t>Cycasin</t>
        </is>
      </c>
      <c r="AU205" t="inlineStr">
        <is>
          <t>Seychelles</t>
        </is>
      </c>
    </row>
    <row r="206">
      <c r="A206" t="inlineStr">
        <is>
          <t>Stock Pots, Soup Pots and Multi-Pots</t>
        </is>
      </c>
      <c r="AT206" t="inlineStr">
        <is>
          <t>Cycloate</t>
        </is>
      </c>
      <c r="AU206" t="inlineStr">
        <is>
          <t>Sierra Leone</t>
        </is>
      </c>
    </row>
    <row r="207">
      <c r="A207" t="inlineStr">
        <is>
          <t>Dutch Ovens &amp; Braisers</t>
        </is>
      </c>
      <c r="AT207" t="inlineStr">
        <is>
          <t>Cycloheximide</t>
        </is>
      </c>
      <c r="AU207" t="inlineStr">
        <is>
          <t>Singapore</t>
        </is>
      </c>
    </row>
    <row r="208">
      <c r="A208" t="inlineStr">
        <is>
          <t>Skillets &amp; Fry Pans</t>
        </is>
      </c>
      <c r="AT208" t="inlineStr">
        <is>
          <t>Cyclopenta[cd]pyrene</t>
        </is>
      </c>
      <c r="AU208" t="inlineStr">
        <is>
          <t>Slovakia</t>
        </is>
      </c>
    </row>
    <row r="209">
      <c r="A209" t="inlineStr">
        <is>
          <t>Fondue Sets</t>
        </is>
      </c>
      <c r="AT209" t="inlineStr">
        <is>
          <t>Cyclophosphamide (anhydrous)</t>
        </is>
      </c>
      <c r="AU209" t="inlineStr">
        <is>
          <t>Slovenia</t>
        </is>
      </c>
    </row>
    <row r="210">
      <c r="A210" t="inlineStr">
        <is>
          <t>Dinnerware Sets &amp; Place Settings</t>
        </is>
      </c>
      <c r="AT210" t="inlineStr">
        <is>
          <t>Cyclophosphamide (hydrated)</t>
        </is>
      </c>
      <c r="AU210" t="inlineStr">
        <is>
          <t>Solomon Islands</t>
        </is>
      </c>
    </row>
    <row r="211">
      <c r="A211" t="inlineStr">
        <is>
          <t>Waterbeds</t>
        </is>
      </c>
      <c r="AT211" t="inlineStr">
        <is>
          <t>Cyhexatin</t>
        </is>
      </c>
      <c r="AU211" t="inlineStr">
        <is>
          <t>Somalia</t>
        </is>
      </c>
    </row>
    <row r="212">
      <c r="A212" t="inlineStr">
        <is>
          <t>Waterbed Parts And Accessories</t>
        </is>
      </c>
      <c r="AT212" t="inlineStr">
        <is>
          <t>Cytarabine</t>
        </is>
      </c>
      <c r="AU212" t="inlineStr">
        <is>
          <t>South Africa</t>
        </is>
      </c>
    </row>
    <row r="213">
      <c r="A213" t="inlineStr">
        <is>
          <t>Slipcovers</t>
        </is>
      </c>
      <c r="AT213" t="inlineStr">
        <is>
          <t>Cytembena</t>
        </is>
      </c>
      <c r="AU213" t="inlineStr">
        <is>
          <t>South Georgia and the South Sandwich Islands</t>
        </is>
      </c>
    </row>
    <row r="214">
      <c r="A214" t="inlineStr">
        <is>
          <t>Under Cabinet Lighting</t>
        </is>
      </c>
      <c r="AT214" t="inlineStr">
        <is>
          <t>D&amp;C Orange No. 17</t>
        </is>
      </c>
      <c r="AU214" t="inlineStr">
        <is>
          <t>Spain</t>
        </is>
      </c>
    </row>
    <row r="215">
      <c r="A215" t="inlineStr">
        <is>
          <t>Bidet Faucets</t>
        </is>
      </c>
      <c r="AT215" t="inlineStr">
        <is>
          <t>D&amp;C Red No. 8</t>
        </is>
      </c>
      <c r="AU215" t="inlineStr">
        <is>
          <t>Sri Lanka</t>
        </is>
      </c>
    </row>
    <row r="216">
      <c r="A216" t="inlineStr">
        <is>
          <t>Recliners</t>
        </is>
      </c>
      <c r="AT216" t="inlineStr">
        <is>
          <t>D&amp;C Red No. 9</t>
        </is>
      </c>
      <c r="AU216" t="inlineStr">
        <is>
          <t>Sudan</t>
        </is>
      </c>
    </row>
    <row r="217">
      <c r="A217" t="inlineStr">
        <is>
          <t>Specialty Faucets</t>
        </is>
      </c>
      <c r="AT217" t="inlineStr">
        <is>
          <t>D&amp;C Red No. 19</t>
        </is>
      </c>
      <c r="AU217" t="inlineStr">
        <is>
          <t>Suriname</t>
        </is>
      </c>
    </row>
    <row r="218">
      <c r="A218" t="inlineStr">
        <is>
          <t>Urinals</t>
        </is>
      </c>
      <c r="AT218" t="inlineStr">
        <is>
          <t>Dacarbazine</t>
        </is>
      </c>
      <c r="AU218" t="inlineStr">
        <is>
          <t>Svalbard and Jan Mayen</t>
        </is>
      </c>
    </row>
    <row r="219">
      <c r="A219" t="inlineStr">
        <is>
          <t>Bidets</t>
        </is>
      </c>
      <c r="AT219" t="inlineStr">
        <is>
          <t>Daminozide</t>
        </is>
      </c>
      <c r="AU219" t="inlineStr">
        <is>
          <t>Swaziland</t>
        </is>
      </c>
    </row>
    <row r="220">
      <c r="A220" t="inlineStr">
        <is>
          <t>Blenders, Smoothie Makers &amp; Accessories</t>
        </is>
      </c>
      <c r="AT220" t="inlineStr">
        <is>
          <t>Danazol</t>
        </is>
      </c>
      <c r="AU220" t="inlineStr">
        <is>
          <t>Sweden</t>
        </is>
      </c>
    </row>
    <row r="221">
      <c r="A221" t="inlineStr">
        <is>
          <t>Mixers &amp; Mixer Accessories</t>
        </is>
      </c>
      <c r="AT221" t="inlineStr">
        <is>
          <t>Dantron (Chrysazin; 1,8-Dihydroxyanthraquinone)</t>
        </is>
      </c>
      <c r="AU221" t="inlineStr">
        <is>
          <t>Switzerland</t>
        </is>
      </c>
    </row>
    <row r="222">
      <c r="A222" t="inlineStr">
        <is>
          <t>Patio Umbrella Stands &amp; Bases</t>
        </is>
      </c>
      <c r="AT222" t="inlineStr">
        <is>
          <t>Daunomycin</t>
        </is>
      </c>
      <c r="AU222" t="inlineStr">
        <is>
          <t>Syrian Arab Republic</t>
        </is>
      </c>
    </row>
    <row r="223">
      <c r="A223" t="inlineStr">
        <is>
          <t>Food Processors</t>
        </is>
      </c>
      <c r="AT223" t="inlineStr">
        <is>
          <t xml:space="preserve">Daunorubicin hydrochloride </t>
        </is>
      </c>
      <c r="AU223" t="inlineStr">
        <is>
          <t>Taiwan</t>
        </is>
      </c>
    </row>
    <row r="224">
      <c r="A224" t="inlineStr">
        <is>
          <t>Ice Cream Makers &amp; Yogurt Makers</t>
        </is>
      </c>
      <c r="AT224" t="inlineStr">
        <is>
          <t>2,4-D butyric acid</t>
        </is>
      </c>
      <c r="AU224" t="inlineStr">
        <is>
          <t>Tajikistan</t>
        </is>
      </c>
    </row>
    <row r="225">
      <c r="A225" t="inlineStr">
        <is>
          <t>Slow Cookers</t>
        </is>
      </c>
      <c r="AT225" t="inlineStr">
        <is>
          <t>DDD (Dichlorodiphenyl-dichloroethane)</t>
        </is>
      </c>
      <c r="AU225" t="inlineStr">
        <is>
          <t>Tanzania, United Republic of</t>
        </is>
      </c>
    </row>
    <row r="226">
      <c r="A226" t="inlineStr">
        <is>
          <t>Food Dehydrators</t>
        </is>
      </c>
      <c r="AT226" t="inlineStr">
        <is>
          <t>DDE (Dichlorodiphenyl-dichloroethylene)</t>
        </is>
      </c>
      <c r="AU226" t="inlineStr">
        <is>
          <t>Thailand</t>
        </is>
      </c>
    </row>
    <row r="227">
      <c r="A227" t="inlineStr">
        <is>
          <t>Vacuum Food Sealers</t>
        </is>
      </c>
      <c r="AT227" t="inlineStr">
        <is>
          <t>DDT (Dichlorodiphenyl-trichloroethane)</t>
        </is>
      </c>
      <c r="AU227" t="inlineStr">
        <is>
          <t>Timor-Leste</t>
        </is>
      </c>
    </row>
    <row r="228">
      <c r="A228" t="inlineStr">
        <is>
          <t>Electric Grills &amp; Skillets</t>
        </is>
      </c>
      <c r="AT228" t="inlineStr">
        <is>
          <t>o,p'-DDT</t>
        </is>
      </c>
      <c r="AU228" t="inlineStr">
        <is>
          <t>Togo</t>
        </is>
      </c>
    </row>
    <row r="229">
      <c r="A229" t="inlineStr">
        <is>
          <t>Garbage Disposals</t>
        </is>
      </c>
      <c r="AT229" t="inlineStr">
        <is>
          <t>p,p'-DDT</t>
        </is>
      </c>
      <c r="AU229" t="inlineStr">
        <is>
          <t>Tokelau</t>
        </is>
      </c>
    </row>
    <row r="230">
      <c r="A230" t="inlineStr">
        <is>
          <t>Juicers</t>
        </is>
      </c>
      <c r="AT230" t="inlineStr">
        <is>
          <t>DDVP (Dichlorvos)</t>
        </is>
      </c>
      <c r="AU230" t="inlineStr">
        <is>
          <t>Tonga</t>
        </is>
      </c>
    </row>
    <row r="231">
      <c r="A231" t="inlineStr">
        <is>
          <t>Irons, Garment Steamers &amp; Hair Tools</t>
        </is>
      </c>
      <c r="AT231" t="inlineStr">
        <is>
          <t>Demeclocycline hydrochloride (internal use)</t>
        </is>
      </c>
      <c r="AU231" t="inlineStr">
        <is>
          <t>Trinidad and Tobago</t>
        </is>
      </c>
    </row>
    <row r="232">
      <c r="A232" t="inlineStr">
        <is>
          <t>Strainers, Colanders, &amp; Salad Spinners</t>
        </is>
      </c>
      <c r="AT232" t="inlineStr">
        <is>
          <t>Des-ethyl atrazine (DEA)</t>
        </is>
      </c>
      <c r="AU232" t="inlineStr">
        <is>
          <t>Tunisia</t>
        </is>
      </c>
    </row>
    <row r="233">
      <c r="A233" t="inlineStr">
        <is>
          <t>Pasta Makers &amp; Accessories</t>
        </is>
      </c>
      <c r="AT233" t="inlineStr">
        <is>
          <t>Des-isopropyl atrazine (DIA)</t>
        </is>
      </c>
      <c r="AU233" t="inlineStr">
        <is>
          <t>Turkey</t>
        </is>
      </c>
    </row>
    <row r="234">
      <c r="A234" t="inlineStr">
        <is>
          <t>Can Openers</t>
        </is>
      </c>
      <c r="AT234" t="inlineStr">
        <is>
          <t>N,N'-Diacetylbenzidine</t>
        </is>
      </c>
      <c r="AU234" t="inlineStr">
        <is>
          <t>Turkmenistan</t>
        </is>
      </c>
    </row>
    <row r="235">
      <c r="A235" t="inlineStr">
        <is>
          <t>Popcorn Machines / Nut Roasters</t>
        </is>
      </c>
      <c r="AT235" t="inlineStr">
        <is>
          <t>2,4-Diaminoanisole</t>
        </is>
      </c>
      <c r="AU235" t="inlineStr">
        <is>
          <t>Turks and Caicos Islands</t>
        </is>
      </c>
    </row>
    <row r="236">
      <c r="A236" t="inlineStr">
        <is>
          <t>Air Fryers</t>
        </is>
      </c>
      <c r="AT236" t="inlineStr">
        <is>
          <t>2,4-Diaminoanisole sulfate</t>
        </is>
      </c>
      <c r="AU236" t="inlineStr">
        <is>
          <t>Tuvalu</t>
        </is>
      </c>
    </row>
    <row r="237">
      <c r="A237" t="inlineStr">
        <is>
          <t>Timers</t>
        </is>
      </c>
      <c r="AT237" t="inlineStr">
        <is>
          <t>2,4-Diamino-6-chloro-s-triazine (DACT)</t>
        </is>
      </c>
      <c r="AU237" t="inlineStr">
        <is>
          <t>Uganda</t>
        </is>
      </c>
    </row>
    <row r="238">
      <c r="A238" t="inlineStr">
        <is>
          <t>Burners &amp; Hot Plates</t>
        </is>
      </c>
      <c r="AT238" t="inlineStr">
        <is>
          <t>4,4'-Diaminodiphenyl ether (4,4'-Oxydianiline)</t>
        </is>
      </c>
      <c r="AU238" t="inlineStr">
        <is>
          <t>Ukraine</t>
        </is>
      </c>
    </row>
    <row r="239">
      <c r="A239" t="inlineStr">
        <is>
          <t>Mops &amp; Mop Accessories</t>
        </is>
      </c>
      <c r="AT239" t="inlineStr">
        <is>
          <t>2,4-Diaminotoluene</t>
        </is>
      </c>
      <c r="AU239" t="inlineStr">
        <is>
          <t>United Arab Emirates</t>
        </is>
      </c>
    </row>
    <row r="240">
      <c r="A240" t="inlineStr">
        <is>
          <t>Hammock Stands and Accessories</t>
        </is>
      </c>
      <c r="AT240" t="inlineStr">
        <is>
          <t>Diazepam</t>
        </is>
      </c>
      <c r="AU240" t="inlineStr">
        <is>
          <t>United Kingdom</t>
        </is>
      </c>
    </row>
    <row r="241">
      <c r="A241" t="inlineStr">
        <is>
          <t>Waffle, Pizzelle &amp; Crepe Makers</t>
        </is>
      </c>
      <c r="AT241" t="inlineStr">
        <is>
          <t>Diazoaminobenzene</t>
        </is>
      </c>
      <c r="AU241" t="inlineStr">
        <is>
          <t>United States Minor Outlying Islands</t>
        </is>
      </c>
    </row>
    <row r="242">
      <c r="A242" t="inlineStr">
        <is>
          <t>Cradle &amp; Bassinet Bedding</t>
        </is>
      </c>
      <c r="AT242" t="inlineStr">
        <is>
          <t>Diazoxide</t>
        </is>
      </c>
      <c r="AU242" t="inlineStr">
        <is>
          <t>Uruguay</t>
        </is>
      </c>
    </row>
    <row r="243">
      <c r="A243" t="inlineStr">
        <is>
          <t>Toddler Bedding</t>
        </is>
      </c>
      <c r="AT243" t="inlineStr">
        <is>
          <t>Dibenz[a,h]acridine</t>
        </is>
      </c>
      <c r="AU243" t="inlineStr">
        <is>
          <t>Uzbekistan</t>
        </is>
      </c>
    </row>
    <row r="244">
      <c r="A244" t="inlineStr">
        <is>
          <t>Crib Bedding Sets</t>
        </is>
      </c>
      <c r="AT244" t="inlineStr">
        <is>
          <t>Dibenz[a,j]acridine</t>
        </is>
      </c>
      <c r="AU244" t="inlineStr">
        <is>
          <t>Vanuatu</t>
        </is>
      </c>
    </row>
    <row r="245">
      <c r="A245" t="inlineStr">
        <is>
          <t>Training Tables</t>
        </is>
      </c>
      <c r="AT245" t="inlineStr">
        <is>
          <t>Dibenzanthracenes</t>
        </is>
      </c>
      <c r="AU245" t="inlineStr">
        <is>
          <t>Venezuela</t>
        </is>
      </c>
    </row>
    <row r="246">
      <c r="A246" t="inlineStr">
        <is>
          <t>Game Chairs</t>
        </is>
      </c>
      <c r="AT246" t="inlineStr">
        <is>
          <t>Dibenz[a,c]anthracene</t>
        </is>
      </c>
      <c r="AU246" t="inlineStr">
        <is>
          <t>Vietnam</t>
        </is>
      </c>
    </row>
    <row r="247">
      <c r="A247" t="inlineStr">
        <is>
          <t>Vacuums &amp; Steamers</t>
        </is>
      </c>
      <c r="AT247" t="inlineStr">
        <is>
          <t>Dibenz[a,h]anthracene</t>
        </is>
      </c>
      <c r="AU247" t="inlineStr">
        <is>
          <t>Virgin Islands, British</t>
        </is>
      </c>
    </row>
    <row r="248">
      <c r="A248" t="inlineStr">
        <is>
          <t>Ergonomic Accessories</t>
        </is>
      </c>
      <c r="AT248" t="inlineStr">
        <is>
          <t>Dibenz[a,j]anthracene</t>
        </is>
      </c>
      <c r="AU248" t="inlineStr">
        <is>
          <t>Virgin Islands, U.S.</t>
        </is>
      </c>
    </row>
    <row r="249">
      <c r="A249" t="inlineStr">
        <is>
          <t>Crib Mattresses</t>
        </is>
      </c>
      <c r="AT249" t="inlineStr">
        <is>
          <t>7H-Dibenzo[c,g]carbazole</t>
        </is>
      </c>
      <c r="AU249" t="inlineStr">
        <is>
          <t>Wallis and Futuna</t>
        </is>
      </c>
    </row>
    <row r="250">
      <c r="A250" t="inlineStr">
        <is>
          <t>Drinking Fountains</t>
        </is>
      </c>
      <c r="AT250" t="inlineStr">
        <is>
          <t>Dibenzo[a,e]pyrene</t>
        </is>
      </c>
      <c r="AU250" t="inlineStr">
        <is>
          <t>Western Sahara</t>
        </is>
      </c>
    </row>
    <row r="251">
      <c r="A251" t="inlineStr">
        <is>
          <t>Utility Sinks</t>
        </is>
      </c>
      <c r="AT251" t="inlineStr">
        <is>
          <t>Dibenzo[a,h]pyrene</t>
        </is>
      </c>
      <c r="AU251" t="inlineStr">
        <is>
          <t>Yemen</t>
        </is>
      </c>
    </row>
    <row r="252">
      <c r="A252" t="inlineStr">
        <is>
          <t>Fountain Accessories</t>
        </is>
      </c>
      <c r="AT252" t="inlineStr">
        <is>
          <t>Dibenzo[a,i]pyrene</t>
        </is>
      </c>
      <c r="AU252" t="inlineStr">
        <is>
          <t>Zambia</t>
        </is>
      </c>
    </row>
    <row r="253">
      <c r="A253" t="inlineStr">
        <is>
          <t>Refrigerators</t>
        </is>
      </c>
      <c r="AT253" t="inlineStr">
        <is>
          <t>Dibenzo[a,l]pyrene</t>
        </is>
      </c>
      <c r="AU253" t="inlineStr">
        <is>
          <t>Zimbabwe</t>
        </is>
      </c>
    </row>
    <row r="254">
      <c r="A254" t="inlineStr">
        <is>
          <t>Swing Sets &amp; Playgrounds</t>
        </is>
      </c>
      <c r="AT254" t="inlineStr">
        <is>
          <t>Dibromoacetic acid</t>
        </is>
      </c>
      <c r="AU254" t="inlineStr">
        <is>
          <t>United States - APO/FPO/DPO</t>
        </is>
      </c>
    </row>
    <row r="255">
      <c r="A255" t="inlineStr">
        <is>
          <t>Swing Set Accessories</t>
        </is>
      </c>
      <c r="AT255" t="inlineStr">
        <is>
          <t>Dibromoacetonitrile</t>
        </is>
      </c>
    </row>
    <row r="256">
      <c r="A256" t="inlineStr">
        <is>
          <t>Toaster Ovens</t>
        </is>
      </c>
      <c r="AT256" t="inlineStr">
        <is>
          <t>2,3-Dibromo-1-propanol</t>
        </is>
      </c>
    </row>
    <row r="257">
      <c r="A257" t="inlineStr">
        <is>
          <t>Slides</t>
        </is>
      </c>
      <c r="AT257" t="inlineStr">
        <is>
          <t>Dichloroacetic acid</t>
        </is>
      </c>
    </row>
    <row r="258">
      <c r="A258" t="inlineStr">
        <is>
          <t>Coffee Makers</t>
        </is>
      </c>
      <c r="AT258" t="inlineStr">
        <is>
          <t>p-Dichlorobenzene</t>
        </is>
      </c>
    </row>
    <row r="259">
      <c r="A259" t="inlineStr">
        <is>
          <t>Indoor Gardening</t>
        </is>
      </c>
      <c r="AT259" t="inlineStr">
        <is>
          <t>3,3'-Dichlorobenzidine</t>
        </is>
      </c>
    </row>
    <row r="260">
      <c r="A260" t="inlineStr">
        <is>
          <t>Wine Refrigerators</t>
        </is>
      </c>
      <c r="AT260" t="inlineStr">
        <is>
          <t>3,3'-Dichlorobenzidine dihydrochloride</t>
        </is>
      </c>
    </row>
    <row r="261">
      <c r="A261" t="inlineStr">
        <is>
          <t>Microwaves</t>
        </is>
      </c>
      <c r="AT261" t="inlineStr">
        <is>
          <t>1,1-Dichloro-2,2-bis(p-chloropheny)ethylene (DDE)</t>
        </is>
      </c>
    </row>
    <row r="262">
      <c r="A262" t="inlineStr">
        <is>
          <t>Cabinet Organization</t>
        </is>
      </c>
      <c r="AT262" t="inlineStr">
        <is>
          <t>1,4-Dichloro-2-butene</t>
        </is>
      </c>
    </row>
    <row r="263">
      <c r="A263" t="inlineStr">
        <is>
          <t>Teeter-Totters &amp; Seesaws</t>
        </is>
      </c>
      <c r="AT263" t="inlineStr">
        <is>
          <t>3,3'-Dichloro-4,4'-diamino-diphenyl ether</t>
        </is>
      </c>
    </row>
    <row r="264">
      <c r="A264" t="inlineStr">
        <is>
          <t>Sandboxes &amp; Sand Toys</t>
        </is>
      </c>
      <c r="AT264" t="inlineStr">
        <is>
          <t>1,1-Dichloroethane</t>
        </is>
      </c>
    </row>
    <row r="265">
      <c r="A265" t="inlineStr">
        <is>
          <t>Commercial Playground Equipment</t>
        </is>
      </c>
      <c r="AT265" t="inlineStr">
        <is>
          <t>Dichloromethane (Methylene chloride)</t>
        </is>
      </c>
    </row>
    <row r="266">
      <c r="A266" t="inlineStr">
        <is>
          <t>Indoor Chaise Lounges</t>
        </is>
      </c>
      <c r="AT266" t="inlineStr">
        <is>
          <t>Dichlorophene</t>
        </is>
      </c>
    </row>
    <row r="267">
      <c r="A267" t="inlineStr">
        <is>
          <t>Espresso Machines</t>
        </is>
      </c>
      <c r="AT267" t="inlineStr">
        <is>
          <t>Dichlorphenamide</t>
        </is>
      </c>
    </row>
    <row r="268">
      <c r="A268" t="inlineStr">
        <is>
          <t>Dog Beds &amp; Mats</t>
        </is>
      </c>
      <c r="AT268" t="inlineStr">
        <is>
          <t>1,2-Dichloropropane</t>
        </is>
      </c>
    </row>
    <row r="269">
      <c r="A269" t="inlineStr">
        <is>
          <t>Open Stock Knives and Kitchen Scissors</t>
        </is>
      </c>
      <c r="AT269" t="inlineStr">
        <is>
          <t>1,3-Dichloro-2-propanol (1,3-DCP)</t>
        </is>
      </c>
    </row>
    <row r="270">
      <c r="A270" t="inlineStr">
        <is>
          <t>Flatware &amp; Silverware Single Pieces</t>
        </is>
      </c>
      <c r="AT270" t="inlineStr">
        <is>
          <t>1,3-Dichloropropene</t>
        </is>
      </c>
    </row>
    <row r="271">
      <c r="A271" t="inlineStr">
        <is>
          <t>Vehicle Covers</t>
        </is>
      </c>
      <c r="AT271" t="inlineStr">
        <is>
          <t>Dicumarol</t>
        </is>
      </c>
    </row>
    <row r="272">
      <c r="A272" t="inlineStr">
        <is>
          <t>Desk Parts</t>
        </is>
      </c>
      <c r="AT272" t="inlineStr">
        <is>
          <t>Dieldrin</t>
        </is>
      </c>
    </row>
    <row r="273">
      <c r="A273" t="inlineStr">
        <is>
          <t>Safety Gates</t>
        </is>
      </c>
      <c r="AT273" t="inlineStr">
        <is>
          <t>Diepoxybutane</t>
        </is>
      </c>
    </row>
    <row r="274">
      <c r="A274" t="inlineStr">
        <is>
          <t>Steam</t>
        </is>
      </c>
      <c r="AT274" t="inlineStr">
        <is>
          <t>Diesel engine exhaust</t>
        </is>
      </c>
    </row>
    <row r="275">
      <c r="A275" t="inlineStr">
        <is>
          <t>Chocolate And Beverage Fountains</t>
        </is>
      </c>
      <c r="AT275" t="inlineStr">
        <is>
          <t>Diethanolamine</t>
        </is>
      </c>
    </row>
    <row r="276">
      <c r="A276" t="inlineStr">
        <is>
          <t>Bread Machines</t>
        </is>
      </c>
      <c r="AT276" t="inlineStr">
        <is>
          <t>Di(2-ethylhexyl)phthalate (DEHP)</t>
        </is>
      </c>
    </row>
    <row r="277">
      <c r="A277" t="inlineStr">
        <is>
          <t>Coffee Grinders</t>
        </is>
      </c>
      <c r="AT277" t="inlineStr">
        <is>
          <t>1,2-Diethylhydrazine</t>
        </is>
      </c>
    </row>
    <row r="278">
      <c r="A278" t="inlineStr">
        <is>
          <t>Milk Frothers</t>
        </is>
      </c>
      <c r="AT278" t="inlineStr">
        <is>
          <t>Diethylstilbestrol (DES)</t>
        </is>
      </c>
    </row>
    <row r="279">
      <c r="A279" t="inlineStr">
        <is>
          <t>Coffee &amp; Espresso Accessories</t>
        </is>
      </c>
      <c r="AT279" t="inlineStr">
        <is>
          <t>Diethyl sulfate</t>
        </is>
      </c>
    </row>
    <row r="280">
      <c r="A280" t="inlineStr">
        <is>
          <t>Snow Cone Machines &amp; Ice Crushers</t>
        </is>
      </c>
      <c r="AT280" t="inlineStr">
        <is>
          <t>Diflunisal</t>
        </is>
      </c>
    </row>
    <row r="281">
      <c r="A281" t="inlineStr">
        <is>
          <t>Garage Floors</t>
        </is>
      </c>
      <c r="AT281" t="inlineStr">
        <is>
          <t>Diglycidyl resorcinol ether (DGRE)</t>
        </is>
      </c>
    </row>
    <row r="282">
      <c r="A282" t="inlineStr">
        <is>
          <t>Futons</t>
        </is>
      </c>
      <c r="AT282" t="inlineStr">
        <is>
          <t xml:space="preserve">Dihydroergotamine mesylate </t>
        </is>
      </c>
    </row>
    <row r="283">
      <c r="A283" t="inlineStr">
        <is>
          <t>Fire Pit &amp; Chiminea Accessories</t>
        </is>
      </c>
      <c r="AT283" t="inlineStr">
        <is>
          <t>Dihydrosafrole</t>
        </is>
      </c>
    </row>
    <row r="284">
      <c r="A284" t="inlineStr">
        <is>
          <t>Knife Sharpeners</t>
        </is>
      </c>
      <c r="AT284" t="inlineStr">
        <is>
          <t>Diisononyl phthalate (DINP)</t>
        </is>
      </c>
    </row>
    <row r="285">
      <c r="A285" t="inlineStr">
        <is>
          <t>Electric Knives</t>
        </is>
      </c>
      <c r="AT285" t="inlineStr">
        <is>
          <t>Diisopropyl sulfate</t>
        </is>
      </c>
    </row>
    <row r="286">
      <c r="A286" t="inlineStr">
        <is>
          <t>Water Coolers &amp; Dispensers</t>
        </is>
      </c>
      <c r="AT286" t="inlineStr">
        <is>
          <t>Diltiazem hydrochloride</t>
        </is>
      </c>
    </row>
    <row r="287">
      <c r="A287" t="inlineStr">
        <is>
          <t>Kegerators</t>
        </is>
      </c>
      <c r="AT287" t="inlineStr">
        <is>
          <t>3,3'-Dimethoxybenzidine (o-Dianisidine)</t>
        </is>
      </c>
    </row>
    <row r="288">
      <c r="A288" t="inlineStr">
        <is>
          <t>Lids &amp; Covers</t>
        </is>
      </c>
      <c r="AT288" t="inlineStr">
        <is>
          <t>3,3'-Dimethoxybenzidine dihydrochloride</t>
        </is>
      </c>
    </row>
    <row r="289">
      <c r="A289" t="inlineStr">
        <is>
          <t>Poachers</t>
        </is>
      </c>
      <c r="AT289" t="inlineStr">
        <is>
          <t>3,3'-Dimethoxybenzidine-based dyes metabolized to 3,3'-dimethoxybenzidine</t>
        </is>
      </c>
    </row>
    <row r="290">
      <c r="A290" t="inlineStr">
        <is>
          <t>Bar &amp; Wine Tools</t>
        </is>
      </c>
      <c r="AT290" t="inlineStr">
        <is>
          <t>N,N-Dimethylacetamide</t>
        </is>
      </c>
    </row>
    <row r="291">
      <c r="A291" t="inlineStr">
        <is>
          <t>Space Heaters</t>
        </is>
      </c>
      <c r="AT291" t="inlineStr">
        <is>
          <t>4-Dimethylaminoazobenzene</t>
        </is>
      </c>
    </row>
    <row r="292">
      <c r="A292" t="inlineStr">
        <is>
          <t>Christmas Trees</t>
        </is>
      </c>
      <c r="AT292" t="inlineStr">
        <is>
          <t>trans-2-[(Dimethylamino)methylimino]-5-[2-(5-nitro-2-furyl)vinyl]-1,3,4-oxadiazole</t>
        </is>
      </c>
    </row>
    <row r="293">
      <c r="A293" t="inlineStr">
        <is>
          <t>Ornaments &amp; Tree Décor</t>
        </is>
      </c>
      <c r="AT293" t="inlineStr">
        <is>
          <t>7,12-Dimethylbenz(a)anthracene</t>
        </is>
      </c>
    </row>
    <row r="294">
      <c r="A294" t="inlineStr">
        <is>
          <t>Outdoor Decorations</t>
        </is>
      </c>
      <c r="AT294" t="inlineStr">
        <is>
          <t>3,3'-Dimethylbenzidine (ortho-Tolidine)</t>
        </is>
      </c>
    </row>
    <row r="295">
      <c r="A295" t="inlineStr">
        <is>
          <t>Holiday Lighting</t>
        </is>
      </c>
      <c r="AT295" t="inlineStr">
        <is>
          <t>3,3'-Dimethylbenzidine-based dyes metabolized to 3,3'-dimethylbenzidine</t>
        </is>
      </c>
    </row>
    <row r="296">
      <c r="A296" t="inlineStr">
        <is>
          <t>Chafing Dishes &amp; Accessories</t>
        </is>
      </c>
      <c r="AT296" t="inlineStr">
        <is>
          <t>3,3'-Dimethylbenzidine dihydrochloride</t>
        </is>
      </c>
    </row>
    <row r="297">
      <c r="A297" t="inlineStr">
        <is>
          <t>Dog and Cat Bowls, Feeders &amp; Accessories</t>
        </is>
      </c>
      <c r="AT297" t="inlineStr">
        <is>
          <t>Dimethylcarbamoyl chloride</t>
        </is>
      </c>
    </row>
    <row r="298">
      <c r="A298" t="inlineStr">
        <is>
          <t>Crates and Carriers</t>
        </is>
      </c>
      <c r="AT298" t="inlineStr">
        <is>
          <t>N,N-Dimethylformamide</t>
        </is>
      </c>
    </row>
    <row r="299">
      <c r="A299" t="inlineStr">
        <is>
          <t>Smokers</t>
        </is>
      </c>
      <c r="AT299" t="inlineStr">
        <is>
          <t>1,1-Dimethylhydrazine (UDMH)</t>
        </is>
      </c>
    </row>
    <row r="300">
      <c r="A300" t="inlineStr">
        <is>
          <t>Christmas Tree Stands &amp; Accessories</t>
        </is>
      </c>
      <c r="AT300" t="inlineStr">
        <is>
          <t>1,2-Dimethylhydrazine</t>
        </is>
      </c>
    </row>
    <row r="301">
      <c r="A301" t="inlineStr">
        <is>
          <t>Garlands &amp; Swag</t>
        </is>
      </c>
      <c r="AT301" t="inlineStr">
        <is>
          <t>2,6-Dimethyl-N-nitrosomorpholine (DMNM)</t>
        </is>
      </c>
    </row>
    <row r="302">
      <c r="A302" t="inlineStr">
        <is>
          <t>Woks</t>
        </is>
      </c>
      <c r="AT302" t="inlineStr">
        <is>
          <t>Dimethyl sulfate</t>
        </is>
      </c>
    </row>
    <row r="303">
      <c r="A303" t="inlineStr">
        <is>
          <t>Ranges</t>
        </is>
      </c>
      <c r="AT303" t="inlineStr">
        <is>
          <t>N,N-Dimethyl-p-toluidine</t>
        </is>
      </c>
    </row>
    <row r="304">
      <c r="A304" t="inlineStr">
        <is>
          <t>Wall Ovens</t>
        </is>
      </c>
      <c r="AT304" t="inlineStr">
        <is>
          <t>Dimethylvinylchloride</t>
        </is>
      </c>
    </row>
    <row r="305">
      <c r="A305" t="inlineStr">
        <is>
          <t>Cooktops</t>
        </is>
      </c>
      <c r="AT305" t="inlineStr">
        <is>
          <t>Di-n-butyl phthalate (DBP)</t>
        </is>
      </c>
    </row>
    <row r="306">
      <c r="A306" t="inlineStr">
        <is>
          <t>Outdoor Sinks &amp; Bar Centers</t>
        </is>
      </c>
      <c r="AT306" t="inlineStr">
        <is>
          <t>3,7-Dinitrofluoranthene</t>
        </is>
      </c>
    </row>
    <row r="307">
      <c r="A307" t="inlineStr">
        <is>
          <t>Pool Tables</t>
        </is>
      </c>
      <c r="AT307" t="inlineStr">
        <is>
          <t>3,9-Dinitrofluoranthene</t>
        </is>
      </c>
    </row>
    <row r="308">
      <c r="A308" t="inlineStr">
        <is>
          <t>Space Heater Accessories</t>
        </is>
      </c>
      <c r="AT308" t="inlineStr">
        <is>
          <t>1,3-Dinitropyrene</t>
        </is>
      </c>
    </row>
    <row r="309">
      <c r="A309" t="inlineStr">
        <is>
          <t>Washing Machines</t>
        </is>
      </c>
      <c r="AT309" t="inlineStr">
        <is>
          <t>1,6-Dinitropyrene</t>
        </is>
      </c>
    </row>
    <row r="310">
      <c r="A310" t="inlineStr">
        <is>
          <t>Flatware &amp; Silverware Sets</t>
        </is>
      </c>
      <c r="AT310" t="inlineStr">
        <is>
          <t>1,8-Dinitropyrene</t>
        </is>
      </c>
    </row>
    <row r="311">
      <c r="A311" t="inlineStr">
        <is>
          <t>Trampolines</t>
        </is>
      </c>
      <c r="AT311" t="inlineStr">
        <is>
          <t>2,4-Dinitrotoluene</t>
        </is>
      </c>
    </row>
    <row r="312">
      <c r="A312" t="inlineStr">
        <is>
          <t>Trampoline Accessories &amp; Parts</t>
        </is>
      </c>
      <c r="AT312" t="inlineStr">
        <is>
          <t>2,6-Dinitrotoluene</t>
        </is>
      </c>
    </row>
    <row r="313">
      <c r="A313" t="inlineStr">
        <is>
          <t>Flatware &amp; Silverware Serving Pieces</t>
        </is>
      </c>
      <c r="AT313" t="inlineStr">
        <is>
          <t>Dinitrotoluene mixture, 2,4-/2,6-</t>
        </is>
      </c>
    </row>
    <row r="314">
      <c r="A314" t="inlineStr">
        <is>
          <t>Picnic Baskets &amp; Coolers</t>
        </is>
      </c>
      <c r="AT314" t="inlineStr">
        <is>
          <t>Dinocap</t>
        </is>
      </c>
    </row>
    <row r="315">
      <c r="A315" t="inlineStr">
        <is>
          <t>Poultry &amp; Meat Preparation Tools</t>
        </is>
      </c>
      <c r="AT315" t="inlineStr">
        <is>
          <t>Dinoseb</t>
        </is>
      </c>
    </row>
    <row r="316">
      <c r="A316" t="inlineStr">
        <is>
          <t>Slicers, Peelers And Graters</t>
        </is>
      </c>
      <c r="AT316" t="inlineStr">
        <is>
          <t>Di-n-propyl isocinchomeronate (MGK Repellent 326)</t>
        </is>
      </c>
    </row>
    <row r="317">
      <c r="A317" t="inlineStr">
        <is>
          <t>Coasters &amp; Trivets</t>
        </is>
      </c>
      <c r="AT317" t="inlineStr">
        <is>
          <t>1,4-Dioxane</t>
        </is>
      </c>
    </row>
    <row r="318">
      <c r="A318" t="inlineStr">
        <is>
          <t>Dartboards And Cabinets</t>
        </is>
      </c>
      <c r="AT318" t="inlineStr">
        <is>
          <t>Diphenylhydantoin (Phenytoin)</t>
        </is>
      </c>
    </row>
    <row r="319">
      <c r="A319" t="inlineStr">
        <is>
          <t>Dishwashers</t>
        </is>
      </c>
      <c r="AT319" t="inlineStr">
        <is>
          <t>Diphenylhydantoin (Phenytoin), sodium salt</t>
        </is>
      </c>
    </row>
    <row r="320">
      <c r="A320" t="inlineStr">
        <is>
          <t>Kitchen Gadgets</t>
        </is>
      </c>
      <c r="AT320" t="inlineStr">
        <is>
          <t>Direct Black 38 (technical grade)</t>
        </is>
      </c>
    </row>
    <row r="321">
      <c r="A321" t="inlineStr">
        <is>
          <t>Pet Strollers</t>
        </is>
      </c>
      <c r="AT321" t="inlineStr">
        <is>
          <t>Direct Blue 6 (technical grade)</t>
        </is>
      </c>
    </row>
    <row r="322">
      <c r="A322" t="inlineStr">
        <is>
          <t>Rolling Pins</t>
        </is>
      </c>
      <c r="AT322" t="inlineStr">
        <is>
          <t>Direct Brown 95 (technical grade)</t>
        </is>
      </c>
    </row>
    <row r="323">
      <c r="A323" t="inlineStr">
        <is>
          <t>Dog Houses</t>
        </is>
      </c>
      <c r="AT323" t="inlineStr">
        <is>
          <t>Disodium cyanodithioimidocarbonate</t>
        </is>
      </c>
    </row>
    <row r="324">
      <c r="A324" t="inlineStr">
        <is>
          <t>Coffee Servers, Airpots &amp; Carafes</t>
        </is>
      </c>
      <c r="AT324" t="inlineStr">
        <is>
          <t>Disperse Blue 1</t>
        </is>
      </c>
    </row>
    <row r="325">
      <c r="A325" t="inlineStr">
        <is>
          <t>Stovetop &amp; Electric Tea Kettles</t>
        </is>
      </c>
      <c r="AT325" t="inlineStr">
        <is>
          <t>Diuron</t>
        </is>
      </c>
    </row>
    <row r="326">
      <c r="A326" t="inlineStr">
        <is>
          <t>Kids Beds</t>
        </is>
      </c>
      <c r="AT326" t="inlineStr">
        <is>
          <t>Doxorubicin hydrochloride (Adriamycin)</t>
        </is>
      </c>
    </row>
    <row r="327">
      <c r="A327" t="inlineStr">
        <is>
          <t>Game Table Accessories</t>
        </is>
      </c>
      <c r="AT327" t="inlineStr">
        <is>
          <t>Doxycycline (internal use)</t>
        </is>
      </c>
    </row>
    <row r="328">
      <c r="A328" t="inlineStr">
        <is>
          <t>Table Tennis Tables</t>
        </is>
      </c>
      <c r="AT328" t="inlineStr">
        <is>
          <t>Doxycycline calcium (internal use)</t>
        </is>
      </c>
    </row>
    <row r="329">
      <c r="A329" t="inlineStr">
        <is>
          <t>Sports Fan Shop Products</t>
        </is>
      </c>
      <c r="AT329" t="inlineStr">
        <is>
          <t>Doxycycline hyclate (internal use)</t>
        </is>
      </c>
    </row>
    <row r="330">
      <c r="A330" t="inlineStr">
        <is>
          <t>Kids Wall Décor</t>
        </is>
      </c>
      <c r="AT330" t="inlineStr">
        <is>
          <t>Doxycycline monohydrate (internal use)</t>
        </is>
      </c>
    </row>
    <row r="331">
      <c r="A331" t="inlineStr">
        <is>
          <t>Hot / Cold Tea Accessories</t>
        </is>
      </c>
      <c r="AT331" t="inlineStr">
        <is>
          <t>Emissions from combustion of coal</t>
        </is>
      </c>
    </row>
    <row r="332">
      <c r="A332" t="inlineStr">
        <is>
          <t>Cat Condos &amp; Cat Trees</t>
        </is>
      </c>
      <c r="AT332" t="inlineStr">
        <is>
          <t>Emissions from high-temperature unrefined rapeseed oil</t>
        </is>
      </c>
    </row>
    <row r="333">
      <c r="A333" t="inlineStr">
        <is>
          <t>Cabinet and Drawer Pulls</t>
        </is>
      </c>
      <c r="AT333" t="inlineStr">
        <is>
          <t>Endrin</t>
        </is>
      </c>
    </row>
    <row r="334">
      <c r="A334" t="inlineStr">
        <is>
          <t>Dryers</t>
        </is>
      </c>
      <c r="AT334" t="inlineStr">
        <is>
          <t>Environmental tobacco smoke (ETS)</t>
        </is>
      </c>
    </row>
    <row r="335">
      <c r="A335" t="inlineStr">
        <is>
          <t>Lawn Games</t>
        </is>
      </c>
      <c r="AT335" t="inlineStr">
        <is>
          <t>Epichlorohydrin</t>
        </is>
      </c>
    </row>
    <row r="336">
      <c r="A336" t="inlineStr">
        <is>
          <t>Bird Cages</t>
        </is>
      </c>
      <c r="AT336" t="inlineStr">
        <is>
          <t>Epoxiconazole</t>
        </is>
      </c>
    </row>
    <row r="337">
      <c r="A337" t="inlineStr">
        <is>
          <t>Cat Litter Boxes &amp; Litter Box Enclosures</t>
        </is>
      </c>
      <c r="AT337" t="inlineStr">
        <is>
          <t>Ergotamine tartrate</t>
        </is>
      </c>
    </row>
    <row r="338">
      <c r="A338" t="inlineStr">
        <is>
          <t>Pet Ramps &amp; Stairs</t>
        </is>
      </c>
      <c r="AT338" t="inlineStr">
        <is>
          <t>Estradiol 17B</t>
        </is>
      </c>
    </row>
    <row r="339">
      <c r="A339" t="inlineStr">
        <is>
          <t>Freezers</t>
        </is>
      </c>
      <c r="AT339" t="inlineStr">
        <is>
          <t>Estragole</t>
        </is>
      </c>
    </row>
    <row r="340">
      <c r="A340" t="inlineStr">
        <is>
          <t>Decorative Objects</t>
        </is>
      </c>
      <c r="AT340" t="inlineStr">
        <is>
          <t>Estrogens, steroidal</t>
        </is>
      </c>
    </row>
    <row r="341">
      <c r="A341" t="inlineStr">
        <is>
          <t>Ice Makers</t>
        </is>
      </c>
      <c r="AT341" t="inlineStr">
        <is>
          <t>Estrogen-progestogen (combined) used as menopausal therapy</t>
        </is>
      </c>
    </row>
    <row r="342">
      <c r="A342" t="inlineStr">
        <is>
          <t>Stanchions</t>
        </is>
      </c>
      <c r="AT342" t="inlineStr">
        <is>
          <t>Estrone</t>
        </is>
      </c>
    </row>
    <row r="343">
      <c r="A343" t="inlineStr">
        <is>
          <t>Pizza Stones, Pans &amp; Peels</t>
        </is>
      </c>
      <c r="AT343" t="inlineStr">
        <is>
          <t>Estropipate</t>
        </is>
      </c>
    </row>
    <row r="344">
      <c r="A344" t="inlineStr">
        <is>
          <t>Bed Skirts</t>
        </is>
      </c>
      <c r="AT344" t="inlineStr">
        <is>
          <t>Ethanol in alcoholic beverages</t>
        </is>
      </c>
    </row>
    <row r="345">
      <c r="A345" t="inlineStr">
        <is>
          <t>Standard Bed Pillow</t>
        </is>
      </c>
      <c r="AT345" t="inlineStr">
        <is>
          <t>Ethinylestradiol</t>
        </is>
      </c>
    </row>
    <row r="346">
      <c r="A346" t="inlineStr">
        <is>
          <t>Bedding Sets</t>
        </is>
      </c>
      <c r="AT346" t="inlineStr">
        <is>
          <t>Ethionamide</t>
        </is>
      </c>
    </row>
    <row r="347">
      <c r="A347" t="inlineStr">
        <is>
          <t>Candles</t>
        </is>
      </c>
      <c r="AT347" t="inlineStr">
        <is>
          <t>Ethoprop</t>
        </is>
      </c>
    </row>
    <row r="348">
      <c r="A348" t="inlineStr">
        <is>
          <t>Boxes, Bins, Baskets, &amp; Buckets</t>
        </is>
      </c>
      <c r="AT348" t="inlineStr">
        <is>
          <t>Ethyl acrylate</t>
        </is>
      </c>
    </row>
    <row r="349">
      <c r="A349" t="inlineStr">
        <is>
          <t>Sheets &amp; Pillowcases</t>
        </is>
      </c>
      <c r="AT349" t="inlineStr">
        <is>
          <t>Ethyl alcohol in alcoholic beverages</t>
        </is>
      </c>
    </row>
    <row r="350">
      <c r="A350" t="inlineStr">
        <is>
          <t>Cake, Cookie, &amp; Pastry Decoration</t>
        </is>
      </c>
      <c r="AT350" t="inlineStr">
        <is>
          <t>Ethylbenzene</t>
        </is>
      </c>
    </row>
    <row r="351">
      <c r="A351" t="inlineStr">
        <is>
          <t>Bath Rugs &amp; Mats</t>
        </is>
      </c>
      <c r="AT351" t="inlineStr">
        <is>
          <t>Ethyl dipropylthiocarbamate</t>
        </is>
      </c>
    </row>
    <row r="352">
      <c r="A352" t="inlineStr">
        <is>
          <t>Accent Pillows</t>
        </is>
      </c>
      <c r="AT352" t="inlineStr">
        <is>
          <t>Ethyl-4,4'-dichlorobenzilate</t>
        </is>
      </c>
    </row>
    <row r="353">
      <c r="A353" t="inlineStr">
        <is>
          <t>Dining Linens</t>
        </is>
      </c>
      <c r="AT353" t="inlineStr">
        <is>
          <t>Ethylene dibromide</t>
        </is>
      </c>
    </row>
    <row r="354">
      <c r="A354" t="inlineStr">
        <is>
          <t>Wood Fireplaces</t>
        </is>
      </c>
      <c r="AT354" t="inlineStr">
        <is>
          <t>Ethylene dichloride (1,2-Dichloroethane)</t>
        </is>
      </c>
    </row>
    <row r="355">
      <c r="A355" t="inlineStr">
        <is>
          <t>Av Component Shelving</t>
        </is>
      </c>
      <c r="AT355" t="inlineStr">
        <is>
          <t>Ethylene glycol (ingested)</t>
        </is>
      </c>
    </row>
    <row r="356">
      <c r="A356" t="inlineStr">
        <is>
          <t>Globes</t>
        </is>
      </c>
      <c r="AT356" t="inlineStr">
        <is>
          <t>Ethylene glycol monoethyl ether</t>
        </is>
      </c>
    </row>
    <row r="357">
      <c r="A357" t="inlineStr">
        <is>
          <t>Glassware &amp; Barware</t>
        </is>
      </c>
      <c r="AT357" t="inlineStr">
        <is>
          <t>Ethylene glycol monoethyl ether acetate</t>
        </is>
      </c>
    </row>
    <row r="358">
      <c r="A358" t="inlineStr">
        <is>
          <t>Beverage Servers</t>
        </is>
      </c>
      <c r="AT358" t="inlineStr">
        <is>
          <t>Ethylene glycol monomethyl ether</t>
        </is>
      </c>
    </row>
    <row r="359">
      <c r="A359" t="inlineStr">
        <is>
          <t>Transformers</t>
        </is>
      </c>
      <c r="AT359" t="inlineStr">
        <is>
          <t>Ethylene glycol monomethyl ether acetate</t>
        </is>
      </c>
    </row>
    <row r="360">
      <c r="A360" t="inlineStr">
        <is>
          <t>Mixing Bowls</t>
        </is>
      </c>
      <c r="AT360" t="inlineStr">
        <is>
          <t>Ethyleneimine (Aziridine)</t>
        </is>
      </c>
    </row>
    <row r="361">
      <c r="A361" t="inlineStr">
        <is>
          <t>Kitchen Scales</t>
        </is>
      </c>
      <c r="AT361" t="inlineStr">
        <is>
          <t>Ethylene oxide</t>
        </is>
      </c>
    </row>
    <row r="362">
      <c r="A362" t="inlineStr">
        <is>
          <t>Measuring Cups, Spoons, Scoops &amp; Funnels</t>
        </is>
      </c>
      <c r="AT362" t="inlineStr">
        <is>
          <t>Ethylene thiourea</t>
        </is>
      </c>
    </row>
    <row r="363">
      <c r="A363" t="inlineStr">
        <is>
          <t>Magazine Racks</t>
        </is>
      </c>
      <c r="AT363" t="inlineStr">
        <is>
          <t>Ethyl methanesulfonate</t>
        </is>
      </c>
    </row>
    <row r="364">
      <c r="A364" t="inlineStr">
        <is>
          <t>Potholders</t>
        </is>
      </c>
      <c r="AT364" t="inlineStr">
        <is>
          <t>Etodolac</t>
        </is>
      </c>
    </row>
    <row r="365">
      <c r="A365" t="inlineStr">
        <is>
          <t>Kitchen Towels</t>
        </is>
      </c>
      <c r="AT365" t="inlineStr">
        <is>
          <t>Etoposide</t>
        </is>
      </c>
    </row>
    <row r="366">
      <c r="A366" t="inlineStr">
        <is>
          <t>Kitchen Aprons</t>
        </is>
      </c>
      <c r="AT366" t="inlineStr">
        <is>
          <t>Etoposide in combination with cisplatin and bleomycin</t>
        </is>
      </c>
    </row>
    <row r="367">
      <c r="A367" t="inlineStr">
        <is>
          <t>Decorative Plates &amp; Bowls</t>
        </is>
      </c>
      <c r="AT367" t="inlineStr">
        <is>
          <t>Etretinate</t>
        </is>
      </c>
    </row>
    <row r="368">
      <c r="A368" t="inlineStr">
        <is>
          <t>Food Thermometers</t>
        </is>
      </c>
      <c r="AT368" t="inlineStr">
        <is>
          <t>Fenoxaprop ethyl</t>
        </is>
      </c>
    </row>
    <row r="369">
      <c r="A369" t="inlineStr">
        <is>
          <t>Egg Tools</t>
        </is>
      </c>
      <c r="AT369" t="inlineStr">
        <is>
          <t>Fenoxycarb</t>
        </is>
      </c>
    </row>
    <row r="370">
      <c r="A370" t="inlineStr">
        <is>
          <t>Picture &amp; Memory Albums</t>
        </is>
      </c>
      <c r="AT370" t="inlineStr">
        <is>
          <t>Filgrastim</t>
        </is>
      </c>
    </row>
    <row r="371">
      <c r="A371" t="inlineStr">
        <is>
          <t>Food Storage &amp; Dispensers</t>
        </is>
      </c>
      <c r="AT371" t="inlineStr">
        <is>
          <t>Fluazifop butyl</t>
        </is>
      </c>
    </row>
    <row r="372">
      <c r="A372" t="inlineStr">
        <is>
          <t>Napkin Holders &amp; Paper Towel Holders</t>
        </is>
      </c>
      <c r="AT372" t="inlineStr">
        <is>
          <t>Flunisolide</t>
        </is>
      </c>
    </row>
    <row r="373">
      <c r="A373" t="inlineStr">
        <is>
          <t>Utensil Crocks, Caddies, Chests and Spoon Rests</t>
        </is>
      </c>
      <c r="AT373" t="inlineStr">
        <is>
          <t>Fluorouracil</t>
        </is>
      </c>
    </row>
    <row r="374">
      <c r="A374" t="inlineStr">
        <is>
          <t>Shuffleboards</t>
        </is>
      </c>
      <c r="AT374" t="inlineStr">
        <is>
          <t>Fluoxymesterone</t>
        </is>
      </c>
    </row>
    <row r="375">
      <c r="A375" t="inlineStr">
        <is>
          <t>Basketball Games</t>
        </is>
      </c>
      <c r="AT375" t="inlineStr">
        <is>
          <t>Flurazepam hydrochloride</t>
        </is>
      </c>
    </row>
    <row r="376">
      <c r="A376" t="inlineStr">
        <is>
          <t>Foosball Tables</t>
        </is>
      </c>
      <c r="AT376" t="inlineStr">
        <is>
          <t>Flurbiprofen</t>
        </is>
      </c>
    </row>
    <row r="377">
      <c r="A377" t="inlineStr">
        <is>
          <t>Hockey Tables</t>
        </is>
      </c>
      <c r="AT377" t="inlineStr">
        <is>
          <t>Flutamide</t>
        </is>
      </c>
    </row>
    <row r="378">
      <c r="A378" t="inlineStr">
        <is>
          <t>Multi Game Tables</t>
        </is>
      </c>
      <c r="AT378" t="inlineStr">
        <is>
          <t>Fluticasone propionate</t>
        </is>
      </c>
    </row>
    <row r="379">
      <c r="A379" t="inlineStr">
        <is>
          <t>Small Animal Cages And Habitats</t>
        </is>
      </c>
      <c r="AT379" t="inlineStr">
        <is>
          <t>Fluvalinate</t>
        </is>
      </c>
    </row>
    <row r="380">
      <c r="A380" t="inlineStr">
        <is>
          <t>Dog Car Accessories</t>
        </is>
      </c>
      <c r="AT380" t="inlineStr">
        <is>
          <t>Folpet</t>
        </is>
      </c>
    </row>
    <row r="381">
      <c r="A381" t="inlineStr">
        <is>
          <t>Wall Art</t>
        </is>
      </c>
      <c r="AT381" t="inlineStr">
        <is>
          <t>Formaldehyde (gas)</t>
        </is>
      </c>
    </row>
    <row r="382">
      <c r="A382" t="inlineStr">
        <is>
          <t>Mantels</t>
        </is>
      </c>
      <c r="AT382" t="inlineStr">
        <is>
          <t>2-(2-Formylhydrazino)-4-(5-nitro-2-furyl)thiazole</t>
        </is>
      </c>
    </row>
    <row r="383">
      <c r="A383" t="inlineStr">
        <is>
          <t>Bird Play Stand &amp; Playcenters</t>
        </is>
      </c>
      <c r="AT383" t="inlineStr">
        <is>
          <t>Fumonisin B1</t>
        </is>
      </c>
    </row>
    <row r="384">
      <c r="A384" t="inlineStr">
        <is>
          <t>Treadmills</t>
        </is>
      </c>
      <c r="AT384" t="inlineStr">
        <is>
          <t>Furan</t>
        </is>
      </c>
    </row>
    <row r="385">
      <c r="A385" t="inlineStr">
        <is>
          <t>Ellipticals</t>
        </is>
      </c>
      <c r="AT385" t="inlineStr">
        <is>
          <t>Furazolidone</t>
        </is>
      </c>
    </row>
    <row r="386">
      <c r="A386" t="inlineStr">
        <is>
          <t>Exercise Bikes</t>
        </is>
      </c>
      <c r="AT386" t="inlineStr">
        <is>
          <t>Furfuryl alcohol</t>
        </is>
      </c>
    </row>
    <row r="387">
      <c r="A387" t="inlineStr">
        <is>
          <t>Home Gyms</t>
        </is>
      </c>
      <c r="AT387" t="inlineStr">
        <is>
          <t>Furmecyclox</t>
        </is>
      </c>
    </row>
    <row r="388">
      <c r="A388" t="inlineStr">
        <is>
          <t>Pet Electric Fences/Containment</t>
        </is>
      </c>
      <c r="AT388" t="inlineStr">
        <is>
          <t>Fusarin C</t>
        </is>
      </c>
    </row>
    <row r="389">
      <c r="A389" t="inlineStr">
        <is>
          <t>Hardwood Flooring</t>
        </is>
      </c>
      <c r="AT389" t="inlineStr">
        <is>
          <t>Gallium arsenide</t>
        </is>
      </c>
    </row>
    <row r="390">
      <c r="A390" t="inlineStr">
        <is>
          <t>Laminate Flooring</t>
        </is>
      </c>
      <c r="AT390" t="inlineStr">
        <is>
          <t>Ganciclovir</t>
        </is>
      </c>
    </row>
    <row r="391">
      <c r="A391" t="inlineStr">
        <is>
          <t>Electronic Mounts</t>
        </is>
      </c>
      <c r="AT391" t="inlineStr">
        <is>
          <t>Ganciclovir sodium</t>
        </is>
      </c>
    </row>
    <row r="392">
      <c r="A392" t="inlineStr">
        <is>
          <t>Wall Clocks</t>
        </is>
      </c>
      <c r="AT392" t="inlineStr">
        <is>
          <t>Gasoline engine exhaust (condensates/extracts)</t>
        </is>
      </c>
    </row>
    <row r="393">
      <c r="A393" t="inlineStr">
        <is>
          <t>Flooring Trim</t>
        </is>
      </c>
      <c r="AT393" t="inlineStr">
        <is>
          <t>Gemfibrozil</t>
        </is>
      </c>
    </row>
    <row r="394">
      <c r="A394" t="inlineStr">
        <is>
          <t>Aquariums &amp; Bowls</t>
        </is>
      </c>
      <c r="AT394" t="inlineStr">
        <is>
          <t>Glass wool fibers (inhalable and biopersistent)</t>
        </is>
      </c>
    </row>
    <row r="395">
      <c r="A395" t="inlineStr">
        <is>
          <t>Sewing Machines &amp; Sergers</t>
        </is>
      </c>
      <c r="AT395" t="inlineStr">
        <is>
          <t>Glu-P-1 (2-Amino-6-methyldipyrido[1,2- a:3',2'-d]imidazole)</t>
        </is>
      </c>
    </row>
    <row r="396">
      <c r="A396" t="inlineStr">
        <is>
          <t>Camping Tents &amp; Shelters</t>
        </is>
      </c>
      <c r="AT396" t="inlineStr">
        <is>
          <t>Glu-P-2 (2-Aminodipyrido[1,2-a:3',2'-d]imidazole)</t>
        </is>
      </c>
    </row>
    <row r="397">
      <c r="A397" t="inlineStr">
        <is>
          <t>Arcade Games &amp; Slot Machine</t>
        </is>
      </c>
      <c r="AT397" t="inlineStr">
        <is>
          <t>Glycidaldehyde</t>
        </is>
      </c>
    </row>
    <row r="398">
      <c r="A398" t="inlineStr">
        <is>
          <t>Hot Tub Accessories</t>
        </is>
      </c>
      <c r="AT398" t="inlineStr">
        <is>
          <t>Glycidol</t>
        </is>
      </c>
    </row>
    <row r="399">
      <c r="A399" t="inlineStr">
        <is>
          <t>Bathroom Safety</t>
        </is>
      </c>
      <c r="AT399" t="inlineStr">
        <is>
          <t>Glyphosate</t>
        </is>
      </c>
    </row>
    <row r="400">
      <c r="A400" t="inlineStr">
        <is>
          <t>Crib Conversion Rails</t>
        </is>
      </c>
      <c r="AT400" t="inlineStr">
        <is>
          <t>Goldenseal root powder</t>
        </is>
      </c>
    </row>
    <row r="401">
      <c r="A401" t="inlineStr">
        <is>
          <t>Cat Litter Box Accessories</t>
        </is>
      </c>
      <c r="AT401" t="inlineStr">
        <is>
          <t>Goserelin acetate</t>
        </is>
      </c>
    </row>
    <row r="402">
      <c r="A402" t="inlineStr">
        <is>
          <t>Pet Crate &amp; Carrier Accessories</t>
        </is>
      </c>
      <c r="AT402" t="inlineStr">
        <is>
          <t>Griseofulvin</t>
        </is>
      </c>
    </row>
    <row r="403">
      <c r="A403" t="inlineStr">
        <is>
          <t>Blankets And Throws</t>
        </is>
      </c>
      <c r="AT403" t="inlineStr">
        <is>
          <t>Gyromitrin (Acetaldehyde methylformylhydrazone)</t>
        </is>
      </c>
    </row>
    <row r="404">
      <c r="A404" t="inlineStr">
        <is>
          <t>Duvet Fills and Inserts</t>
        </is>
      </c>
      <c r="AT404" t="inlineStr">
        <is>
          <t>Halazepam</t>
        </is>
      </c>
    </row>
    <row r="405">
      <c r="A405" t="inlineStr">
        <is>
          <t>Shower Curtains</t>
        </is>
      </c>
      <c r="AT405" t="inlineStr">
        <is>
          <t>Halobetasol propionate</t>
        </is>
      </c>
    </row>
    <row r="406">
      <c r="A406" t="inlineStr">
        <is>
          <t>Bath Towels</t>
        </is>
      </c>
      <c r="AT406" t="inlineStr">
        <is>
          <t>Haloperidol</t>
        </is>
      </c>
    </row>
    <row r="407">
      <c r="A407" t="inlineStr">
        <is>
          <t>Pet Gates</t>
        </is>
      </c>
      <c r="AT407" t="inlineStr">
        <is>
          <t>Halothane</t>
        </is>
      </c>
    </row>
    <row r="408">
      <c r="A408" t="inlineStr">
        <is>
          <t>Pet Doors</t>
        </is>
      </c>
      <c r="AT408" t="inlineStr">
        <is>
          <t>HC Blue 1</t>
        </is>
      </c>
    </row>
    <row r="409">
      <c r="A409" t="inlineStr">
        <is>
          <t>Cat Cages &amp; Playpens</t>
        </is>
      </c>
      <c r="AT409" t="inlineStr">
        <is>
          <t>Heptachlor</t>
        </is>
      </c>
    </row>
    <row r="410">
      <c r="A410" t="inlineStr">
        <is>
          <t>Pet Bed Accessories &amp; Covers</t>
        </is>
      </c>
      <c r="AT410" t="inlineStr">
        <is>
          <t>Heptachlor epoxide</t>
        </is>
      </c>
    </row>
    <row r="411">
      <c r="A411" t="inlineStr">
        <is>
          <t>Potting Benches &amp; Tables</t>
        </is>
      </c>
      <c r="AT411" t="inlineStr">
        <is>
          <t>Herbal remedies containing plant species of the genus Aristolochia</t>
        </is>
      </c>
    </row>
    <row r="412">
      <c r="A412" t="inlineStr">
        <is>
          <t>Hand Dryers</t>
        </is>
      </c>
      <c r="AT412" t="inlineStr">
        <is>
          <t>Hexachlorobenzene</t>
        </is>
      </c>
    </row>
    <row r="413">
      <c r="A413" t="inlineStr">
        <is>
          <t>Chair Accessories</t>
        </is>
      </c>
      <c r="AT413" t="inlineStr">
        <is>
          <t>Hexachlorobutadiene</t>
        </is>
      </c>
    </row>
    <row r="414">
      <c r="A414" t="inlineStr">
        <is>
          <t>Hooks</t>
        </is>
      </c>
      <c r="AT414" t="inlineStr">
        <is>
          <t>Hexachlorodibenzodioxin</t>
        </is>
      </c>
    </row>
    <row r="415">
      <c r="A415" t="inlineStr">
        <is>
          <t>Brooms and Sweepers</t>
        </is>
      </c>
      <c r="AT415" t="inlineStr">
        <is>
          <t>Hexachloroethane</t>
        </is>
      </c>
    </row>
    <row r="416">
      <c r="A416" t="inlineStr">
        <is>
          <t>Fire Extinguishers</t>
        </is>
      </c>
      <c r="AT416" t="inlineStr">
        <is>
          <t>2,4-Hexadienal (89% trans, trans isomer; 11% cis, trans isomer)</t>
        </is>
      </c>
    </row>
    <row r="417">
      <c r="A417" t="inlineStr">
        <is>
          <t>Key Organizers</t>
        </is>
      </c>
      <c r="AT417" t="inlineStr">
        <is>
          <t>Hexafluoroacetone</t>
        </is>
      </c>
    </row>
    <row r="418">
      <c r="A418" t="inlineStr">
        <is>
          <t>Scales</t>
        </is>
      </c>
      <c r="AT418" t="inlineStr">
        <is>
          <t>Hexamethylphosphoramide</t>
        </is>
      </c>
    </row>
    <row r="419">
      <c r="A419" t="inlineStr">
        <is>
          <t>Time Clocks &amp; Accessories</t>
        </is>
      </c>
      <c r="AT419" t="inlineStr">
        <is>
          <t>Histrelin acetate</t>
        </is>
      </c>
    </row>
    <row r="420">
      <c r="A420" t="inlineStr">
        <is>
          <t>Signs &amp; Sign Holders</t>
        </is>
      </c>
      <c r="AT420" t="inlineStr">
        <is>
          <t>Hydramethylnon</t>
        </is>
      </c>
    </row>
    <row r="421">
      <c r="A421" t="inlineStr">
        <is>
          <t>Disposable Party Supplies</t>
        </is>
      </c>
      <c r="AT421" t="inlineStr">
        <is>
          <t>Hydrazine</t>
        </is>
      </c>
    </row>
    <row r="422">
      <c r="A422" t="inlineStr">
        <is>
          <t>Art Room Supplies</t>
        </is>
      </c>
      <c r="AT422" t="inlineStr">
        <is>
          <t>Hydrazine sulfate</t>
        </is>
      </c>
    </row>
    <row r="423">
      <c r="A423" t="inlineStr">
        <is>
          <t>Hangers</t>
        </is>
      </c>
      <c r="AT423" t="inlineStr">
        <is>
          <t>Hydrazobenzene (1,2-Diphenylhydrazine)</t>
        </is>
      </c>
    </row>
    <row r="424">
      <c r="A424" t="inlineStr">
        <is>
          <t>Partition Desks &amp; Cubicles</t>
        </is>
      </c>
      <c r="AT424" t="inlineStr">
        <is>
          <t>1-Hydroxyanthraquinone</t>
        </is>
      </c>
    </row>
    <row r="425">
      <c r="A425" t="inlineStr">
        <is>
          <t>Partition &amp; Panel Hardware Accessories</t>
        </is>
      </c>
      <c r="AT425" t="inlineStr">
        <is>
          <t>Hydroxyurea</t>
        </is>
      </c>
    </row>
    <row r="426">
      <c r="A426" t="inlineStr">
        <is>
          <t>Trash Bags &amp; Liners</t>
        </is>
      </c>
      <c r="AT426" t="inlineStr">
        <is>
          <t>Idarubicin hydrochloride</t>
        </is>
      </c>
    </row>
    <row r="427">
      <c r="A427" t="inlineStr">
        <is>
          <t>Classroom Decorations</t>
        </is>
      </c>
      <c r="AT427" t="inlineStr">
        <is>
          <t>Ifosfamide</t>
        </is>
      </c>
    </row>
    <row r="428">
      <c r="A428" t="inlineStr">
        <is>
          <t>Smoke &amp; CO Detectors</t>
        </is>
      </c>
      <c r="AT428" t="inlineStr">
        <is>
          <t>Iodine-131</t>
        </is>
      </c>
    </row>
    <row r="429">
      <c r="A429" t="inlineStr">
        <is>
          <t>Vacuum Accessories</t>
        </is>
      </c>
      <c r="AT429" t="inlineStr">
        <is>
          <t>Imazalil</t>
        </is>
      </c>
    </row>
    <row r="430">
      <c r="A430" t="inlineStr">
        <is>
          <t>Eye Wash Stations</t>
        </is>
      </c>
      <c r="AT430" t="inlineStr">
        <is>
          <t>Indeno[1,2,3-cd]pyrene</t>
        </is>
      </c>
    </row>
    <row r="431">
      <c r="A431" t="inlineStr">
        <is>
          <t>Decorative Telephones</t>
        </is>
      </c>
      <c r="AT431" t="inlineStr">
        <is>
          <t>Indium phosphide</t>
        </is>
      </c>
    </row>
    <row r="432">
      <c r="A432" t="inlineStr">
        <is>
          <t>Cash Handling</t>
        </is>
      </c>
      <c r="AT432" t="inlineStr">
        <is>
          <t>IQ (2-Amino-3-methylimidazo[4,5-f] quinoline)</t>
        </is>
      </c>
    </row>
    <row r="433">
      <c r="A433" t="inlineStr">
        <is>
          <t>Restroom Dispensers</t>
        </is>
      </c>
      <c r="AT433" t="inlineStr">
        <is>
          <t>Iprodione</t>
        </is>
      </c>
    </row>
    <row r="434">
      <c r="A434" t="inlineStr">
        <is>
          <t>Drawer Organizers</t>
        </is>
      </c>
      <c r="AT434" t="inlineStr">
        <is>
          <t>Iron dextran complex</t>
        </is>
      </c>
    </row>
    <row r="435">
      <c r="A435" t="inlineStr">
        <is>
          <t>File Boxes</t>
        </is>
      </c>
      <c r="AT435" t="inlineStr">
        <is>
          <t>Isobutyl nitrite</t>
        </is>
      </c>
    </row>
    <row r="436">
      <c r="A436" t="inlineStr">
        <is>
          <t>Water Coolers/Ice Buckets</t>
        </is>
      </c>
      <c r="AT436" t="inlineStr">
        <is>
          <t>Isoprene</t>
        </is>
      </c>
    </row>
    <row r="437">
      <c r="A437" t="inlineStr">
        <is>
          <t>Table Accessories</t>
        </is>
      </c>
      <c r="AT437" t="inlineStr">
        <is>
          <t>Isopyrazam</t>
        </is>
      </c>
    </row>
    <row r="438">
      <c r="A438" t="inlineStr">
        <is>
          <t>Flooring Samples</t>
        </is>
      </c>
      <c r="AT438" t="inlineStr">
        <is>
          <t>Isotretinoin</t>
        </is>
      </c>
    </row>
    <row r="439">
      <c r="A439" t="inlineStr">
        <is>
          <t>Dog Agility Equipment</t>
        </is>
      </c>
      <c r="AT439" t="inlineStr">
        <is>
          <t>Isoxaflutole</t>
        </is>
      </c>
    </row>
    <row r="440">
      <c r="A440" t="inlineStr">
        <is>
          <t>Yoga &amp; Pilates</t>
        </is>
      </c>
      <c r="AT440" t="inlineStr">
        <is>
          <t>Kresoxim-methyl</t>
        </is>
      </c>
    </row>
    <row r="441">
      <c r="A441" t="inlineStr">
        <is>
          <t>Chicken Coops</t>
        </is>
      </c>
      <c r="AT441" t="inlineStr">
        <is>
          <t>Lactofen</t>
        </is>
      </c>
    </row>
    <row r="442">
      <c r="A442" t="inlineStr">
        <is>
          <t>Desktop Organizers &amp; Desk Pads</t>
        </is>
      </c>
      <c r="AT442" t="inlineStr">
        <is>
          <t>Lasiocarpine</t>
        </is>
      </c>
    </row>
    <row r="443">
      <c r="A443" t="inlineStr">
        <is>
          <t>Sports Display Cases</t>
        </is>
      </c>
      <c r="AT443" t="inlineStr">
        <is>
          <t>Lead</t>
        </is>
      </c>
    </row>
    <row r="444">
      <c r="A444" t="inlineStr">
        <is>
          <t>Floor &amp; Wall Tile</t>
        </is>
      </c>
      <c r="AT444" t="inlineStr">
        <is>
          <t>Lead and lead compounds</t>
        </is>
      </c>
    </row>
    <row r="445">
      <c r="A445" t="inlineStr">
        <is>
          <t>Ladders</t>
        </is>
      </c>
      <c r="AT445" t="inlineStr">
        <is>
          <t>Lead acetate</t>
        </is>
      </c>
    </row>
    <row r="446">
      <c r="A446" t="inlineStr">
        <is>
          <t>Tile Trims</t>
        </is>
      </c>
      <c r="AT446" t="inlineStr">
        <is>
          <t>Lead phosphate</t>
        </is>
      </c>
    </row>
    <row r="447">
      <c r="A447" t="inlineStr">
        <is>
          <t>Shelving Accessories</t>
        </is>
      </c>
      <c r="AT447" t="inlineStr">
        <is>
          <t>Lead subacetate</t>
        </is>
      </c>
    </row>
    <row r="448">
      <c r="A448" t="inlineStr">
        <is>
          <t>Vinyl Flooring</t>
        </is>
      </c>
      <c r="AT448" t="inlineStr">
        <is>
          <t>Leather dust</t>
        </is>
      </c>
    </row>
    <row r="449">
      <c r="A449" t="inlineStr">
        <is>
          <t>Furniture Parts</t>
        </is>
      </c>
      <c r="AT449" t="inlineStr">
        <is>
          <t>Leuprolide acetate</t>
        </is>
      </c>
    </row>
    <row r="450">
      <c r="A450" t="inlineStr">
        <is>
          <t>Wedding</t>
        </is>
      </c>
      <c r="AT450" t="inlineStr">
        <is>
          <t>Levodopa</t>
        </is>
      </c>
    </row>
    <row r="451">
      <c r="A451" t="inlineStr">
        <is>
          <t>Hampers &amp; Baskets</t>
        </is>
      </c>
      <c r="AT451" t="inlineStr">
        <is>
          <t>Lindane and other hexachlorocyclohexane isomers</t>
        </is>
      </c>
    </row>
    <row r="452">
      <c r="A452" t="inlineStr">
        <is>
          <t>Tailgating Wagons</t>
        </is>
      </c>
      <c r="AT452" t="inlineStr">
        <is>
          <t>Linuron</t>
        </is>
      </c>
    </row>
    <row r="453">
      <c r="A453" t="inlineStr">
        <is>
          <t>Birding Accessories</t>
        </is>
      </c>
      <c r="AT453" t="inlineStr">
        <is>
          <t>Lithium carbonate</t>
        </is>
      </c>
    </row>
    <row r="454">
      <c r="A454" t="inlineStr">
        <is>
          <t>Flags</t>
        </is>
      </c>
      <c r="AT454" t="inlineStr">
        <is>
          <t>Lithium citrate</t>
        </is>
      </c>
    </row>
    <row r="455">
      <c r="A455" t="inlineStr">
        <is>
          <t>Landscaping Screens &amp; Bridges</t>
        </is>
      </c>
      <c r="AT455" t="inlineStr">
        <is>
          <t>Lorazepam</t>
        </is>
      </c>
    </row>
    <row r="456">
      <c r="A456" t="inlineStr">
        <is>
          <t>Swimming Pools</t>
        </is>
      </c>
      <c r="AT456" t="inlineStr">
        <is>
          <t>Lovastatin</t>
        </is>
      </c>
    </row>
    <row r="457">
      <c r="A457" t="inlineStr">
        <is>
          <t>Hot Tubs</t>
        </is>
      </c>
      <c r="AT457" t="inlineStr">
        <is>
          <t>Lynestrenol</t>
        </is>
      </c>
    </row>
    <row r="458">
      <c r="A458" t="inlineStr">
        <is>
          <t>Garage Storage Cabinets</t>
        </is>
      </c>
      <c r="AT458" t="inlineStr">
        <is>
          <t>Malathion</t>
        </is>
      </c>
    </row>
    <row r="459">
      <c r="A459" t="inlineStr">
        <is>
          <t>Bike And Sport Racks</t>
        </is>
      </c>
      <c r="AT459" t="inlineStr">
        <is>
          <t>Malonaldehyde, sodium salt</t>
        </is>
      </c>
    </row>
    <row r="460">
      <c r="A460" t="inlineStr">
        <is>
          <t>Workbenches</t>
        </is>
      </c>
      <c r="AT460" t="inlineStr">
        <is>
          <t>Mancozeb</t>
        </is>
      </c>
    </row>
    <row r="461">
      <c r="A461" t="inlineStr">
        <is>
          <t>Hose Reels</t>
        </is>
      </c>
      <c r="AT461" t="inlineStr">
        <is>
          <t>Maneb</t>
        </is>
      </c>
    </row>
    <row r="462">
      <c r="A462" t="inlineStr">
        <is>
          <t>Garage Appliances</t>
        </is>
      </c>
      <c r="AT462" t="inlineStr">
        <is>
          <t>Marijuana smoke</t>
        </is>
      </c>
    </row>
    <row r="463">
      <c r="A463" t="inlineStr">
        <is>
          <t>Slatwall &amp; Pegboard Accessories</t>
        </is>
      </c>
      <c r="AT463" t="inlineStr">
        <is>
          <t>Me-A-alpha-C (2-Amino-3-methyl-9H-pyrido[2,3-b]indole)</t>
        </is>
      </c>
    </row>
    <row r="464">
      <c r="A464" t="inlineStr">
        <is>
          <t>Locks</t>
        </is>
      </c>
      <c r="AT464" t="inlineStr">
        <is>
          <t>Mebendazole</t>
        </is>
      </c>
    </row>
    <row r="465">
      <c r="A465" t="inlineStr">
        <is>
          <t>Compost</t>
        </is>
      </c>
      <c r="AT465" t="inlineStr">
        <is>
          <t>Medroxyprogesterone acetate</t>
        </is>
      </c>
    </row>
    <row r="466">
      <c r="A466" t="inlineStr">
        <is>
          <t>Fencing &amp; Edging</t>
        </is>
      </c>
      <c r="AT466" t="inlineStr">
        <is>
          <t>Megestrol acetate</t>
        </is>
      </c>
    </row>
    <row r="467">
      <c r="A467" t="inlineStr">
        <is>
          <t>Fabric</t>
        </is>
      </c>
      <c r="AT467" t="inlineStr">
        <is>
          <t>MeIQ (2-Amino-3,4-dimethylimidazo[4,5-f]quinoline)</t>
        </is>
      </c>
    </row>
    <row r="468">
      <c r="A468" t="inlineStr">
        <is>
          <t>Ramps</t>
        </is>
      </c>
      <c r="AT468" t="inlineStr">
        <is>
          <t>MeIQx (2-Amino-3,8-dimethylimidazo[4,5-f]quinoxaline)</t>
        </is>
      </c>
    </row>
    <row r="469">
      <c r="A469" t="inlineStr">
        <is>
          <t>Exercise Pens and Yard Kennels</t>
        </is>
      </c>
      <c r="AT469" t="inlineStr">
        <is>
          <t>Melphalan</t>
        </is>
      </c>
    </row>
    <row r="470">
      <c r="A470" t="inlineStr">
        <is>
          <t>Baby Blankets</t>
        </is>
      </c>
      <c r="AT470" t="inlineStr">
        <is>
          <t>Menotropins</t>
        </is>
      </c>
    </row>
    <row r="471">
      <c r="A471" t="inlineStr">
        <is>
          <t>Cat Beds</t>
        </is>
      </c>
      <c r="AT471" t="inlineStr">
        <is>
          <t>Mepanipyrim</t>
        </is>
      </c>
    </row>
    <row r="472">
      <c r="A472" t="inlineStr">
        <is>
          <t>Dog Blankets</t>
        </is>
      </c>
      <c r="AT472" t="inlineStr">
        <is>
          <t>Meprobamate</t>
        </is>
      </c>
    </row>
    <row r="473">
      <c r="A473" t="inlineStr">
        <is>
          <t>Pet Grooming Furniture</t>
        </is>
      </c>
      <c r="AT473" t="inlineStr">
        <is>
          <t>2-Mercaptobenzothiazole</t>
        </is>
      </c>
    </row>
    <row r="474">
      <c r="A474" t="inlineStr">
        <is>
          <t>Beer Pong</t>
        </is>
      </c>
      <c r="AT474" t="inlineStr">
        <is>
          <t>Mercaptopurine</t>
        </is>
      </c>
    </row>
    <row r="475">
      <c r="A475" t="inlineStr">
        <is>
          <t>Knife Sets</t>
        </is>
      </c>
      <c r="AT475" t="inlineStr">
        <is>
          <t>Mercury and mercury compounds</t>
        </is>
      </c>
    </row>
    <row r="476">
      <c r="A476" t="inlineStr">
        <is>
          <t>Dog House Accessories</t>
        </is>
      </c>
      <c r="AT476" t="inlineStr">
        <is>
          <t>Merphalan</t>
        </is>
      </c>
    </row>
    <row r="477">
      <c r="A477" t="inlineStr">
        <is>
          <t>Saunas</t>
        </is>
      </c>
      <c r="AT477" t="inlineStr">
        <is>
          <t>Mestranol</t>
        </is>
      </c>
    </row>
    <row r="478">
      <c r="A478" t="inlineStr">
        <is>
          <t>Water Heaters</t>
        </is>
      </c>
      <c r="AT478" t="inlineStr">
        <is>
          <t>Metam potassium</t>
        </is>
      </c>
    </row>
    <row r="479">
      <c r="A479" t="inlineStr">
        <is>
          <t>Dumbbells</t>
        </is>
      </c>
      <c r="AT479" t="inlineStr">
        <is>
          <t>Methacycline hydrochloride</t>
        </is>
      </c>
    </row>
    <row r="480">
      <c r="A480" t="inlineStr">
        <is>
          <t>Weight Benches</t>
        </is>
      </c>
      <c r="AT480" t="inlineStr">
        <is>
          <t>Metham sodium</t>
        </is>
      </c>
    </row>
    <row r="481">
      <c r="A481" t="inlineStr">
        <is>
          <t>Weight Plates</t>
        </is>
      </c>
      <c r="AT481" t="inlineStr">
        <is>
          <t>Methanol</t>
        </is>
      </c>
    </row>
    <row r="482">
      <c r="A482" t="inlineStr">
        <is>
          <t>Sauna Accessories</t>
        </is>
      </c>
      <c r="AT482" t="inlineStr">
        <is>
          <t>Methazole</t>
        </is>
      </c>
    </row>
    <row r="483">
      <c r="A483" t="inlineStr">
        <is>
          <t>Learning Resources</t>
        </is>
      </c>
      <c r="AT483" t="inlineStr">
        <is>
          <t>Methimazole</t>
        </is>
      </c>
    </row>
    <row r="484">
      <c r="A484" t="inlineStr">
        <is>
          <t>Carpet Tile</t>
        </is>
      </c>
      <c r="AT484" t="inlineStr">
        <is>
          <t>Methotrexate</t>
        </is>
      </c>
    </row>
    <row r="485">
      <c r="A485" t="inlineStr">
        <is>
          <t>Outdoor Deck Tiles</t>
        </is>
      </c>
      <c r="AT485" t="inlineStr">
        <is>
          <t>Methotrexate sodium</t>
        </is>
      </c>
    </row>
    <row r="486">
      <c r="A486" t="inlineStr">
        <is>
          <t>Water Filtration</t>
        </is>
      </c>
      <c r="AT486" t="inlineStr">
        <is>
          <t>5-Methoxypsoralen with ultraviolet A therapy</t>
        </is>
      </c>
    </row>
    <row r="487">
      <c r="A487" t="inlineStr">
        <is>
          <t>Sports Flags</t>
        </is>
      </c>
      <c r="AT487" t="inlineStr">
        <is>
          <t>8-Methoxypsoralen with ultraviolet A therapy</t>
        </is>
      </c>
    </row>
    <row r="488">
      <c r="A488" t="inlineStr">
        <is>
          <t>Fitness &amp; Recreational Flooring</t>
        </is>
      </c>
      <c r="AT488" t="inlineStr">
        <is>
          <t>2-Methylaziridine (Propyleneimine)</t>
        </is>
      </c>
    </row>
    <row r="489">
      <c r="A489" t="inlineStr">
        <is>
          <t>Bath Exhaust Fans</t>
        </is>
      </c>
      <c r="AT489" t="inlineStr">
        <is>
          <t>Methylazoxymethanol</t>
        </is>
      </c>
    </row>
    <row r="490">
      <c r="A490" t="inlineStr">
        <is>
          <t>Craft &amp; Sewing Tables</t>
        </is>
      </c>
      <c r="AT490" t="inlineStr">
        <is>
          <t>Methylazoxymethanol acetate</t>
        </is>
      </c>
    </row>
    <row r="491">
      <c r="A491" t="inlineStr">
        <is>
          <t>Bounce Houses &amp; Inflatable Slides</t>
        </is>
      </c>
      <c r="AT491" t="inlineStr">
        <is>
          <t>Methyl bromide, as a structural fumigant</t>
        </is>
      </c>
    </row>
    <row r="492">
      <c r="A492" t="inlineStr">
        <is>
          <t>Commercial Ceiling Lighting</t>
        </is>
      </c>
      <c r="AT492" t="inlineStr">
        <is>
          <t>Methyl carbamate</t>
        </is>
      </c>
    </row>
    <row r="493">
      <c r="A493" t="inlineStr">
        <is>
          <t>Commercial Wall Lighting</t>
        </is>
      </c>
      <c r="AT493" t="inlineStr">
        <is>
          <t>Methyl chloride</t>
        </is>
      </c>
    </row>
    <row r="494">
      <c r="A494" t="inlineStr">
        <is>
          <t>Commercial Outdoor Lighting</t>
        </is>
      </c>
      <c r="AT494" t="inlineStr">
        <is>
          <t>3-Methylcholanthrene</t>
        </is>
      </c>
    </row>
    <row r="495">
      <c r="A495" t="inlineStr">
        <is>
          <t>Commercial Exit And Emergency Lights</t>
        </is>
      </c>
      <c r="AT495" t="inlineStr">
        <is>
          <t>5-Methylchrysene</t>
        </is>
      </c>
    </row>
    <row r="496">
      <c r="A496" t="inlineStr">
        <is>
          <t>Commercial Accent Lighting</t>
        </is>
      </c>
      <c r="AT496" t="inlineStr">
        <is>
          <t>4,4'-Methylene bis(2-chloroaniline)</t>
        </is>
      </c>
    </row>
    <row r="497">
      <c r="A497" t="inlineStr">
        <is>
          <t>Playhouses &amp; Play Tents</t>
        </is>
      </c>
      <c r="AT497" t="inlineStr">
        <is>
          <t>4,4'-Methylene bis(N,N-dimethyl)benzenamine</t>
        </is>
      </c>
    </row>
    <row r="498">
      <c r="A498" t="inlineStr">
        <is>
          <t>Bleachers</t>
        </is>
      </c>
      <c r="AT498" t="inlineStr">
        <is>
          <t>4,4'-Methylene bis(2-methylaniline)</t>
        </is>
      </c>
    </row>
    <row r="499">
      <c r="A499" t="inlineStr">
        <is>
          <t>Chicken Coop Accessories</t>
        </is>
      </c>
      <c r="AT499" t="inlineStr">
        <is>
          <t>4,4'-Methylenedianiline</t>
        </is>
      </c>
    </row>
    <row r="500">
      <c r="A500" t="inlineStr">
        <is>
          <t>Reptile/Snake Terrariums and Habitats</t>
        </is>
      </c>
      <c r="AT500" t="inlineStr">
        <is>
          <t>4,4'-Methylenedianiline dihydrochloride</t>
        </is>
      </c>
    </row>
    <row r="501">
      <c r="A501" t="inlineStr">
        <is>
          <t>Faux Florals</t>
        </is>
      </c>
      <c r="AT501" t="inlineStr">
        <is>
          <t>Methyleugenol</t>
        </is>
      </c>
    </row>
    <row r="502">
      <c r="A502" t="inlineStr">
        <is>
          <t>Faux Plants and Trees</t>
        </is>
      </c>
      <c r="AT502" t="inlineStr">
        <is>
          <t>Methylhydrazine and its salts</t>
        </is>
      </c>
    </row>
    <row r="503">
      <c r="A503" t="inlineStr">
        <is>
          <t>Switches, Dimmers &amp; Outlets</t>
        </is>
      </c>
      <c r="AT503" t="inlineStr">
        <is>
          <t>2-Methylimidazole</t>
        </is>
      </c>
    </row>
    <row r="504">
      <c r="A504" t="inlineStr">
        <is>
          <t>Covers &amp; Carry Bags</t>
        </is>
      </c>
      <c r="AT504" t="inlineStr">
        <is>
          <t>4-Methylimidazole</t>
        </is>
      </c>
    </row>
    <row r="505">
      <c r="A505" t="inlineStr">
        <is>
          <t>Grilling Tools &amp; Accessories</t>
        </is>
      </c>
      <c r="AT505" t="inlineStr">
        <is>
          <t>Methyl iodide</t>
        </is>
      </c>
    </row>
    <row r="506">
      <c r="A506" t="inlineStr">
        <is>
          <t>Grill Parts</t>
        </is>
      </c>
      <c r="AT506" t="inlineStr">
        <is>
          <t>Methyl isobutyl ketone</t>
        </is>
      </c>
    </row>
    <row r="507">
      <c r="A507" t="inlineStr">
        <is>
          <t>Grilling &amp; Heating Fuels</t>
        </is>
      </c>
      <c r="AT507" t="inlineStr">
        <is>
          <t>Methyl isobutyl ketone (MIBK)</t>
        </is>
      </c>
    </row>
    <row r="508">
      <c r="A508" t="inlineStr">
        <is>
          <t>Deck Boxes</t>
        </is>
      </c>
      <c r="AT508" t="inlineStr">
        <is>
          <t>Methyl isocyanate (MIC)</t>
        </is>
      </c>
    </row>
    <row r="509">
      <c r="A509" t="inlineStr">
        <is>
          <t>Wall Stickers</t>
        </is>
      </c>
      <c r="AT509" t="inlineStr">
        <is>
          <t>Methyl mercury</t>
        </is>
      </c>
    </row>
    <row r="510">
      <c r="A510" t="inlineStr">
        <is>
          <t>Ironing Boards, Covers &amp; Pads</t>
        </is>
      </c>
      <c r="AT510" t="inlineStr">
        <is>
          <t>Methylmercury compounds</t>
        </is>
      </c>
    </row>
    <row r="511">
      <c r="A511" t="inlineStr">
        <is>
          <t>Drying Racks</t>
        </is>
      </c>
      <c r="AT511" t="inlineStr">
        <is>
          <t>Methyl methanesulfonate</t>
        </is>
      </c>
    </row>
    <row r="512">
      <c r="A512" t="inlineStr">
        <is>
          <t>Shoe Storage</t>
        </is>
      </c>
      <c r="AT512" t="inlineStr">
        <is>
          <t>Methyl-n-butyl ketone</t>
        </is>
      </c>
    </row>
    <row r="513">
      <c r="A513" t="inlineStr">
        <is>
          <t>Bathroom Storage</t>
        </is>
      </c>
      <c r="AT513" t="inlineStr">
        <is>
          <t>2-Methyl-1-nitroanthraquinone (of uncertain purity)</t>
        </is>
      </c>
    </row>
    <row r="514">
      <c r="A514" t="inlineStr">
        <is>
          <t>Climbing Toys &amp; Slides</t>
        </is>
      </c>
      <c r="AT514" t="inlineStr">
        <is>
          <t>N-Methyl-N'-nitro-N-nitrosoguanidine</t>
        </is>
      </c>
    </row>
    <row r="515">
      <c r="A515" t="inlineStr">
        <is>
          <t>Cruets &amp; Condiment Bottles</t>
        </is>
      </c>
      <c r="AT515" t="inlineStr">
        <is>
          <t>N-Methylolacrylamide</t>
        </is>
      </c>
    </row>
    <row r="516">
      <c r="A516" t="inlineStr">
        <is>
          <t>Changing Table Pads &amp; Covers</t>
        </is>
      </c>
      <c r="AT516" t="inlineStr">
        <is>
          <t>N-Methylpyrrolidone</t>
        </is>
      </c>
    </row>
    <row r="517">
      <c r="A517" t="inlineStr">
        <is>
          <t>Bedding Accessories</t>
        </is>
      </c>
      <c r="AT517" t="inlineStr">
        <is>
          <t>α-Methyl styrene (alpha-Methylstyrene)</t>
        </is>
      </c>
    </row>
    <row r="518">
      <c r="A518" t="inlineStr">
        <is>
          <t>Table Top Games &amp; Accessories</t>
        </is>
      </c>
      <c r="AT518" t="inlineStr">
        <is>
          <t>Methyltestosterone</t>
        </is>
      </c>
    </row>
    <row r="519">
      <c r="A519" t="inlineStr">
        <is>
          <t>Towel Warmers</t>
        </is>
      </c>
      <c r="AT519" t="inlineStr">
        <is>
          <t>Methylthiouracil</t>
        </is>
      </c>
    </row>
    <row r="520">
      <c r="A520" t="inlineStr">
        <is>
          <t>Rug Samples</t>
        </is>
      </c>
      <c r="AT520" t="inlineStr">
        <is>
          <t>Metiram</t>
        </is>
      </c>
    </row>
    <row r="521">
      <c r="A521" t="inlineStr">
        <is>
          <t>Home Brewing</t>
        </is>
      </c>
      <c r="AT521" t="inlineStr">
        <is>
          <t>Metronidazole</t>
        </is>
      </c>
    </row>
    <row r="522">
      <c r="A522" t="inlineStr">
        <is>
          <t>Pavers &amp; Cobblestones</t>
        </is>
      </c>
      <c r="AT522" t="inlineStr">
        <is>
          <t>Michler's ketone</t>
        </is>
      </c>
    </row>
    <row r="523">
      <c r="A523" t="inlineStr">
        <is>
          <t>Body Weight Scales</t>
        </is>
      </c>
      <c r="AT523" t="inlineStr">
        <is>
          <t>Midazolam hydrochloride</t>
        </is>
      </c>
    </row>
    <row r="524">
      <c r="A524" t="inlineStr">
        <is>
          <t>Compact &amp; Mini Fridges</t>
        </is>
      </c>
      <c r="AT524" t="inlineStr">
        <is>
          <t>Minocycline hydrochloride (internal use)</t>
        </is>
      </c>
    </row>
    <row r="525">
      <c r="A525" t="inlineStr">
        <is>
          <t>Large Appliance Accessories</t>
        </is>
      </c>
      <c r="AT525" t="inlineStr">
        <is>
          <t>Mirex</t>
        </is>
      </c>
    </row>
    <row r="526">
      <c r="A526" t="inlineStr">
        <is>
          <t>Christmas Stockings &amp; Holders</t>
        </is>
      </c>
      <c r="AT526" t="inlineStr">
        <is>
          <t>Misoprostol</t>
        </is>
      </c>
    </row>
    <row r="527">
      <c r="A527" t="inlineStr">
        <is>
          <t>Accent Tiles</t>
        </is>
      </c>
      <c r="AT527" t="inlineStr">
        <is>
          <t>Mitomycin C</t>
        </is>
      </c>
    </row>
    <row r="528">
      <c r="A528" t="inlineStr">
        <is>
          <t>Enclosures</t>
        </is>
      </c>
      <c r="AT528" t="inlineStr">
        <is>
          <t>Mitoxantrone hydrochloride</t>
        </is>
      </c>
    </row>
    <row r="529">
      <c r="A529" t="inlineStr">
        <is>
          <t>Tool Holders</t>
        </is>
      </c>
      <c r="AT529" t="inlineStr">
        <is>
          <t>Molinate</t>
        </is>
      </c>
    </row>
    <row r="530">
      <c r="A530" t="inlineStr">
        <is>
          <t>Vanity Tops</t>
        </is>
      </c>
      <c r="AT530" t="inlineStr">
        <is>
          <t>MON 4660 (dichloroacetyl-1-oxa-4-azaspiro(4,5)-decane</t>
        </is>
      </c>
    </row>
    <row r="531">
      <c r="A531" t="inlineStr">
        <is>
          <t>Vanity Bases</t>
        </is>
      </c>
      <c r="AT531" t="inlineStr">
        <is>
          <t>MON 13900 (furilazole)</t>
        </is>
      </c>
    </row>
    <row r="532">
      <c r="A532" t="inlineStr">
        <is>
          <t>Chandeliers</t>
        </is>
      </c>
      <c r="AT532" t="inlineStr">
        <is>
          <t>3-Monochloropropane-1,2-diol (3-MCPD)</t>
        </is>
      </c>
    </row>
    <row r="533">
      <c r="A533" t="inlineStr">
        <is>
          <t>Flush Mount Lighting</t>
        </is>
      </c>
      <c r="AT533" t="inlineStr">
        <is>
          <t>Monocrotaline</t>
        </is>
      </c>
    </row>
    <row r="534">
      <c r="A534" t="inlineStr">
        <is>
          <t>Pendant Lights</t>
        </is>
      </c>
      <c r="AT534" t="inlineStr">
        <is>
          <t>MOPP (vincristine-prednisone-nitrogen mustard-procarbazine mixture)</t>
        </is>
      </c>
    </row>
    <row r="535">
      <c r="A535" t="inlineStr">
        <is>
          <t>Wayfair Gift Certificates &amp; Donations</t>
        </is>
      </c>
      <c r="AT535" t="inlineStr">
        <is>
          <t>5-(Morpholinomethyl)-3-[(5-nitrofurfuryl-idene)-amino]-2-oxazolidinone</t>
        </is>
      </c>
    </row>
    <row r="536">
      <c r="A536" t="inlineStr">
        <is>
          <t>Outdoor Hanging Lights</t>
        </is>
      </c>
      <c r="AT536" t="inlineStr">
        <is>
          <t>Mustard Gas</t>
        </is>
      </c>
    </row>
    <row r="537">
      <c r="A537" t="inlineStr">
        <is>
          <t>Landscape Lighting</t>
        </is>
      </c>
      <c r="AT537" t="inlineStr">
        <is>
          <t>MX (3-chloro-4-dichloromethyl-5-hydroxy-2(5H)-furanone)</t>
        </is>
      </c>
    </row>
    <row r="538">
      <c r="A538" t="inlineStr">
        <is>
          <t>Post Lanterns</t>
        </is>
      </c>
      <c r="AT538" t="inlineStr">
        <is>
          <t>Myclobutanil</t>
        </is>
      </c>
    </row>
    <row r="539">
      <c r="A539" t="inlineStr">
        <is>
          <t>Outdoor Wall Lights</t>
        </is>
      </c>
      <c r="AT539" t="inlineStr">
        <is>
          <t>beta-Myrcene</t>
        </is>
      </c>
    </row>
    <row r="540">
      <c r="A540" t="inlineStr">
        <is>
          <t>Luggage Racks</t>
        </is>
      </c>
      <c r="AT540" t="inlineStr">
        <is>
          <t>Nabam</t>
        </is>
      </c>
    </row>
    <row r="541">
      <c r="A541" t="inlineStr">
        <is>
          <t>Vanity Lighting</t>
        </is>
      </c>
      <c r="AT541" t="inlineStr">
        <is>
          <t>Nafarelin acetate</t>
        </is>
      </c>
    </row>
    <row r="542">
      <c r="A542" t="inlineStr">
        <is>
          <t>Wall Sconces</t>
        </is>
      </c>
      <c r="AT542" t="inlineStr">
        <is>
          <t>Nafenopin</t>
        </is>
      </c>
    </row>
    <row r="543">
      <c r="A543" t="inlineStr">
        <is>
          <t>Kids Bedroom Sets</t>
        </is>
      </c>
      <c r="AT543" t="inlineStr">
        <is>
          <t>Nalidixic acid</t>
        </is>
      </c>
    </row>
    <row r="544">
      <c r="A544" t="inlineStr">
        <is>
          <t>Kids Headboards</t>
        </is>
      </c>
      <c r="AT544" t="inlineStr">
        <is>
          <t>Naphthalene</t>
        </is>
      </c>
    </row>
    <row r="545">
      <c r="A545" t="inlineStr">
        <is>
          <t>Tub Faucets</t>
        </is>
      </c>
      <c r="AT545" t="inlineStr">
        <is>
          <t>1-Naphthylamine</t>
        </is>
      </c>
    </row>
    <row r="546">
      <c r="A546" t="inlineStr">
        <is>
          <t>Shower Faucets &amp; Systems</t>
        </is>
      </c>
      <c r="AT546" t="inlineStr">
        <is>
          <t>2-Naphthylamine</t>
        </is>
      </c>
    </row>
    <row r="547">
      <c r="A547" t="inlineStr">
        <is>
          <t>Candle Holders</t>
        </is>
      </c>
      <c r="AT547" t="inlineStr">
        <is>
          <t>Neomycin sulfate (internal use)</t>
        </is>
      </c>
    </row>
    <row r="548">
      <c r="A548" t="inlineStr">
        <is>
          <t>Shower &amp; Tub Doors</t>
        </is>
      </c>
      <c r="AT548" t="inlineStr">
        <is>
          <t>Netilmicin sulfate</t>
        </is>
      </c>
    </row>
    <row r="549">
      <c r="A549" t="inlineStr">
        <is>
          <t>Shower and Bathtub Enclosures</t>
        </is>
      </c>
      <c r="AT549" t="inlineStr">
        <is>
          <t>Nickel (Metallic)</t>
        </is>
      </c>
    </row>
    <row r="550">
      <c r="A550" t="inlineStr">
        <is>
          <t>Kids Dressers &amp; Chests</t>
        </is>
      </c>
      <c r="AT550" t="inlineStr">
        <is>
          <t>Nickel acetate</t>
        </is>
      </c>
    </row>
    <row r="551">
      <c r="A551" t="inlineStr">
        <is>
          <t>Kids Nightstands</t>
        </is>
      </c>
      <c r="AT551" t="inlineStr">
        <is>
          <t>Nickel carbonate</t>
        </is>
      </c>
    </row>
    <row r="552">
      <c r="A552" t="inlineStr">
        <is>
          <t>Kids Armoires</t>
        </is>
      </c>
      <c r="AT552" t="inlineStr">
        <is>
          <t>Nickel carbonyl</t>
        </is>
      </c>
    </row>
    <row r="553">
      <c r="A553" t="inlineStr">
        <is>
          <t>Flagpoles and Accessories</t>
        </is>
      </c>
      <c r="AT553" t="inlineStr">
        <is>
          <t>Nickel compounds</t>
        </is>
      </c>
    </row>
    <row r="554">
      <c r="A554" t="inlineStr">
        <is>
          <t>Towel Bars, Racks, and Stands</t>
        </is>
      </c>
      <c r="AT554" t="inlineStr">
        <is>
          <t>Nickelocene</t>
        </is>
      </c>
    </row>
    <row r="555">
      <c r="A555" t="inlineStr">
        <is>
          <t>Toilet Paper Holders</t>
        </is>
      </c>
      <c r="AT555" t="inlineStr">
        <is>
          <t>Nickel oxide</t>
        </is>
      </c>
    </row>
    <row r="556">
      <c r="A556" t="inlineStr">
        <is>
          <t>Patio Dining Chairs</t>
        </is>
      </c>
      <c r="AT556" t="inlineStr">
        <is>
          <t>Nickel refinery dust from the pyrometallurgical process</t>
        </is>
      </c>
    </row>
    <row r="557">
      <c r="A557" t="inlineStr">
        <is>
          <t>Wallpaper</t>
        </is>
      </c>
      <c r="AT557" t="inlineStr">
        <is>
          <t>Nickel subsulfide</t>
        </is>
      </c>
    </row>
    <row r="558">
      <c r="A558" t="inlineStr">
        <is>
          <t>Patio Bar Stools</t>
        </is>
      </c>
      <c r="AT558" t="inlineStr">
        <is>
          <t>Nicotine</t>
        </is>
      </c>
    </row>
    <row r="559">
      <c r="A559" t="inlineStr">
        <is>
          <t>Kids Desks</t>
        </is>
      </c>
      <c r="AT559" t="inlineStr">
        <is>
          <t>Nifedipine</t>
        </is>
      </c>
    </row>
    <row r="560">
      <c r="A560" t="inlineStr">
        <is>
          <t>Patio Benches</t>
        </is>
      </c>
      <c r="AT560" t="inlineStr">
        <is>
          <t>Nimodipine</t>
        </is>
      </c>
    </row>
    <row r="561">
      <c r="A561" t="inlineStr">
        <is>
          <t>Kids Vanities</t>
        </is>
      </c>
      <c r="AT561" t="inlineStr">
        <is>
          <t>Niridazole</t>
        </is>
      </c>
    </row>
    <row r="562">
      <c r="A562" t="inlineStr">
        <is>
          <t>Gas Grills</t>
        </is>
      </c>
      <c r="AT562" t="inlineStr">
        <is>
          <t>Nitrapyrin</t>
        </is>
      </c>
    </row>
    <row r="563">
      <c r="A563" t="inlineStr">
        <is>
          <t>Outdoor Cookers</t>
        </is>
      </c>
      <c r="AT563" t="inlineStr">
        <is>
          <t>Nitrilotriacetic acid</t>
        </is>
      </c>
    </row>
    <row r="564">
      <c r="A564" t="inlineStr">
        <is>
          <t>Electric Grills</t>
        </is>
      </c>
      <c r="AT564" t="inlineStr">
        <is>
          <t>Nitrilotriacetic acid, trisodium salt monohydrate</t>
        </is>
      </c>
    </row>
    <row r="565">
      <c r="A565" t="inlineStr">
        <is>
          <t>Saute Pans</t>
        </is>
      </c>
      <c r="AT565" t="inlineStr">
        <is>
          <t>5-Nitroacenaphthene</t>
        </is>
      </c>
    </row>
    <row r="566">
      <c r="A566" t="inlineStr">
        <is>
          <t>Grill Pans &amp; Griddles</t>
        </is>
      </c>
      <c r="AT566" t="inlineStr">
        <is>
          <t>o-Nitroanisole</t>
        </is>
      </c>
    </row>
    <row r="567">
      <c r="A567" t="inlineStr">
        <is>
          <t>Pot Inserts &amp; Steamer Baskets</t>
        </is>
      </c>
      <c r="AT567" t="inlineStr">
        <is>
          <t>Nitrobenzene</t>
        </is>
      </c>
    </row>
    <row r="568">
      <c r="A568" t="inlineStr">
        <is>
          <t>Shower Bases</t>
        </is>
      </c>
      <c r="AT568" t="inlineStr">
        <is>
          <t>4-Nitrobiphenyl</t>
        </is>
      </c>
    </row>
    <row r="569">
      <c r="A569" t="inlineStr">
        <is>
          <t>Ceiling Fan Light Kits</t>
        </is>
      </c>
      <c r="AT569" t="inlineStr">
        <is>
          <t>6-Nitrochrysene</t>
        </is>
      </c>
    </row>
    <row r="570">
      <c r="A570" t="inlineStr">
        <is>
          <t>Outdoor Lanterns &amp; Lamps</t>
        </is>
      </c>
      <c r="AT570" t="inlineStr">
        <is>
          <t>Nitrofen (technical grade)</t>
        </is>
      </c>
    </row>
    <row r="571">
      <c r="A571" t="inlineStr">
        <is>
          <t>Camping Cots</t>
        </is>
      </c>
      <c r="AT571" t="inlineStr">
        <is>
          <t>2-Nitrofluorene</t>
        </is>
      </c>
    </row>
    <row r="572">
      <c r="A572" t="inlineStr">
        <is>
          <t>Air Conditioners</t>
        </is>
      </c>
      <c r="AT572" t="inlineStr">
        <is>
          <t>Nitrofurazone</t>
        </is>
      </c>
    </row>
    <row r="573">
      <c r="A573" t="inlineStr">
        <is>
          <t>Wine Bottle Carriers</t>
        </is>
      </c>
      <c r="AT573" t="inlineStr">
        <is>
          <t>1-[(5-Nitrofurfurylidene)-amino]-2-imidazolidinone</t>
        </is>
      </c>
    </row>
    <row r="574">
      <c r="A574" t="inlineStr">
        <is>
          <t>Floor Lamps</t>
        </is>
      </c>
      <c r="AT574" t="inlineStr">
        <is>
          <t>N-[4-(5-Nitro-2-furyl)-2-thiazolyl]acetamide</t>
        </is>
      </c>
    </row>
    <row r="575">
      <c r="A575" t="inlineStr">
        <is>
          <t>Outdoor Showers</t>
        </is>
      </c>
      <c r="AT575" t="inlineStr">
        <is>
          <t>Nitrogen mustard (Mechlorethamine)</t>
        </is>
      </c>
    </row>
    <row r="576">
      <c r="A576" t="inlineStr">
        <is>
          <t>Curtains &amp; Drapes</t>
        </is>
      </c>
      <c r="AT576" t="inlineStr">
        <is>
          <t>Nitrogen mustard hydrochloride (Mechlorethamine hydrochloride)</t>
        </is>
      </c>
    </row>
    <row r="577">
      <c r="A577" t="inlineStr">
        <is>
          <t>Valances &amp; Kitchen Curtains</t>
        </is>
      </c>
      <c r="AT577" t="inlineStr">
        <is>
          <t>Nitrogen mustard N-oxide</t>
        </is>
      </c>
    </row>
    <row r="578">
      <c r="A578" t="inlineStr">
        <is>
          <t>Curtain Hardware &amp; Accessories</t>
        </is>
      </c>
      <c r="AT578" t="inlineStr">
        <is>
          <t>Nitrogen mustard N-oxide hydrochloride</t>
        </is>
      </c>
    </row>
    <row r="579">
      <c r="A579" t="inlineStr">
        <is>
          <t>Stained Glass Panels</t>
        </is>
      </c>
      <c r="AT579" t="inlineStr">
        <is>
          <t>Nitromethane</t>
        </is>
      </c>
    </row>
    <row r="580">
      <c r="A580" t="inlineStr">
        <is>
          <t>Slatwalls &amp; Pegboards</t>
        </is>
      </c>
      <c r="AT580" t="inlineStr">
        <is>
          <t>2-Nitropropane</t>
        </is>
      </c>
    </row>
    <row r="581">
      <c r="A581" t="inlineStr">
        <is>
          <t>Cotton Candy Makers &amp; Accessories</t>
        </is>
      </c>
      <c r="AT581" t="inlineStr">
        <is>
          <t>1-Nitropyrene</t>
        </is>
      </c>
    </row>
    <row r="582">
      <c r="A582" t="inlineStr">
        <is>
          <t>Holiday Decor Storage</t>
        </is>
      </c>
      <c r="AT582" t="inlineStr">
        <is>
          <t>4-Nitropyrene</t>
        </is>
      </c>
    </row>
    <row r="583">
      <c r="A583" t="inlineStr">
        <is>
          <t>Closet Systems</t>
        </is>
      </c>
      <c r="AT583" t="inlineStr">
        <is>
          <t>N-Nitrosodi-n-butylamine</t>
        </is>
      </c>
    </row>
    <row r="584">
      <c r="A584" t="inlineStr">
        <is>
          <t>Spice Jars &amp; Racks</t>
        </is>
      </c>
      <c r="AT584" t="inlineStr">
        <is>
          <t>N-Nitrosodiethanolamine</t>
        </is>
      </c>
    </row>
    <row r="585">
      <c r="A585" t="inlineStr">
        <is>
          <t>Serving Bowls</t>
        </is>
      </c>
      <c r="AT585" t="inlineStr">
        <is>
          <t>N-Nitrosodiethylamine</t>
        </is>
      </c>
    </row>
    <row r="586">
      <c r="A586" t="inlineStr">
        <is>
          <t>Serving Dishes &amp; Platters</t>
        </is>
      </c>
      <c r="AT586" t="inlineStr">
        <is>
          <t>N-Nitrosodimethylamine</t>
        </is>
      </c>
    </row>
    <row r="587">
      <c r="A587" t="inlineStr">
        <is>
          <t>Specialty Serving</t>
        </is>
      </c>
      <c r="AT587" t="inlineStr">
        <is>
          <t>p-Nitrosodiphenylamine</t>
        </is>
      </c>
    </row>
    <row r="588">
      <c r="A588" t="inlineStr">
        <is>
          <t>Creamers &amp; Sugar Bowls</t>
        </is>
      </c>
      <c r="AT588" t="inlineStr">
        <is>
          <t>N-Nitrosodiphenylamine</t>
        </is>
      </c>
    </row>
    <row r="589">
      <c r="A589" t="inlineStr">
        <is>
          <t>Changing Stations</t>
        </is>
      </c>
      <c r="AT589" t="inlineStr">
        <is>
          <t>N-Nitrosodi-n-propylamine</t>
        </is>
      </c>
    </row>
    <row r="590">
      <c r="A590" t="inlineStr">
        <is>
          <t>Scents &amp; Diffusers</t>
        </is>
      </c>
      <c r="AT590" t="inlineStr">
        <is>
          <t>N-Nitroso-N-ethylurea</t>
        </is>
      </c>
    </row>
    <row r="591">
      <c r="A591" t="inlineStr">
        <is>
          <t>Mugs &amp; Teacups</t>
        </is>
      </c>
      <c r="AT591" t="inlineStr">
        <is>
          <t>3-(N-Nitrosomethylamino) propionitrile</t>
        </is>
      </c>
    </row>
    <row r="592">
      <c r="A592" t="inlineStr">
        <is>
          <t>Holiday Accents &amp; Decor</t>
        </is>
      </c>
      <c r="AT592" t="inlineStr">
        <is>
          <t>4-(N-Nitrosomethylamino)-1-(3-pyridyl)1-butanone</t>
        </is>
      </c>
    </row>
    <row r="593">
      <c r="A593" t="inlineStr">
        <is>
          <t>Decorative Trays</t>
        </is>
      </c>
      <c r="AT593" t="inlineStr">
        <is>
          <t>N-Nitrosomethyl-n-butylamine</t>
        </is>
      </c>
    </row>
    <row r="594">
      <c r="A594" t="inlineStr">
        <is>
          <t>Judaica</t>
        </is>
      </c>
      <c r="AT594" t="inlineStr">
        <is>
          <t>N-Nitrosomethyl-n-decylamine</t>
        </is>
      </c>
    </row>
    <row r="595">
      <c r="A595" t="inlineStr">
        <is>
          <t>Dinnerware Storage</t>
        </is>
      </c>
      <c r="AT595" t="inlineStr">
        <is>
          <t>N-Nitrosomethyl-n-dodecylamine</t>
        </is>
      </c>
    </row>
    <row r="596">
      <c r="A596" t="inlineStr">
        <is>
          <t>Pantry Cabinets</t>
        </is>
      </c>
      <c r="AT596" t="inlineStr">
        <is>
          <t>N-Nitrosomethylethylamine</t>
        </is>
      </c>
    </row>
    <row r="597">
      <c r="A597" t="inlineStr">
        <is>
          <t>Bathroom Hardware Sets</t>
        </is>
      </c>
      <c r="AT597" t="inlineStr">
        <is>
          <t>N-Nitrosomethyl-n-heptylamine</t>
        </is>
      </c>
    </row>
    <row r="598">
      <c r="A598" t="inlineStr">
        <is>
          <t>Soda Makers</t>
        </is>
      </c>
      <c r="AT598" t="inlineStr">
        <is>
          <t>N-Nitrosomethyl-n-hexylamine</t>
        </is>
      </c>
    </row>
    <row r="599">
      <c r="A599" t="inlineStr">
        <is>
          <t>Weight Bar</t>
        </is>
      </c>
      <c r="AT599" t="inlineStr">
        <is>
          <t>N-Nitrosomethyl-n-nonylamine</t>
        </is>
      </c>
    </row>
    <row r="600">
      <c r="A600" t="inlineStr">
        <is>
          <t>Bulletin Boards, Whiteboards, Chalkboards</t>
        </is>
      </c>
      <c r="AT600" t="inlineStr">
        <is>
          <t>N-Nitrosomethyl-n-octylamine</t>
        </is>
      </c>
    </row>
    <row r="601">
      <c r="A601" t="inlineStr">
        <is>
          <t>Makeup Vanities</t>
        </is>
      </c>
      <c r="AT601" t="inlineStr">
        <is>
          <t>N-Nitrosomethyl-n-pentylamine</t>
        </is>
      </c>
    </row>
    <row r="602">
      <c r="A602" t="inlineStr">
        <is>
          <t>Stock &amp; Ready-to-Assemble Kitchen Cabinets</t>
        </is>
      </c>
      <c r="AT602" t="inlineStr">
        <is>
          <t>N-Nitrosomethyl-n-propylamine</t>
        </is>
      </c>
    </row>
    <row r="603">
      <c r="A603" t="inlineStr">
        <is>
          <t>Bar Carts</t>
        </is>
      </c>
      <c r="AT603" t="inlineStr">
        <is>
          <t>N-Nitrosomethyl-n-tetradecylamine</t>
        </is>
      </c>
    </row>
    <row r="604">
      <c r="A604" t="inlineStr">
        <is>
          <t>Restroom Partitions</t>
        </is>
      </c>
      <c r="AT604" t="inlineStr">
        <is>
          <t>N-Nitrosomethyl-n-undecylamine</t>
        </is>
      </c>
    </row>
    <row r="605">
      <c r="A605" t="inlineStr">
        <is>
          <t>Dining Bowls</t>
        </is>
      </c>
      <c r="AT605" t="inlineStr">
        <is>
          <t>N-Nitroso-N-methylurea</t>
        </is>
      </c>
    </row>
    <row r="606">
      <c r="A606" t="inlineStr">
        <is>
          <t>Plates &amp; Saucers</t>
        </is>
      </c>
      <c r="AT606" t="inlineStr">
        <is>
          <t>N-Nitroso-N-methylurethane</t>
        </is>
      </c>
    </row>
    <row r="607">
      <c r="A607" t="inlineStr">
        <is>
          <t>Flushometer Valves</t>
        </is>
      </c>
      <c r="AT607" t="inlineStr">
        <is>
          <t>N-Nitrosomethylvinylamine</t>
        </is>
      </c>
    </row>
    <row r="608">
      <c r="A608" t="inlineStr">
        <is>
          <t>Institutional Furniture Parts &amp; Accessories</t>
        </is>
      </c>
      <c r="AT608" t="inlineStr">
        <is>
          <t>N-Nitrosomorpholine</t>
        </is>
      </c>
    </row>
    <row r="609">
      <c r="A609" t="inlineStr">
        <is>
          <t>Mattresses</t>
        </is>
      </c>
      <c r="AT609" t="inlineStr">
        <is>
          <t>N-Nitrosonornicotine</t>
        </is>
      </c>
    </row>
    <row r="610">
      <c r="A610" t="inlineStr">
        <is>
          <t>Mattress Foundations</t>
        </is>
      </c>
      <c r="AT610" t="inlineStr">
        <is>
          <t>N-Nitrosopiperidine</t>
        </is>
      </c>
    </row>
    <row r="611">
      <c r="A611" t="inlineStr">
        <is>
          <t>Shutters</t>
        </is>
      </c>
      <c r="AT611" t="inlineStr">
        <is>
          <t>N-Nitrosopyrrolidine</t>
        </is>
      </c>
    </row>
    <row r="612">
      <c r="A612" t="inlineStr">
        <is>
          <t>Table Lamps</t>
        </is>
      </c>
      <c r="AT612" t="inlineStr">
        <is>
          <t>N-Nitrososarcosine</t>
        </is>
      </c>
    </row>
    <row r="613">
      <c r="A613" t="inlineStr">
        <is>
          <t>Decorative Torches</t>
        </is>
      </c>
      <c r="AT613" t="inlineStr">
        <is>
          <t>o-Nitrotoluene</t>
        </is>
      </c>
    </row>
    <row r="614">
      <c r="A614" t="inlineStr">
        <is>
          <t>Dwell Studio</t>
        </is>
      </c>
      <c r="AT614" t="inlineStr">
        <is>
          <t>Nitrous oxide</t>
        </is>
      </c>
    </row>
    <row r="615">
      <c r="A615" t="inlineStr">
        <is>
          <t>Mattress Covers and Protectors</t>
        </is>
      </c>
      <c r="AT615" t="inlineStr">
        <is>
          <t>Norethisterone (Norethindrone)</t>
        </is>
      </c>
    </row>
    <row r="616">
      <c r="A616" t="inlineStr">
        <is>
          <t>Trunks</t>
        </is>
      </c>
      <c r="AT616" t="inlineStr">
        <is>
          <t>Norethisterone acetate (Norethindrone acetate)</t>
        </is>
      </c>
    </row>
    <row r="617">
      <c r="A617" t="inlineStr">
        <is>
          <t>Picture Lights</t>
        </is>
      </c>
      <c r="AT617" t="inlineStr">
        <is>
          <t>Norethisterone (Norethindrone)/Ethinyl estradiol</t>
        </is>
      </c>
    </row>
    <row r="618">
      <c r="A618" t="inlineStr">
        <is>
          <t>Stair Accessories</t>
        </is>
      </c>
      <c r="AT618" t="inlineStr">
        <is>
          <t>Norethynodrel</t>
        </is>
      </c>
    </row>
    <row r="619">
      <c r="A619" t="inlineStr">
        <is>
          <t>Interior Doors</t>
        </is>
      </c>
      <c r="AT619" t="inlineStr">
        <is>
          <t>Norgestrel</t>
        </is>
      </c>
    </row>
    <row r="620">
      <c r="A620" t="inlineStr">
        <is>
          <t>Toilet Seat Decals</t>
        </is>
      </c>
      <c r="AT620" t="inlineStr">
        <is>
          <t>Ochratoxin A</t>
        </is>
      </c>
    </row>
    <row r="621">
      <c r="A621" t="inlineStr">
        <is>
          <t>Molding &amp; Millwork</t>
        </is>
      </c>
      <c r="AT621" t="inlineStr">
        <is>
          <t>Oil Orange SS</t>
        </is>
      </c>
    </row>
    <row r="622">
      <c r="A622" t="inlineStr">
        <is>
          <t>Door Hardware Accessories</t>
        </is>
      </c>
      <c r="AT622" t="inlineStr">
        <is>
          <t>Oral contraceptives, combined</t>
        </is>
      </c>
    </row>
    <row r="623">
      <c r="A623" t="inlineStr">
        <is>
          <t>Outdoor Pizza Ovens</t>
        </is>
      </c>
      <c r="AT623" t="inlineStr">
        <is>
          <t>Oral contraceptives, sequential</t>
        </is>
      </c>
    </row>
    <row r="624">
      <c r="A624" t="inlineStr">
        <is>
          <t>Shower &amp; Tub Accessories</t>
        </is>
      </c>
      <c r="AT624" t="inlineStr">
        <is>
          <t>Oryzalin</t>
        </is>
      </c>
    </row>
    <row r="625">
      <c r="A625" t="inlineStr">
        <is>
          <t>Toilet Brushes &amp; Plungers</t>
        </is>
      </c>
      <c r="AT625" t="inlineStr">
        <is>
          <t>Oxadiazon</t>
        </is>
      </c>
    </row>
    <row r="626">
      <c r="A626" t="inlineStr">
        <is>
          <t>Grab Bars</t>
        </is>
      </c>
      <c r="AT626" t="inlineStr">
        <is>
          <t>Oxazepam</t>
        </is>
      </c>
    </row>
    <row r="627">
      <c r="A627" t="inlineStr">
        <is>
          <t>Commercial Floor Care</t>
        </is>
      </c>
      <c r="AT627" t="inlineStr">
        <is>
          <t>Oxymetholone</t>
        </is>
      </c>
    </row>
    <row r="628">
      <c r="A628" t="inlineStr">
        <is>
          <t>Water Filter Pitchers</t>
        </is>
      </c>
      <c r="AT628" t="inlineStr">
        <is>
          <t>Oxytetracycline (internal use)</t>
        </is>
      </c>
    </row>
    <row r="629">
      <c r="A629" t="inlineStr">
        <is>
          <t>Bookends</t>
        </is>
      </c>
      <c r="AT629" t="inlineStr">
        <is>
          <t>Oxytetracycline hydrochloride (internal use)</t>
        </is>
      </c>
    </row>
    <row r="630">
      <c r="A630" t="inlineStr">
        <is>
          <t>Lawn and Beach Chairs</t>
        </is>
      </c>
      <c r="AT630" t="inlineStr">
        <is>
          <t>Oxythioquinox (Chinomethionat)</t>
        </is>
      </c>
    </row>
    <row r="631">
      <c r="A631" t="inlineStr">
        <is>
          <t>Adirondack Chairs</t>
        </is>
      </c>
      <c r="AT631" t="inlineStr">
        <is>
          <t>Paclitaxel</t>
        </is>
      </c>
    </row>
    <row r="632">
      <c r="A632" t="inlineStr">
        <is>
          <t>Patio Rockers &amp; Gliders</t>
        </is>
      </c>
      <c r="AT632" t="inlineStr">
        <is>
          <t>Palygorskite fibers (&gt; 5mm in length)</t>
        </is>
      </c>
    </row>
    <row r="633">
      <c r="A633" t="inlineStr">
        <is>
          <t>Patio Lounge Chairs</t>
        </is>
      </c>
      <c r="AT633" t="inlineStr">
        <is>
          <t>Panfuran S</t>
        </is>
      </c>
    </row>
    <row r="634">
      <c r="A634" t="inlineStr">
        <is>
          <t>Tapestries and Wall Hangings</t>
        </is>
      </c>
      <c r="AT634" t="inlineStr">
        <is>
          <t>Paramethadione</t>
        </is>
      </c>
    </row>
    <row r="635">
      <c r="A635" t="inlineStr">
        <is>
          <t>Wall Décor</t>
        </is>
      </c>
      <c r="AT635" t="inlineStr">
        <is>
          <t>Parathion</t>
        </is>
      </c>
    </row>
    <row r="636">
      <c r="A636" t="inlineStr">
        <is>
          <t>Life Size Cutouts</t>
        </is>
      </c>
      <c r="AT636" t="inlineStr">
        <is>
          <t>Penicillamine</t>
        </is>
      </c>
    </row>
    <row r="637">
      <c r="A637" t="inlineStr">
        <is>
          <t>Ice Buckets, Beverage Tubs &amp; Chillers</t>
        </is>
      </c>
      <c r="AT637" t="inlineStr">
        <is>
          <t>pentabromodiphenyl ether mixture [DE-71 (technical grade)]</t>
        </is>
      </c>
    </row>
    <row r="638">
      <c r="A638" t="inlineStr">
        <is>
          <t>Memo Boards</t>
        </is>
      </c>
      <c r="AT638" t="inlineStr">
        <is>
          <t>Pentachlorophenol</t>
        </is>
      </c>
    </row>
    <row r="639">
      <c r="A639" t="inlineStr">
        <is>
          <t>Cupolas &amp; Weathervanes</t>
        </is>
      </c>
      <c r="AT639" t="inlineStr">
        <is>
          <t>Pentachlorophenol and by-products of its synthesis (complex mixture)</t>
        </is>
      </c>
    </row>
    <row r="640">
      <c r="A640" t="inlineStr">
        <is>
          <t>Weather Instruments</t>
        </is>
      </c>
      <c r="AT640" t="inlineStr">
        <is>
          <t>Pentobarbital sodium</t>
        </is>
      </c>
    </row>
    <row r="641">
      <c r="A641" t="inlineStr">
        <is>
          <t>Floor Installation Accessories</t>
        </is>
      </c>
      <c r="AT641" t="inlineStr">
        <is>
          <t>Pentosan polysulfate sodium</t>
        </is>
      </c>
    </row>
    <row r="642">
      <c r="A642" t="inlineStr">
        <is>
          <t>Floor Underlayments</t>
        </is>
      </c>
      <c r="AT642" t="inlineStr">
        <is>
          <t>Pentostatin</t>
        </is>
      </c>
    </row>
    <row r="643">
      <c r="A643" t="inlineStr">
        <is>
          <t>Floor Vent Covers</t>
        </is>
      </c>
      <c r="AT643" t="inlineStr">
        <is>
          <t>Perfluorooctane sulfonate (PFOS)</t>
        </is>
      </c>
    </row>
    <row r="644">
      <c r="A644" t="inlineStr">
        <is>
          <t>Wallpaper Sample</t>
        </is>
      </c>
      <c r="AT644" t="inlineStr">
        <is>
          <t>Perfluorooctanoic acid (PFOA)</t>
        </is>
      </c>
    </row>
    <row r="645">
      <c r="A645" t="inlineStr">
        <is>
          <t>Awnings</t>
        </is>
      </c>
      <c r="AT645" t="inlineStr">
        <is>
          <t>Pertuzumab</t>
        </is>
      </c>
    </row>
    <row r="646">
      <c r="A646" t="inlineStr">
        <is>
          <t>Shade Sails</t>
        </is>
      </c>
      <c r="AT646" t="inlineStr">
        <is>
          <t>Phenacemide</t>
        </is>
      </c>
    </row>
    <row r="647">
      <c r="A647" t="inlineStr">
        <is>
          <t>Gazebos</t>
        </is>
      </c>
      <c r="AT647" t="inlineStr">
        <is>
          <t>Phenacetin</t>
        </is>
      </c>
    </row>
    <row r="648">
      <c r="A648" t="inlineStr">
        <is>
          <t>Pergolas</t>
        </is>
      </c>
      <c r="AT648" t="inlineStr">
        <is>
          <t>Phenazopyridine</t>
        </is>
      </c>
    </row>
    <row r="649">
      <c r="A649" t="inlineStr">
        <is>
          <t>Beekeeping Supplies</t>
        </is>
      </c>
      <c r="AT649" t="inlineStr">
        <is>
          <t>Phenazopyridine hydrochloride</t>
        </is>
      </c>
    </row>
    <row r="650">
      <c r="A650" t="inlineStr">
        <is>
          <t>Baking Dishes</t>
        </is>
      </c>
      <c r="AT650" t="inlineStr">
        <is>
          <t>Phenesterin</t>
        </is>
      </c>
    </row>
    <row r="651">
      <c r="A651" t="inlineStr">
        <is>
          <t>Muffin &amp; Cupcake Pans</t>
        </is>
      </c>
      <c r="AT651" t="inlineStr">
        <is>
          <t>Phenobarbital</t>
        </is>
      </c>
    </row>
    <row r="652">
      <c r="A652" t="inlineStr">
        <is>
          <t>Bread &amp; Loaf Pans</t>
        </is>
      </c>
      <c r="AT652" t="inlineStr">
        <is>
          <t>Phenolphthalein</t>
        </is>
      </c>
    </row>
    <row r="653">
      <c r="A653" t="inlineStr">
        <is>
          <t>Bakeware Sets</t>
        </is>
      </c>
      <c r="AT653" t="inlineStr">
        <is>
          <t>Phenoxybenzamine</t>
        </is>
      </c>
    </row>
    <row r="654">
      <c r="A654" t="inlineStr">
        <is>
          <t>Napkin Rings, Place Card Holders &amp; Food Markers</t>
        </is>
      </c>
      <c r="AT654" t="inlineStr">
        <is>
          <t>Phenoxybenzamine hydrochloride</t>
        </is>
      </c>
    </row>
    <row r="655">
      <c r="A655" t="inlineStr">
        <is>
          <t>Entry Sets</t>
        </is>
      </c>
      <c r="AT655" t="inlineStr">
        <is>
          <t>Phenprocoumon</t>
        </is>
      </c>
    </row>
    <row r="656">
      <c r="A656" t="inlineStr">
        <is>
          <t>Door Levers</t>
        </is>
      </c>
      <c r="AT656" t="inlineStr">
        <is>
          <t>o-Phenylenediamine and its salts</t>
        </is>
      </c>
    </row>
    <row r="657">
      <c r="A657" t="inlineStr">
        <is>
          <t>Door Knobs</t>
        </is>
      </c>
      <c r="AT657" t="inlineStr">
        <is>
          <t>Phenylhydrazine and its salts</t>
        </is>
      </c>
    </row>
    <row r="658">
      <c r="A658" t="inlineStr">
        <is>
          <t>Deadbolts</t>
        </is>
      </c>
      <c r="AT658" t="inlineStr">
        <is>
          <t>o-Phenylphenate, sodium</t>
        </is>
      </c>
    </row>
    <row r="659">
      <c r="A659" t="inlineStr">
        <is>
          <t>Door Stops</t>
        </is>
      </c>
      <c r="AT659" t="inlineStr">
        <is>
          <t>o-Phenylphenol</t>
        </is>
      </c>
    </row>
    <row r="660">
      <c r="A660" t="inlineStr">
        <is>
          <t>Door Hinges</t>
        </is>
      </c>
      <c r="AT660" t="inlineStr">
        <is>
          <t>Phenylphosphine</t>
        </is>
      </c>
    </row>
    <row r="661">
      <c r="A661" t="inlineStr">
        <is>
          <t>Canisters &amp; Jars</t>
        </is>
      </c>
      <c r="AT661" t="inlineStr">
        <is>
          <t>PhiP(2-Amino-1-methyl-6-phenylimidazol[4,5-b]pyridine)</t>
        </is>
      </c>
    </row>
    <row r="662">
      <c r="A662" t="inlineStr">
        <is>
          <t>Cabinet Hinges</t>
        </is>
      </c>
      <c r="AT662" t="inlineStr">
        <is>
          <t>Pimozide</t>
        </is>
      </c>
    </row>
    <row r="663">
      <c r="A663" t="inlineStr">
        <is>
          <t>Cabinet and Drawer Backplates</t>
        </is>
      </c>
      <c r="AT663" t="inlineStr">
        <is>
          <t>Pioglitazone</t>
        </is>
      </c>
    </row>
    <row r="664">
      <c r="A664" t="inlineStr">
        <is>
          <t>Cabinet and Drawer Knobs</t>
        </is>
      </c>
      <c r="AT664" t="inlineStr">
        <is>
          <t>Pipobroman</t>
        </is>
      </c>
    </row>
    <row r="665">
      <c r="A665" t="inlineStr">
        <is>
          <t>Drawer Slides</t>
        </is>
      </c>
      <c r="AT665" t="inlineStr">
        <is>
          <t>Pirimicarb</t>
        </is>
      </c>
    </row>
    <row r="666">
      <c r="A666" t="inlineStr">
        <is>
          <t>Waiting Room &amp; Reception Chairs</t>
        </is>
      </c>
      <c r="AT666" t="inlineStr">
        <is>
          <t>Plicamycin</t>
        </is>
      </c>
    </row>
    <row r="667">
      <c r="A667" t="inlineStr">
        <is>
          <t>Reception Sofas</t>
        </is>
      </c>
      <c r="AT667" t="inlineStr">
        <is>
          <t>Polybrominated biphenyls</t>
        </is>
      </c>
    </row>
    <row r="668">
      <c r="A668" t="inlineStr">
        <is>
          <t>Reception Benches</t>
        </is>
      </c>
      <c r="AT668" t="inlineStr">
        <is>
          <t>Polychlorinated biphenyls</t>
        </is>
      </c>
    </row>
    <row r="669">
      <c r="A669" t="inlineStr">
        <is>
          <t>Reception Desks</t>
        </is>
      </c>
      <c r="AT669" t="inlineStr">
        <is>
          <t>Polychlorinated biphenyls (containing 60 or more percent chlorine by molecular weight)</t>
        </is>
      </c>
    </row>
    <row r="670">
      <c r="A670" t="inlineStr">
        <is>
          <t>Ceiling Tiles</t>
        </is>
      </c>
      <c r="AT670" t="inlineStr">
        <is>
          <t>Polychlorinated dibenzo-p-dioxins</t>
        </is>
      </c>
    </row>
    <row r="671">
      <c r="A671" t="inlineStr">
        <is>
          <t>Multichannel-Only (MCO) Fulfillment</t>
        </is>
      </c>
      <c r="AT671" t="inlineStr">
        <is>
          <t>Polychlorinated dibenzofurans</t>
        </is>
      </c>
    </row>
    <row r="672">
      <c r="A672" t="inlineStr">
        <is>
          <t>Poker &amp; Card Tables</t>
        </is>
      </c>
      <c r="AT672" t="inlineStr">
        <is>
          <t>Polygeenan</t>
        </is>
      </c>
    </row>
    <row r="673">
      <c r="A673" t="inlineStr">
        <is>
          <t>Futon Frames</t>
        </is>
      </c>
      <c r="AT673" t="inlineStr">
        <is>
          <t>Ponceau MX</t>
        </is>
      </c>
    </row>
    <row r="674">
      <c r="A674" t="inlineStr">
        <is>
          <t>Shade Accessories</t>
        </is>
      </c>
      <c r="AT674" t="inlineStr">
        <is>
          <t>Ponceau 3R</t>
        </is>
      </c>
    </row>
    <row r="675">
      <c r="A675" t="inlineStr">
        <is>
          <t>Cabinet and Drawer Accessories</t>
        </is>
      </c>
      <c r="AT675" t="inlineStr">
        <is>
          <t>Potassium bromate</t>
        </is>
      </c>
    </row>
    <row r="676">
      <c r="A676" t="inlineStr">
        <is>
          <t>Rain Barrels</t>
        </is>
      </c>
      <c r="AT676" t="inlineStr">
        <is>
          <t>Potassium dimethyldithiocarbamate</t>
        </is>
      </c>
    </row>
    <row r="677">
      <c r="A677" t="inlineStr">
        <is>
          <t>Food Service Racks &amp; Shelving</t>
        </is>
      </c>
      <c r="AT677" t="inlineStr">
        <is>
          <t>Pravastatin sodium</t>
        </is>
      </c>
    </row>
    <row r="678">
      <c r="A678" t="inlineStr">
        <is>
          <t>Shower Panels</t>
        </is>
      </c>
      <c r="AT678" t="inlineStr">
        <is>
          <t>Prednisolone sodium phosphate</t>
        </is>
      </c>
    </row>
    <row r="679">
      <c r="A679" t="inlineStr">
        <is>
          <t>Shower Heads</t>
        </is>
      </c>
      <c r="AT679" t="inlineStr">
        <is>
          <t>Primidone</t>
        </is>
      </c>
    </row>
    <row r="680">
      <c r="A680" t="inlineStr">
        <is>
          <t>Arbors</t>
        </is>
      </c>
      <c r="AT680" t="inlineStr">
        <is>
          <t>Procarbazine</t>
        </is>
      </c>
    </row>
    <row r="681">
      <c r="A681" t="inlineStr">
        <is>
          <t>Teapots &amp; Teapot Sets</t>
        </is>
      </c>
      <c r="AT681" t="inlineStr">
        <is>
          <t>Procarbazine hydrochloride</t>
        </is>
      </c>
    </row>
    <row r="682">
      <c r="A682" t="inlineStr">
        <is>
          <t>Wreaths</t>
        </is>
      </c>
      <c r="AT682" t="inlineStr">
        <is>
          <t>Procymidone</t>
        </is>
      </c>
    </row>
    <row r="683">
      <c r="A683" t="inlineStr">
        <is>
          <t>Radiators</t>
        </is>
      </c>
      <c r="AT683" t="inlineStr">
        <is>
          <t>Progesterone</t>
        </is>
      </c>
    </row>
    <row r="684">
      <c r="A684" t="inlineStr">
        <is>
          <t>Hospitality - Booths</t>
        </is>
      </c>
      <c r="AT684" t="inlineStr">
        <is>
          <t>Pronamide</t>
        </is>
      </c>
    </row>
    <row r="685">
      <c r="A685" t="inlineStr">
        <is>
          <t>Decorative Media Players</t>
        </is>
      </c>
      <c r="AT685" t="inlineStr">
        <is>
          <t>Propachlor</t>
        </is>
      </c>
    </row>
    <row r="686">
      <c r="A686" t="inlineStr">
        <is>
          <t>Exterior Doors</t>
        </is>
      </c>
      <c r="AT686" t="inlineStr">
        <is>
          <t>1,3-Propane sultone</t>
        </is>
      </c>
    </row>
    <row r="687">
      <c r="A687" t="inlineStr">
        <is>
          <t>Large Appliance Warranties</t>
        </is>
      </c>
      <c r="AT687" t="inlineStr">
        <is>
          <t>Propargite</t>
        </is>
      </c>
    </row>
    <row r="688">
      <c r="A688" t="inlineStr">
        <is>
          <t>Washer and Dryer Sets</t>
        </is>
      </c>
      <c r="AT688" t="inlineStr">
        <is>
          <t>Propazine</t>
        </is>
      </c>
    </row>
    <row r="689">
      <c r="A689" t="inlineStr">
        <is>
          <t>Towel Rings</t>
        </is>
      </c>
      <c r="AT689" t="inlineStr">
        <is>
          <t>beta-Propiolactone</t>
        </is>
      </c>
    </row>
    <row r="690">
      <c r="A690" t="inlineStr">
        <is>
          <t>Towel &amp; Robe Hooks</t>
        </is>
      </c>
      <c r="AT690" t="inlineStr">
        <is>
          <t>Propoxur</t>
        </is>
      </c>
    </row>
    <row r="691">
      <c r="A691" t="inlineStr">
        <is>
          <t>Dorm Room Furniture</t>
        </is>
      </c>
      <c r="AT691" t="inlineStr">
        <is>
          <t>Propylene glycol mono-t-butyl ether</t>
        </is>
      </c>
    </row>
    <row r="692">
      <c r="A692" t="inlineStr">
        <is>
          <t>Uniters Rugs</t>
        </is>
      </c>
      <c r="AT692" t="inlineStr">
        <is>
          <t>Propylene oxide</t>
        </is>
      </c>
    </row>
    <row r="693">
      <c r="A693" t="inlineStr">
        <is>
          <t>Small Appliance Warranties</t>
        </is>
      </c>
      <c r="AT693" t="inlineStr">
        <is>
          <t>Propylthiouracil</t>
        </is>
      </c>
    </row>
    <row r="694">
      <c r="A694" t="inlineStr">
        <is>
          <t>String Lights</t>
        </is>
      </c>
      <c r="AT694" t="inlineStr">
        <is>
          <t>Pulegone</t>
        </is>
      </c>
    </row>
    <row r="695">
      <c r="A695" t="inlineStr">
        <is>
          <t>Air Purifiers</t>
        </is>
      </c>
      <c r="AT695" t="inlineStr">
        <is>
          <t>Pymetrozine</t>
        </is>
      </c>
    </row>
    <row r="696">
      <c r="A696" t="inlineStr">
        <is>
          <t>Humidifiers</t>
        </is>
      </c>
      <c r="AT696" t="inlineStr">
        <is>
          <t>Pyridine</t>
        </is>
      </c>
    </row>
    <row r="697">
      <c r="A697" t="inlineStr">
        <is>
          <t>Air Treatment Accessories</t>
        </is>
      </c>
      <c r="AT697" t="inlineStr">
        <is>
          <t>Pyrimethamine</t>
        </is>
      </c>
    </row>
    <row r="698">
      <c r="A698" t="inlineStr">
        <is>
          <t>Dehumidifiers</t>
        </is>
      </c>
      <c r="AT698" t="inlineStr">
        <is>
          <t>Quazepam</t>
        </is>
      </c>
    </row>
    <row r="699">
      <c r="A699" t="inlineStr">
        <is>
          <t>Log Storage</t>
        </is>
      </c>
      <c r="AT699" t="inlineStr">
        <is>
          <t>Quinoline and its strong acid salts</t>
        </is>
      </c>
    </row>
    <row r="700">
      <c r="A700" t="inlineStr">
        <is>
          <t>Crib Sheets</t>
        </is>
      </c>
      <c r="AT700" t="inlineStr">
        <is>
          <t>Radionuclides</t>
        </is>
      </c>
    </row>
    <row r="701">
      <c r="A701" t="inlineStr">
        <is>
          <t>Crib Bedding Accessories</t>
        </is>
      </c>
      <c r="AT701" t="inlineStr">
        <is>
          <t>Reserpine</t>
        </is>
      </c>
    </row>
    <row r="702">
      <c r="A702" t="inlineStr">
        <is>
          <t>Product Credit</t>
        </is>
      </c>
      <c r="AT702" t="inlineStr">
        <is>
          <t>Residual (heavy) fuel oils</t>
        </is>
      </c>
    </row>
    <row r="703">
      <c r="A703" t="inlineStr">
        <is>
          <t>Tabletop Fireplaces</t>
        </is>
      </c>
      <c r="AT703" t="inlineStr">
        <is>
          <t>Resmethrin</t>
        </is>
      </c>
    </row>
    <row r="704">
      <c r="A704" t="inlineStr">
        <is>
          <t>Peel and Stick Backsplash Tile</t>
        </is>
      </c>
      <c r="AT704" t="inlineStr">
        <is>
          <t>Retinol/retinyl esters, when in daily dosages in excess of 10,000 IU, or 3,000 retinol equivalents.</t>
        </is>
      </c>
    </row>
    <row r="705">
      <c r="A705" t="inlineStr">
        <is>
          <t>Kids Step Stools</t>
        </is>
      </c>
      <c r="AT705" t="inlineStr">
        <is>
          <t>Ribavirin</t>
        </is>
      </c>
    </row>
    <row r="706">
      <c r="A706" t="inlineStr">
        <is>
          <t>Shower Curtain Rods</t>
        </is>
      </c>
      <c r="AT706" t="inlineStr">
        <is>
          <t>Riddelliine</t>
        </is>
      </c>
    </row>
    <row r="707">
      <c r="A707" t="inlineStr">
        <is>
          <t>Wall Paneling</t>
        </is>
      </c>
      <c r="AT707" t="inlineStr">
        <is>
          <t>Rifampin</t>
        </is>
      </c>
    </row>
    <row r="708">
      <c r="A708" t="inlineStr">
        <is>
          <t>House Letters &amp; Numbers</t>
        </is>
      </c>
      <c r="AT708" t="inlineStr">
        <is>
          <t>Safrole</t>
        </is>
      </c>
    </row>
    <row r="709">
      <c r="A709" t="inlineStr">
        <is>
          <t>Lighting Warranties</t>
        </is>
      </c>
      <c r="AT709" t="inlineStr">
        <is>
          <t>Salted fish, Chinese-style</t>
        </is>
      </c>
    </row>
    <row r="710">
      <c r="A710" t="inlineStr">
        <is>
          <t>Handy</t>
        </is>
      </c>
      <c r="AT710" t="inlineStr">
        <is>
          <t>Secobarbital sodium</t>
        </is>
      </c>
    </row>
    <row r="711">
      <c r="A711" t="inlineStr">
        <is>
          <t>Soft Seating</t>
        </is>
      </c>
      <c r="AT711" t="inlineStr">
        <is>
          <t>Sedaxane</t>
        </is>
      </c>
    </row>
    <row r="712">
      <c r="A712" t="inlineStr">
        <is>
          <t>Uniters Renovation - Plumbing</t>
        </is>
      </c>
      <c r="AT712" t="inlineStr">
        <is>
          <t>Selenium sulfide</t>
        </is>
      </c>
    </row>
    <row r="713">
      <c r="A713" t="inlineStr">
        <is>
          <t>Planter Accessories</t>
        </is>
      </c>
      <c r="AT713" t="inlineStr">
        <is>
          <t>Sermorelin acetate</t>
        </is>
      </c>
    </row>
    <row r="714">
      <c r="A714" t="inlineStr">
        <is>
          <t>Charcoal Grills</t>
        </is>
      </c>
      <c r="AT714" t="inlineStr">
        <is>
          <t>Shale-oils</t>
        </is>
      </c>
    </row>
    <row r="715">
      <c r="A715" t="inlineStr">
        <is>
          <t>Track Lighting Kits</t>
        </is>
      </c>
      <c r="AT715" t="inlineStr">
        <is>
          <t>Silica, crystalline (airborne particles of respirable size)</t>
        </is>
      </c>
    </row>
    <row r="716">
      <c r="A716" t="inlineStr">
        <is>
          <t>Recessed Lighting Kits</t>
        </is>
      </c>
      <c r="AT716" t="inlineStr">
        <is>
          <t>Simazine</t>
        </is>
      </c>
    </row>
    <row r="717">
      <c r="A717" t="inlineStr">
        <is>
          <t>Track Lighting Heads &amp; Pendants</t>
        </is>
      </c>
      <c r="AT717" t="inlineStr">
        <is>
          <t>Sodium dimethyldithiocarbamate</t>
        </is>
      </c>
    </row>
    <row r="718">
      <c r="A718" t="inlineStr">
        <is>
          <t>Track Lighting Tracks, Rails &amp; Connectors</t>
        </is>
      </c>
      <c r="AT718" t="inlineStr">
        <is>
          <t>Soots, tars, and mineral oils (untreated and mildly treated oils and used engine oils)</t>
        </is>
      </c>
    </row>
    <row r="719">
      <c r="A719" t="inlineStr">
        <is>
          <t>Recessed Lighting Trims</t>
        </is>
      </c>
      <c r="AT719" t="inlineStr">
        <is>
          <t>Spirodiclofen</t>
        </is>
      </c>
    </row>
    <row r="720">
      <c r="A720" t="inlineStr">
        <is>
          <t>Wall Organizers, Wall Baskets, and Key Organizers</t>
        </is>
      </c>
      <c r="AT720" t="inlineStr">
        <is>
          <t>Spironolactone</t>
        </is>
      </c>
    </row>
    <row r="721">
      <c r="A721" t="inlineStr">
        <is>
          <t>Coffee Pods &amp; K-Cups</t>
        </is>
      </c>
      <c r="AT721" t="inlineStr">
        <is>
          <t>Stanozolol</t>
        </is>
      </c>
    </row>
    <row r="722">
      <c r="A722" t="inlineStr">
        <is>
          <t>Curtains, Drapes, &amp; Valences Samples</t>
        </is>
      </c>
      <c r="AT722" t="inlineStr">
        <is>
          <t>Sterigmatocystin</t>
        </is>
      </c>
    </row>
    <row r="723">
      <c r="A723" t="inlineStr">
        <is>
          <t>Large Appliances Fulfillment Services</t>
        </is>
      </c>
      <c r="AT723" t="inlineStr">
        <is>
          <t>Streptomycin sulfate</t>
        </is>
      </c>
    </row>
    <row r="724">
      <c r="A724" t="inlineStr">
        <is>
          <t>Outdoor Structures &amp; Spa Warranties</t>
        </is>
      </c>
      <c r="AT724" t="inlineStr">
        <is>
          <t>Streptozocin (streptozotocin)</t>
        </is>
      </c>
    </row>
    <row r="725">
      <c r="A725" t="inlineStr">
        <is>
          <t>Portable Washers &amp; Dryers</t>
        </is>
      </c>
      <c r="AT725" t="inlineStr">
        <is>
          <t>Streptozotocin (streptozocin)</t>
        </is>
      </c>
    </row>
    <row r="726">
      <c r="A726" t="inlineStr">
        <is>
          <t>Adjustable Beds</t>
        </is>
      </c>
      <c r="AT726" t="inlineStr">
        <is>
          <t>Strong inorganic acid mists containing sulfuric acid</t>
        </is>
      </c>
    </row>
    <row r="727">
      <c r="A727" t="inlineStr">
        <is>
          <t>Closet Organizer Accessories</t>
        </is>
      </c>
      <c r="AT727" t="inlineStr">
        <is>
          <t>Styrene</t>
        </is>
      </c>
    </row>
    <row r="728">
      <c r="A728" t="inlineStr">
        <is>
          <t>Shower Benches</t>
        </is>
      </c>
      <c r="AT728" t="inlineStr">
        <is>
          <t>Styrene oxide</t>
        </is>
      </c>
    </row>
    <row r="729">
      <c r="A729" t="inlineStr">
        <is>
          <t>Placemats, Chargers, &amp; Napkins</t>
        </is>
      </c>
      <c r="AT729" t="inlineStr">
        <is>
          <t>Sulfallate</t>
        </is>
      </c>
    </row>
    <row r="730">
      <c r="A730" t="inlineStr">
        <is>
          <t>Clothing &amp; Garment Racks</t>
        </is>
      </c>
      <c r="AT730" t="inlineStr">
        <is>
          <t>Sulfasalazine (Salicylazosulfapyridine)</t>
        </is>
      </c>
    </row>
    <row r="731">
      <c r="A731" t="inlineStr">
        <is>
          <t>Nursery Furniture Sets</t>
        </is>
      </c>
      <c r="AT731" t="inlineStr">
        <is>
          <t>Sulfur dioxidee</t>
        </is>
      </c>
    </row>
    <row r="732">
      <c r="A732" t="inlineStr">
        <is>
          <t>Wood Pellet Grills</t>
        </is>
      </c>
      <c r="AT732" t="inlineStr">
        <is>
          <t>Sulindac</t>
        </is>
      </c>
    </row>
    <row r="733">
      <c r="A733" t="inlineStr">
        <is>
          <t>Wayfair Registry</t>
        </is>
      </c>
      <c r="AT733" t="inlineStr">
        <is>
          <t>Talc containing asbestiform fibers</t>
        </is>
      </c>
    </row>
    <row r="734">
      <c r="A734" t="inlineStr">
        <is>
          <t>Beauty Organizers</t>
        </is>
      </c>
      <c r="AT734" t="inlineStr">
        <is>
          <t>Tamoxifen and its salts</t>
        </is>
      </c>
    </row>
    <row r="735">
      <c r="A735" t="inlineStr">
        <is>
          <t>Security Lighting</t>
        </is>
      </c>
      <c r="AT735" t="inlineStr">
        <is>
          <t>Tamoxifen citrate</t>
        </is>
      </c>
    </row>
    <row r="736">
      <c r="A736" t="inlineStr">
        <is>
          <t>Fireplace Screens &amp; Doors</t>
        </is>
      </c>
      <c r="AT736" t="inlineStr">
        <is>
          <t>Temazepam</t>
        </is>
      </c>
    </row>
    <row r="737">
      <c r="A737" t="inlineStr">
        <is>
          <t>Garden Accents</t>
        </is>
      </c>
      <c r="AT737" t="inlineStr">
        <is>
          <t>Teniposide</t>
        </is>
      </c>
    </row>
    <row r="738">
      <c r="A738" t="inlineStr">
        <is>
          <t>Evaporative Coolers</t>
        </is>
      </c>
      <c r="AT738" t="inlineStr">
        <is>
          <t>Terbacil</t>
        </is>
      </c>
    </row>
    <row r="739">
      <c r="A739" t="inlineStr">
        <is>
          <t>Bathrobes</t>
        </is>
      </c>
      <c r="AT739" t="inlineStr">
        <is>
          <t>Teriparatide</t>
        </is>
      </c>
    </row>
    <row r="740">
      <c r="A740" t="inlineStr">
        <is>
          <t>Outdoor Wall Decor</t>
        </is>
      </c>
      <c r="AT740" t="inlineStr">
        <is>
          <t>Terrazole</t>
        </is>
      </c>
    </row>
    <row r="741">
      <c r="A741" t="inlineStr">
        <is>
          <t>Doormats</t>
        </is>
      </c>
      <c r="AT741" t="inlineStr">
        <is>
          <t>Testosterone and its esters</t>
        </is>
      </c>
    </row>
    <row r="742">
      <c r="A742" t="inlineStr">
        <is>
          <t>Kitchen Mats</t>
        </is>
      </c>
      <c r="AT742" t="inlineStr">
        <is>
          <t>Testosterone cypionate</t>
        </is>
      </c>
    </row>
    <row r="743">
      <c r="A743" t="inlineStr">
        <is>
          <t>Decorative Boxes</t>
        </is>
      </c>
      <c r="AT743" t="inlineStr">
        <is>
          <t>Testosterone enanthate</t>
        </is>
      </c>
    </row>
    <row r="744">
      <c r="A744" t="inlineStr">
        <is>
          <t>Microfridge Combo Units</t>
        </is>
      </c>
      <c r="AT744" t="inlineStr">
        <is>
          <t>Tetrabromobisphenol A</t>
        </is>
      </c>
    </row>
    <row r="745">
      <c r="A745" t="inlineStr">
        <is>
          <t>Gas Fireplaces</t>
        </is>
      </c>
      <c r="AT745" t="inlineStr">
        <is>
          <t>3,3',4,4'-Tetrachloroazobenzene</t>
        </is>
      </c>
    </row>
    <row r="746">
      <c r="A746" t="inlineStr">
        <is>
          <t>Barn Door Hardware</t>
        </is>
      </c>
      <c r="AT746" t="inlineStr">
        <is>
          <t>2,3,7,8-Tetrachlorodibenzo-p-dioxin (TCDD)</t>
        </is>
      </c>
    </row>
    <row r="747">
      <c r="A747" t="inlineStr">
        <is>
          <t>Fabric Samples</t>
        </is>
      </c>
      <c r="AT747" t="inlineStr">
        <is>
          <t>1,1,1,2-Tetrachloroethane</t>
        </is>
      </c>
    </row>
    <row r="748">
      <c r="A748" t="inlineStr">
        <is>
          <t>Glass Sample</t>
        </is>
      </c>
      <c r="AT748" t="inlineStr">
        <is>
          <t>1,1,2,2-Tetrachloroethane</t>
        </is>
      </c>
    </row>
    <row r="749">
      <c r="A749" t="inlineStr">
        <is>
          <t>Metal Sample</t>
        </is>
      </c>
      <c r="AT749" t="inlineStr">
        <is>
          <t>Tetrachloroethylene (Perchloroethylene)</t>
        </is>
      </c>
    </row>
    <row r="750">
      <c r="A750" t="inlineStr">
        <is>
          <t>Plastic Sample</t>
        </is>
      </c>
      <c r="AT750" t="inlineStr">
        <is>
          <t>p-a,a,a-Tetrachlorotoluene</t>
        </is>
      </c>
    </row>
    <row r="751">
      <c r="A751" t="inlineStr">
        <is>
          <t>Ceramic/Stone Sample</t>
        </is>
      </c>
      <c r="AT751" t="inlineStr">
        <is>
          <t>Tetrachlorvinphos</t>
        </is>
      </c>
    </row>
    <row r="752">
      <c r="A752" t="inlineStr">
        <is>
          <t>Wicker/Rattan Sample</t>
        </is>
      </c>
      <c r="AT752" t="inlineStr">
        <is>
          <t>Tetracycline (internal use)</t>
        </is>
      </c>
    </row>
    <row r="753">
      <c r="A753" t="inlineStr">
        <is>
          <t>Textile Sample</t>
        </is>
      </c>
      <c r="AT753" t="inlineStr">
        <is>
          <t>Tetracyclines (internal use)</t>
        </is>
      </c>
    </row>
    <row r="754">
      <c r="A754" t="inlineStr">
        <is>
          <t>Thermostats</t>
        </is>
      </c>
      <c r="AT754" t="inlineStr">
        <is>
          <t>Tetracycline hydrochloride (internal use)</t>
        </is>
      </c>
    </row>
    <row r="755">
      <c r="A755" t="inlineStr">
        <is>
          <t>Restaurant Table Bases</t>
        </is>
      </c>
      <c r="AT755" t="inlineStr">
        <is>
          <t>Tetrafluoroethylene</t>
        </is>
      </c>
    </row>
    <row r="756">
      <c r="A756" t="inlineStr">
        <is>
          <t>Restaurant Tables</t>
        </is>
      </c>
      <c r="AT756" t="inlineStr">
        <is>
          <t>Tetranitromethane</t>
        </is>
      </c>
    </row>
    <row r="757">
      <c r="A757" t="inlineStr">
        <is>
          <t>Outdoor Flush Mounts</t>
        </is>
      </c>
      <c r="AT757" t="inlineStr">
        <is>
          <t>Thalidomide</t>
        </is>
      </c>
    </row>
    <row r="758">
      <c r="A758" t="inlineStr">
        <is>
          <t>Novelty Lighting</t>
        </is>
      </c>
      <c r="AT758" t="inlineStr">
        <is>
          <t>Thioacetamide</t>
        </is>
      </c>
    </row>
    <row r="759">
      <c r="A759" t="inlineStr">
        <is>
          <t>Kitchen Appliance Packages</t>
        </is>
      </c>
      <c r="AT759" t="inlineStr">
        <is>
          <t>4,4'-Thiodianiline</t>
        </is>
      </c>
    </row>
    <row r="760">
      <c r="A760" t="inlineStr">
        <is>
          <t>Commercial Cooking Equipment</t>
        </is>
      </c>
      <c r="AT760" t="inlineStr">
        <is>
          <t>Thiodicarb</t>
        </is>
      </c>
    </row>
    <row r="761">
      <c r="A761" t="inlineStr">
        <is>
          <t>Commercial Work Tables</t>
        </is>
      </c>
      <c r="AT761" t="inlineStr">
        <is>
          <t>Thioguanine</t>
        </is>
      </c>
    </row>
    <row r="762">
      <c r="A762" t="inlineStr">
        <is>
          <t>Countertop Ovens &amp; Cookers</t>
        </is>
      </c>
      <c r="AT762" t="inlineStr">
        <is>
          <t>Thiouracil</t>
        </is>
      </c>
    </row>
    <row r="763">
      <c r="A763" t="inlineStr">
        <is>
          <t>Commercial Ovens &amp; Ranges</t>
        </is>
      </c>
      <c r="AT763" t="inlineStr">
        <is>
          <t>Thiourea</t>
        </is>
      </c>
    </row>
    <row r="764">
      <c r="A764" t="inlineStr">
        <is>
          <t>Commercial Refrigerators &amp; Freezers</t>
        </is>
      </c>
      <c r="AT764" t="inlineStr">
        <is>
          <t>Thorium dioxide</t>
        </is>
      </c>
    </row>
    <row r="765">
      <c r="A765" t="inlineStr">
        <is>
          <t>Knife Storage</t>
        </is>
      </c>
      <c r="AT765" t="inlineStr">
        <is>
          <t>Titanium dioxide (airborne, unbound particles of respirable size)</t>
        </is>
      </c>
    </row>
    <row r="766">
      <c r="A766" t="inlineStr">
        <is>
          <t>Buffet Accessories</t>
        </is>
      </c>
      <c r="AT766" t="inlineStr">
        <is>
          <t>Tobacco, oral use of smokeless products</t>
        </is>
      </c>
    </row>
    <row r="767">
      <c r="A767" t="inlineStr">
        <is>
          <t>Smart &amp; Electronic Door Locks</t>
        </is>
      </c>
      <c r="AT767" t="inlineStr">
        <is>
          <t>Tobacco smoke</t>
        </is>
      </c>
    </row>
    <row r="768">
      <c r="A768" t="inlineStr">
        <is>
          <t>Privacy Booths</t>
        </is>
      </c>
      <c r="AT768" t="inlineStr">
        <is>
          <t>Tobacco smoke (primary)</t>
        </is>
      </c>
    </row>
    <row r="769">
      <c r="A769" t="inlineStr">
        <is>
          <t>Interactive Tables</t>
        </is>
      </c>
      <c r="AT769" t="inlineStr">
        <is>
          <t>Tobramycin sulfate</t>
        </is>
      </c>
    </row>
    <row r="770">
      <c r="A770" t="inlineStr">
        <is>
          <t>Ceiling Fan Parts and Accessories</t>
        </is>
      </c>
      <c r="AT770" t="inlineStr">
        <is>
          <t>Toluene</t>
        </is>
      </c>
    </row>
    <row r="771">
      <c r="A771" t="inlineStr">
        <is>
          <t>Bar Equipment &amp; Accessories</t>
        </is>
      </c>
      <c r="AT771" t="inlineStr">
        <is>
          <t>Toluene diisocyanate</t>
        </is>
      </c>
    </row>
    <row r="772">
      <c r="A772" t="inlineStr">
        <is>
          <t>Footboards</t>
        </is>
      </c>
      <c r="AT772" t="inlineStr">
        <is>
          <t>o-Toluidine</t>
        </is>
      </c>
    </row>
    <row r="773">
      <c r="A773" t="inlineStr">
        <is>
          <t>Outdoor Kitchens</t>
        </is>
      </c>
      <c r="AT773" t="inlineStr">
        <is>
          <t>o-Toluidine hydrochloride</t>
        </is>
      </c>
    </row>
    <row r="774">
      <c r="A774" t="inlineStr">
        <is>
          <t>Teen Beds</t>
        </is>
      </c>
      <c r="AT774" t="inlineStr">
        <is>
          <t>Topiramate</t>
        </is>
      </c>
    </row>
    <row r="775">
      <c r="A775" t="inlineStr">
        <is>
          <t>Teen Bookcases</t>
        </is>
      </c>
      <c r="AT775" t="inlineStr">
        <is>
          <t>Toxaphene (Polychlorinated camphenes)</t>
        </is>
      </c>
    </row>
    <row r="776">
      <c r="A776" t="inlineStr">
        <is>
          <t>Teens Headboards</t>
        </is>
      </c>
      <c r="AT776" t="inlineStr">
        <is>
          <t>Toxins derived from Fusarium moniliforme (Fusarium verticillioides)</t>
        </is>
      </c>
    </row>
    <row r="777">
      <c r="A777" t="inlineStr">
        <is>
          <t>Teen Nightstands</t>
        </is>
      </c>
      <c r="AT777" t="inlineStr">
        <is>
          <t>Treosulfan</t>
        </is>
      </c>
    </row>
    <row r="778">
      <c r="A778" t="inlineStr">
        <is>
          <t>Teen Dressers</t>
        </is>
      </c>
      <c r="AT778" t="inlineStr">
        <is>
          <t>Triadimefon</t>
        </is>
      </c>
    </row>
    <row r="779">
      <c r="A779" t="inlineStr">
        <is>
          <t>Square Trade - Plumbing Core</t>
        </is>
      </c>
      <c r="AT779" t="inlineStr">
        <is>
          <t>Triamterene</t>
        </is>
      </c>
    </row>
    <row r="780">
      <c r="A780" t="inlineStr">
        <is>
          <t>Square Trade - Plumbing Vanities</t>
        </is>
      </c>
      <c r="AT780" t="inlineStr">
        <is>
          <t>Triazolam</t>
        </is>
      </c>
    </row>
    <row r="781">
      <c r="A781" t="inlineStr">
        <is>
          <t>Changing Table Toppers</t>
        </is>
      </c>
      <c r="AT781" t="inlineStr">
        <is>
          <t>S,S,S-Tributyl phosphorotrithioate (Tribufos, DEF)</t>
        </is>
      </c>
    </row>
    <row r="782">
      <c r="A782" t="inlineStr">
        <is>
          <t>Square Trade - Upholstery Niche</t>
        </is>
      </c>
      <c r="AT782" t="inlineStr">
        <is>
          <t>Tributyltin methacrylate</t>
        </is>
      </c>
    </row>
    <row r="783">
      <c r="A783" t="inlineStr">
        <is>
          <t>Teacher Desks</t>
        </is>
      </c>
      <c r="AT783" t="inlineStr">
        <is>
          <t>Trichlormethine (Trimustine hydrochloride)</t>
        </is>
      </c>
    </row>
    <row r="784">
      <c r="A784" t="inlineStr">
        <is>
          <t>Study Carrels</t>
        </is>
      </c>
      <c r="AT784" t="inlineStr">
        <is>
          <t>Trichloroacetic acid</t>
        </is>
      </c>
    </row>
    <row r="785">
      <c r="A785" t="inlineStr">
        <is>
          <t>Toasters</t>
        </is>
      </c>
      <c r="AT785" t="inlineStr">
        <is>
          <t>Trichloroethylene</t>
        </is>
      </c>
    </row>
    <row r="786">
      <c r="A786" t="inlineStr">
        <is>
          <t>Wall Plates</t>
        </is>
      </c>
      <c r="AT786" t="inlineStr">
        <is>
          <t>2,4,6-Trichlorophenol</t>
        </is>
      </c>
    </row>
    <row r="787">
      <c r="A787" t="inlineStr">
        <is>
          <t>Square Trade - Kitchen and Dining</t>
        </is>
      </c>
      <c r="AT787" t="inlineStr">
        <is>
          <t>1,2,3-Trichloropropane</t>
        </is>
      </c>
    </row>
    <row r="788">
      <c r="A788" t="inlineStr">
        <is>
          <t>Square Trade - Upholstery</t>
        </is>
      </c>
      <c r="AT788" t="inlineStr">
        <is>
          <t>Trientine hydrochloride</t>
        </is>
      </c>
    </row>
    <row r="789">
      <c r="A789" t="inlineStr">
        <is>
          <t>Square Trade Rugs</t>
        </is>
      </c>
      <c r="AT789" t="inlineStr">
        <is>
          <t>Triforine</t>
        </is>
      </c>
    </row>
    <row r="790">
      <c r="A790" t="inlineStr">
        <is>
          <t>Square Trade - Youth</t>
        </is>
      </c>
      <c r="AT790" t="inlineStr">
        <is>
          <t>Trilostane</t>
        </is>
      </c>
    </row>
    <row r="791">
      <c r="A791" t="inlineStr">
        <is>
          <t>Square Trade - Office</t>
        </is>
      </c>
      <c r="AT791" t="inlineStr">
        <is>
          <t>Trimethadione</t>
        </is>
      </c>
    </row>
    <row r="792">
      <c r="A792" t="inlineStr">
        <is>
          <t>Guest Room Sets</t>
        </is>
      </c>
      <c r="AT792" t="inlineStr">
        <is>
          <t>2,4,5-Trimethylaniline and its strong acid salts</t>
        </is>
      </c>
    </row>
    <row r="793">
      <c r="A793" t="inlineStr">
        <is>
          <t>Square Trade - Utility Bedding</t>
        </is>
      </c>
      <c r="AT793" t="inlineStr">
        <is>
          <t>Trimethyl phosphate</t>
        </is>
      </c>
    </row>
    <row r="794">
      <c r="A794" t="inlineStr">
        <is>
          <t>Square Trade - Mattresses</t>
        </is>
      </c>
      <c r="AT794" t="inlineStr">
        <is>
          <t>Trimetrexate glucuronate</t>
        </is>
      </c>
    </row>
    <row r="795">
      <c r="A795" t="inlineStr">
        <is>
          <t>Underfloor Heating</t>
        </is>
      </c>
      <c r="AT795" t="inlineStr">
        <is>
          <t>2,4,6-Trinitrotoluene (TNT)</t>
        </is>
      </c>
    </row>
    <row r="796">
      <c r="A796" t="inlineStr">
        <is>
          <t>Can Openers, Food Scales &amp; Packaging Appliances</t>
        </is>
      </c>
      <c r="AT796" t="inlineStr">
        <is>
          <t>Triphenyltin hydroxide</t>
        </is>
      </c>
    </row>
    <row r="797">
      <c r="A797" t="inlineStr">
        <is>
          <t>Specialized Food Preparation</t>
        </is>
      </c>
      <c r="AT797" t="inlineStr">
        <is>
          <t>Tris(1-aziridinyl)phosphine sulfide (Thiotepa)</t>
        </is>
      </c>
    </row>
    <row r="798">
      <c r="A798" t="inlineStr">
        <is>
          <t>Design Services</t>
        </is>
      </c>
      <c r="AT798" t="inlineStr">
        <is>
          <t>Tris(2-chloroethyl) phosphate</t>
        </is>
      </c>
    </row>
    <row r="799">
      <c r="A799" t="inlineStr">
        <is>
          <t>Rice Cookers and Food Steamers</t>
        </is>
      </c>
      <c r="AT799" t="inlineStr">
        <is>
          <t>Tris(2,3-dibromopropyl)phosphate</t>
        </is>
      </c>
    </row>
    <row r="800">
      <c r="A800" t="inlineStr">
        <is>
          <t>Water Bottles, Travel Mugs &amp; Tumblers</t>
        </is>
      </c>
      <c r="AT800" t="inlineStr">
        <is>
          <t>Tris(1,3-dichloro-2-propyl) phosphate (TDCPP)</t>
        </is>
      </c>
    </row>
    <row r="801">
      <c r="A801" t="inlineStr">
        <is>
          <t>Wood Samples</t>
        </is>
      </c>
      <c r="AT801" t="inlineStr">
        <is>
          <t>Trp-P-1 (Tryptophan-P-1)</t>
        </is>
      </c>
    </row>
    <row r="802">
      <c r="A802" t="inlineStr">
        <is>
          <t>Kitchen Sink Storage</t>
        </is>
      </c>
      <c r="AT802" t="inlineStr">
        <is>
          <t>Trp-P-2 (Tryptophan-P-2)</t>
        </is>
      </c>
    </row>
    <row r="803">
      <c r="A803" t="inlineStr">
        <is>
          <t>Bed Accessories</t>
        </is>
      </c>
      <c r="AT803" t="inlineStr">
        <is>
          <t>Trypan blue (commercial grade)</t>
        </is>
      </c>
    </row>
    <row r="804">
      <c r="A804" t="inlineStr">
        <is>
          <t>Square Trade - Nursery</t>
        </is>
      </c>
      <c r="AT804" t="inlineStr">
        <is>
          <t>Unleaded gasoline (wholly vaporized)</t>
        </is>
      </c>
    </row>
    <row r="805">
      <c r="A805" t="inlineStr">
        <is>
          <t>Square Trade - Hardware</t>
        </is>
      </c>
      <c r="AT805" t="inlineStr">
        <is>
          <t>Uracil mustard</t>
        </is>
      </c>
    </row>
    <row r="806">
      <c r="A806" t="inlineStr">
        <is>
          <t>Stationery &amp; Coffee Table Books</t>
        </is>
      </c>
      <c r="AT806" t="inlineStr">
        <is>
          <t>Urethane (Ethyl carbamate)</t>
        </is>
      </c>
    </row>
    <row r="807">
      <c r="A807" t="inlineStr">
        <is>
          <t>Teen Bedding</t>
        </is>
      </c>
      <c r="AT807" t="inlineStr">
        <is>
          <t>Urofollitropin</t>
        </is>
      </c>
    </row>
    <row r="808">
      <c r="A808" t="inlineStr">
        <is>
          <t>Beverage Refrigerators &amp; Coolers</t>
        </is>
      </c>
      <c r="AT808" t="inlineStr">
        <is>
          <t>Valproate (Valproic acid)</t>
        </is>
      </c>
    </row>
    <row r="809">
      <c r="A809" t="inlineStr">
        <is>
          <t>Reception Sets</t>
        </is>
      </c>
      <c r="AT809" t="inlineStr">
        <is>
          <t>Vanadium pentoxide (orthorhombic crystalline form)</t>
        </is>
      </c>
    </row>
    <row r="810">
      <c r="A810" t="inlineStr">
        <is>
          <t>Commercial Plumbing Parts &amp; Accessories</t>
        </is>
      </c>
      <c r="AT810" t="inlineStr">
        <is>
          <t>Vinblastine sulfate</t>
        </is>
      </c>
    </row>
    <row r="811">
      <c r="A811" t="inlineStr">
        <is>
          <t>Christmas Tree Skirts &amp; Collars</t>
        </is>
      </c>
      <c r="AT811" t="inlineStr">
        <is>
          <t>Vinclozolin</t>
        </is>
      </c>
    </row>
    <row r="812">
      <c r="A812" t="inlineStr">
        <is>
          <t>Teen Desks</t>
        </is>
      </c>
      <c r="AT812" t="inlineStr">
        <is>
          <t>Vincristine sulfate</t>
        </is>
      </c>
    </row>
    <row r="813">
      <c r="A813" t="inlineStr">
        <is>
          <t>Deep Fryers</t>
        </is>
      </c>
      <c r="AT813" t="inlineStr">
        <is>
          <t>Vinyl bromide</t>
        </is>
      </c>
    </row>
    <row r="814">
      <c r="A814" t="inlineStr">
        <is>
          <t>Square Trade Fireplaces &amp; Grills</t>
        </is>
      </c>
      <c r="AT814" t="inlineStr">
        <is>
          <t>Vinyl chloride</t>
        </is>
      </c>
    </row>
    <row r="815">
      <c r="A815" t="inlineStr">
        <is>
          <t>Square Trade Storage &amp; Organization</t>
        </is>
      </c>
      <c r="AT815" t="inlineStr">
        <is>
          <t>4-Vinylcyclohexene</t>
        </is>
      </c>
    </row>
    <row r="816">
      <c r="A816" t="inlineStr">
        <is>
          <t>Playground Flooring</t>
        </is>
      </c>
      <c r="AT816" t="inlineStr">
        <is>
          <t>4-Vinyl-1-cyclohexene diepoxide (Vinyl cyclohexenedioxide)</t>
        </is>
      </c>
    </row>
    <row r="817">
      <c r="A817" t="inlineStr">
        <is>
          <t>Shower Curtain Hooks and Accessories</t>
        </is>
      </c>
      <c r="AT817" t="inlineStr">
        <is>
          <t>Vinyl fluoride</t>
        </is>
      </c>
    </row>
    <row r="818">
      <c r="A818" t="inlineStr">
        <is>
          <t>Gift Cards for Physical Store</t>
        </is>
      </c>
      <c r="AT818" t="inlineStr">
        <is>
          <t>Vinylidene chloride (1,1-Dichloroethylene)</t>
        </is>
      </c>
    </row>
    <row r="819">
      <c r="A819" t="inlineStr">
        <is>
          <t>Teen Desk Chairs</t>
        </is>
      </c>
      <c r="AT819" t="inlineStr">
        <is>
          <t>Vinyl trichloride (1,1,2-Trichloroethane)</t>
        </is>
      </c>
    </row>
    <row r="820">
      <c r="A820" t="inlineStr">
        <is>
          <t>Kids Cots</t>
        </is>
      </c>
      <c r="AT820" t="inlineStr">
        <is>
          <t>Warfarin</t>
        </is>
      </c>
    </row>
    <row r="821">
      <c r="A821" t="inlineStr">
        <is>
          <t>True Components</t>
        </is>
      </c>
      <c r="AT821" t="inlineStr">
        <is>
          <t>Wood dust</t>
        </is>
      </c>
    </row>
    <row r="822">
      <c r="A822" t="inlineStr">
        <is>
          <t>Pet Food Storage Containers &amp; Treat Jars</t>
        </is>
      </c>
      <c r="AT822" t="inlineStr">
        <is>
          <t>2,6-Xylidine (2,6-Dimethylaniline)</t>
        </is>
      </c>
    </row>
    <row r="823">
      <c r="A823" t="inlineStr">
        <is>
          <t>Restaurant Table Tops</t>
        </is>
      </c>
      <c r="AT823" t="inlineStr">
        <is>
          <t>Zalcitabine</t>
        </is>
      </c>
    </row>
    <row r="824">
      <c r="A824" t="inlineStr">
        <is>
          <t>One-of-a-Kind Rugs</t>
        </is>
      </c>
      <c r="AT824" t="inlineStr">
        <is>
          <t>Zidovudine (AZT)</t>
        </is>
      </c>
    </row>
    <row r="825">
      <c r="A825" t="inlineStr">
        <is>
          <t>Reading Benches &amp; Chairs</t>
        </is>
      </c>
      <c r="AT825" t="inlineStr">
        <is>
          <t>Zileuton</t>
        </is>
      </c>
    </row>
    <row r="826">
      <c r="A826" t="inlineStr">
        <is>
          <t>Tree &amp; Novelty Garlands</t>
        </is>
      </c>
      <c r="AT826" t="inlineStr">
        <is>
          <t>2-Bromopropane (2-BP)</t>
        </is>
      </c>
    </row>
    <row r="827">
      <c r="A827" t="inlineStr">
        <is>
          <t>Protection Plans</t>
        </is>
      </c>
      <c r="AT827" t="inlineStr">
        <is>
          <t>2-Chloropropionic acid</t>
        </is>
      </c>
    </row>
    <row r="828">
      <c r="A828" t="inlineStr">
        <is>
          <t>Laundry Accessories</t>
        </is>
      </c>
      <c r="AT828" t="inlineStr">
        <is>
          <t>Di-n-hexyl phthalate (DnHP)</t>
        </is>
      </c>
    </row>
    <row r="829">
      <c r="A829" t="inlineStr">
        <is>
          <t>Shower Walls</t>
        </is>
      </c>
      <c r="AT829" t="inlineStr">
        <is>
          <t>m-Dinitrobenzene</t>
        </is>
      </c>
    </row>
    <row r="830">
      <c r="A830" t="inlineStr">
        <is>
          <t>Fencing Accessories</t>
        </is>
      </c>
      <c r="AT830" t="inlineStr">
        <is>
          <t>o-Dinitrobenzene</t>
        </is>
      </c>
    </row>
    <row r="831">
      <c r="A831" t="inlineStr">
        <is>
          <t>Teen Lounge Furniture</t>
        </is>
      </c>
      <c r="AT831" t="inlineStr">
        <is>
          <t>p-Dinitrobenzene</t>
        </is>
      </c>
    </row>
    <row r="832">
      <c r="A832" t="inlineStr">
        <is>
          <t>Teen Accent Pillows</t>
        </is>
      </c>
      <c r="AT832" t="inlineStr">
        <is>
          <t>Dinitrotoluene (technical grade)</t>
        </is>
      </c>
    </row>
    <row r="833">
      <c r="A833" t="inlineStr">
        <is>
          <t>Teen Wall Art</t>
        </is>
      </c>
      <c r="AT833" t="inlineStr">
        <is>
          <t>n-Hexane</t>
        </is>
      </c>
    </row>
    <row r="834">
      <c r="A834" t="inlineStr">
        <is>
          <t>Commercial Food Storage &amp; Accessories</t>
        </is>
      </c>
      <c r="AT834" t="inlineStr">
        <is>
          <t>2,5-Hexanedione</t>
        </is>
      </c>
    </row>
    <row r="835">
      <c r="A835" t="inlineStr">
        <is>
          <t>Teen Wall Décor</t>
        </is>
      </c>
      <c r="AT835" t="inlineStr">
        <is>
          <t>Hydrogen cyanide (HCN) and cyanide salts (CN salts)</t>
        </is>
      </c>
    </row>
    <row r="836">
      <c r="A836" t="inlineStr">
        <is>
          <t>Teen Tapestries and Wall Hangings</t>
        </is>
      </c>
      <c r="AT836" t="inlineStr">
        <is>
          <t>Levonorgestrel implants</t>
        </is>
      </c>
    </row>
    <row r="837">
      <c r="A837" t="inlineStr">
        <is>
          <t>Teen Novelty Lighting</t>
        </is>
      </c>
      <c r="AT837" t="inlineStr">
        <is>
          <t>Nitrofurantoin</t>
        </is>
      </c>
    </row>
    <row r="838">
      <c r="A838" t="inlineStr">
        <is>
          <t>Live Plants and Trees</t>
        </is>
      </c>
      <c r="AT838" t="inlineStr">
        <is>
          <t>Oxydemeton methyl</t>
        </is>
      </c>
    </row>
    <row r="839">
      <c r="A839" t="inlineStr">
        <is>
          <t>Turf Flooring</t>
        </is>
      </c>
      <c r="AT839" t="inlineStr">
        <is>
          <t>Quizalofop-ethyl</t>
        </is>
      </c>
    </row>
    <row r="840">
      <c r="A840" t="inlineStr">
        <is>
          <t>Semi-Custom &amp; Custom Kitchen Cabinets</t>
        </is>
      </c>
      <c r="AT840" t="inlineStr">
        <is>
          <t>Sodium fluoroacetate</t>
        </is>
      </c>
    </row>
    <row r="841">
      <c r="A841" t="inlineStr">
        <is>
          <t>Outdoor Privacy Screens and Partitions</t>
        </is>
      </c>
      <c r="AT841" t="inlineStr">
        <is>
          <t>Thiophanate methyl</t>
        </is>
      </c>
    </row>
    <row r="842">
      <c r="A842" t="inlineStr">
        <is>
          <t>Admins Can Sell (ACS) - Sales and Service (S&amp;S)</t>
        </is>
      </c>
      <c r="AT842" t="inlineStr">
        <is>
          <t>Vinyl cyclohexene dioxide (4-Vinyl-1-cyclohexene diepoxide)</t>
        </is>
      </c>
    </row>
    <row r="843">
      <c r="A843" t="inlineStr">
        <is>
          <t>Swimming Pool Accessories</t>
        </is>
      </c>
      <c r="AT843" t="inlineStr">
        <is>
          <t>Chloroform</t>
        </is>
      </c>
    </row>
    <row r="844">
      <c r="A844" t="inlineStr">
        <is>
          <t>Baby &amp; Kids Rugs</t>
        </is>
      </c>
      <c r="AT844" t="inlineStr">
        <is>
          <t>1,2-Dibromo-3-chloropropane (DBCP)</t>
        </is>
      </c>
    </row>
    <row r="845">
      <c r="A845" t="inlineStr">
        <is>
          <t>Kids Bedding Sets</t>
        </is>
      </c>
      <c r="AT845" t="inlineStr">
        <is>
          <t>Diclofop-methyl</t>
        </is>
      </c>
    </row>
    <row r="846">
      <c r="A846" t="inlineStr">
        <is>
          <t>Cabinet Samples</t>
        </is>
      </c>
      <c r="AT846" t="inlineStr">
        <is>
          <t>Phenyl glycidyl ether</t>
        </is>
      </c>
    </row>
    <row r="847">
      <c r="A847" t="inlineStr">
        <is>
          <t>Design Project Class</t>
        </is>
      </c>
      <c r="AT847" t="inlineStr">
        <is>
          <t>Di-isodecyl phthalate (DIDP)</t>
        </is>
      </c>
    </row>
    <row r="848">
      <c r="A848" t="inlineStr">
        <is>
          <t>Media &amp; Character Shop</t>
        </is>
      </c>
      <c r="AT848" t="inlineStr">
        <is>
          <t>Erionite</t>
        </is>
      </c>
    </row>
    <row r="849">
      <c r="A849" t="inlineStr">
        <is>
          <t>Door Lining &amp; Frames</t>
        </is>
      </c>
      <c r="AT849" t="inlineStr">
        <is>
          <t>Iprovalicarb</t>
        </is>
      </c>
    </row>
    <row r="850">
      <c r="A850" t="inlineStr">
        <is>
          <t>Cold Plunges</t>
        </is>
      </c>
      <c r="AT850" t="inlineStr">
        <is>
          <t>Nickel hydroxide</t>
        </is>
      </c>
    </row>
    <row r="851">
      <c r="AT851" t="inlineStr">
        <is>
          <t>Norethisterone (Norethindrone) /Mestranol</t>
        </is>
      </c>
    </row>
    <row r="852">
      <c r="AT852" t="inlineStr">
        <is>
          <t>Anabolic steroids</t>
        </is>
      </c>
    </row>
    <row r="853">
      <c r="AT853" t="inlineStr">
        <is>
          <t>Altretamine</t>
        </is>
      </c>
    </row>
    <row r="854">
      <c r="AT854" t="inlineStr">
        <is>
          <t>Beryllium</t>
        </is>
      </c>
    </row>
    <row r="855">
      <c r="AT855" t="inlineStr">
        <is>
          <t>Beryllium Oxide</t>
        </is>
      </c>
    </row>
    <row r="856">
      <c r="AT856" t="inlineStr">
        <is>
          <t>Beryllium Sulfate</t>
        </is>
      </c>
    </row>
    <row r="857">
      <c r="AT857" t="inlineStr">
        <is>
          <t>Hexachlorocyclohexane (alpha isomer)</t>
        </is>
      </c>
    </row>
    <row r="858">
      <c r="AT858" t="inlineStr">
        <is>
          <t>Hexachlorocyclohexane (beta isomer)</t>
        </is>
      </c>
    </row>
    <row r="859">
      <c r="AT859" t="inlineStr">
        <is>
          <t>Hexachlorocyclohexane (gamma isomer)</t>
        </is>
      </c>
    </row>
    <row r="860">
      <c r="AT860" t="inlineStr">
        <is>
          <t>Cyanide salts that readily dissociate in solution (expressed as cyanide)</t>
        </is>
      </c>
    </row>
    <row r="861">
      <c r="AT861" t="inlineStr">
        <is>
          <t>Hydrogen cyanide</t>
        </is>
      </c>
    </row>
    <row r="862">
      <c r="AT862" t="inlineStr">
        <is>
          <t>Potassium cyanide</t>
        </is>
      </c>
    </row>
    <row r="863">
      <c r="AT863" t="inlineStr">
        <is>
          <t>Methylhydrazine</t>
        </is>
      </c>
    </row>
    <row r="864">
      <c r="AT864" t="inlineStr">
        <is>
          <t>Methylhydrazine sulfate</t>
        </is>
      </c>
    </row>
    <row r="865">
      <c r="AT865" t="inlineStr">
        <is>
          <t>o-Phenylenediamine</t>
        </is>
      </c>
    </row>
    <row r="866">
      <c r="AT866" t="inlineStr">
        <is>
          <t>o-Phenylenediamine dihydochloride</t>
        </is>
      </c>
    </row>
    <row r="867">
      <c r="AT867" t="inlineStr">
        <is>
          <t>Phenylhydrazine</t>
        </is>
      </c>
    </row>
    <row r="868">
      <c r="AT868" t="inlineStr">
        <is>
          <t>Phenylhydrazine hydrochloride</t>
        </is>
      </c>
    </row>
    <row r="869">
      <c r="AT869" t="inlineStr">
        <is>
          <t>Sodium cyanide</t>
        </is>
      </c>
    </row>
    <row r="870">
      <c r="AT870" t="inlineStr">
        <is>
          <t>Short form warning</t>
        </is>
      </c>
    </row>
    <row r="871">
      <c r="AT871" t="inlineStr">
        <is>
          <t>Nickel (soluble compounds)</t>
        </is>
      </c>
    </row>
    <row r="872">
      <c r="AT872" t="inlineStr">
        <is>
          <t>TRIM VX</t>
        </is>
      </c>
    </row>
    <row r="873">
      <c r="AT873" t="inlineStr">
        <is>
          <t>N-Nitrosohexamethyleneimine</t>
        </is>
      </c>
    </row>
    <row r="874">
      <c r="AT874" t="inlineStr">
        <is>
          <t>Gentian violet (Crystal violet)</t>
        </is>
      </c>
    </row>
    <row r="875">
      <c r="AT875" t="inlineStr">
        <is>
          <t>Custom warning</t>
        </is>
      </c>
    </row>
    <row r="876">
      <c r="AT876" t="inlineStr">
        <is>
          <t>2-Amino-4-chlorophenol</t>
        </is>
      </c>
    </row>
    <row r="877">
      <c r="AT877" t="inlineStr">
        <is>
          <t>2-Chloronitrobenzene</t>
        </is>
      </c>
    </row>
    <row r="878">
      <c r="AT878" t="inlineStr">
        <is>
          <t>1,4-Dichloro-2-nitrobenzene</t>
        </is>
      </c>
    </row>
    <row r="879">
      <c r="AT879" t="inlineStr">
        <is>
          <t>2,4-Dichloro-1-nitrobenzene</t>
        </is>
      </c>
    </row>
    <row r="880">
      <c r="AT880" t="inlineStr">
        <is>
          <t>Bevacizumab</t>
        </is>
      </c>
    </row>
    <row r="881">
      <c r="AT881" t="inlineStr">
        <is>
          <t>p-chloro-?,?,?-trifluorotoluene (para-Chlorobenzotrifluoride, PCBTF)</t>
        </is>
      </c>
    </row>
    <row r="882">
      <c r="AT882" t="inlineStr">
        <is>
          <t>para-Nitroanisole</t>
        </is>
      </c>
    </row>
    <row r="883">
      <c r="AT883" t="inlineStr">
        <is>
          <t>Cannabis (marijuana) smoke</t>
        </is>
      </c>
    </row>
    <row r="884">
      <c r="AT884" t="inlineStr">
        <is>
          <t>?9 -Tetrahydrocannabinol (?9 -THC)</t>
        </is>
      </c>
    </row>
    <row r="885">
      <c r="AT885" t="inlineStr">
        <is>
          <t>1,1,1-Trichloroethane</t>
        </is>
      </c>
    </row>
    <row r="886">
      <c r="AT886" t="inlineStr">
        <is>
          <t>1-Bromo-3-chloropropane</t>
        </is>
      </c>
    </row>
    <row r="887">
      <c r="AT887" t="inlineStr">
        <is>
          <t>1-Butyl glycidyl ether</t>
        </is>
      </c>
    </row>
    <row r="888">
      <c r="AT888" t="inlineStr">
        <is>
          <t>2-Ethylhexyl acrylate</t>
        </is>
      </c>
    </row>
    <row r="889">
      <c r="AT889" t="inlineStr">
        <is>
          <t>Alcoholic beverages</t>
        </is>
      </c>
    </row>
    <row r="890">
      <c r="AT890" t="inlineStr">
        <is>
          <t>Anthracene</t>
        </is>
      </c>
    </row>
    <row r="891">
      <c r="AT891" t="inlineStr">
        <is>
          <t>Bisphenol S (BPS)</t>
        </is>
      </c>
    </row>
    <row r="892">
      <c r="AT892" t="inlineStr">
        <is>
          <t>Coal-tar pitch</t>
        </is>
      </c>
    </row>
    <row r="893">
      <c r="AT893" t="inlineStr">
        <is>
          <t>Dimethyl hydrogen phosphite</t>
        </is>
      </c>
    </row>
    <row r="894">
      <c r="AT894" t="inlineStr">
        <is>
          <t>Fluoro-edenite fibrous amphibole</t>
        </is>
      </c>
    </row>
    <row r="895">
      <c r="AT895" t="inlineStr">
        <is>
          <t>Glycidyl methacrylate</t>
        </is>
      </c>
    </row>
    <row r="896">
      <c r="AT896" t="inlineStr">
        <is>
          <t>Hexachlorocyclohexane (technical grade)</t>
        </is>
      </c>
    </row>
    <row r="897">
      <c r="AT897" t="inlineStr">
        <is>
          <t>Indium tin oxide</t>
        </is>
      </c>
    </row>
    <row r="898">
      <c r="AT898" t="inlineStr">
        <is>
          <t>Leucomalachite green</t>
        </is>
      </c>
    </row>
    <row r="899">
      <c r="AT899" t="inlineStr">
        <is>
          <t>Methyl acrylate</t>
        </is>
      </c>
    </row>
    <row r="900">
      <c r="AT900" t="inlineStr">
        <is>
          <t>Molybdenum trioxide</t>
        </is>
      </c>
    </row>
    <row r="901">
      <c r="AT901" t="inlineStr">
        <is>
          <t>p-Chloro-o-toluidine, hydrochloride</t>
        </is>
      </c>
    </row>
    <row r="902">
      <c r="AT902" t="inlineStr">
        <is>
          <t>Perfluorononanoic acid (PFNA) and its salts</t>
        </is>
      </c>
    </row>
    <row r="903">
      <c r="AT903" t="inlineStr">
        <is>
          <t>Perfluorooctane sulfonic acid (PFOS) and its salts and transformation and degradation precursors</t>
        </is>
      </c>
    </row>
    <row r="904">
      <c r="AT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AT905" t="inlineStr">
        <is>
          <t>Silicon carbide whiskers</t>
        </is>
      </c>
    </row>
    <row r="906">
      <c r="AT906" t="inlineStr">
        <is>
          <t>Tetrahydrofuran</t>
        </is>
      </c>
    </row>
    <row r="907">
      <c r="AT907" t="inlineStr">
        <is>
          <t>Trimethylolpropane triacrylate, technical grade</t>
        </is>
      </c>
    </row>
    <row r="908">
      <c r="AT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X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s="39">
        <f>IF('3 - Carts &amp; Stands'!B8 = "", "", IF('3 - Carts &amp; Stands-WUO_ERR'!A8 = "", "Validated", HYPERLINK("#" &amp; ADDRESS(8, '3 - Carts &amp; Stands-WUO_TRK'!A8),_xlfn.TEXTAFTER('3 - Carts &amp; Stands-WUO_ERR'!A8, ":"))))</f>
        <v/>
      </c>
    </row>
    <row r="9">
      <c r="A9" s="39">
        <f>IF('3 - Carts &amp; Stands'!B9 = "", "", IF('3 - Carts &amp; Stands-WUO_ERR'!A9 = "", "Validated", HYPERLINK("#" &amp; ADDRESS(9, '3 - Carts &amp; Stands-WUO_TRK'!A9),_xlfn.TEXTAFTER('3 - Carts &amp; Stands-WUO_ERR'!A9, ":"))))</f>
        <v/>
      </c>
    </row>
    <row r="10">
      <c r="A10" s="39">
        <f>IF('3 - Carts &amp; Stands'!B10 = "", "", IF('3 - Carts &amp; Stands-WUO_ERR'!A10 = "", "Validated", HYPERLINK("#" &amp; ADDRESS(10, '3 - Carts &amp; Stands-WUO_TRK'!A10),_xlfn.TEXTAFTER('3 - Carts &amp; Stands-WUO_ERR'!A10, ":"))))</f>
        <v/>
      </c>
    </row>
    <row r="11">
      <c r="A11" s="39">
        <f>IF('3 - Carts &amp; Stands'!B11 = "", "", IF('3 - Carts &amp; Stands-WUO_ERR'!A11 = "", "Validated", HYPERLINK("#" &amp; ADDRESS(11, '3 - Carts &amp; Stands-WUO_TRK'!A11),_xlfn.TEXTAFTER('3 - Carts &amp; Stands-WUO_ERR'!A11, ":"))))</f>
        <v/>
      </c>
    </row>
    <row r="12">
      <c r="A12" s="39">
        <f>IF('3 - Carts &amp; Stands'!B12 = "", "", IF('3 - Carts &amp; Stands-WUO_ERR'!A12 = "", "Validated", HYPERLINK("#" &amp; ADDRESS(12, '3 - Carts &amp; Stands-WUO_TRK'!A12),_xlfn.TEXTAFTER('3 - Carts &amp; Stands-WUO_ERR'!A12, ":"))))</f>
        <v/>
      </c>
    </row>
    <row r="13">
      <c r="A13" s="39">
        <f>IF('3 - Carts &amp; Stands'!B13 = "", "", IF('3 - Carts &amp; Stands-WUO_ERR'!A13 = "", "Validated", HYPERLINK("#" &amp; ADDRESS(13, '3 - Carts &amp; Stands-WUO_TRK'!A13),_xlfn.TEXTAFTER('3 - Carts &amp; Stands-WUO_ERR'!A13, ":"))))</f>
        <v/>
      </c>
    </row>
    <row r="14">
      <c r="A14" s="39">
        <f>IF('3 - Carts &amp; Stands'!B14 = "", "", IF('3 - Carts &amp; Stands-WUO_ERR'!A14 = "", "Validated", HYPERLINK("#" &amp; ADDRESS(14, '3 - Carts &amp; Stands-WUO_TRK'!A14),_xlfn.TEXTAFTER('3 - Carts &amp; Stands-WUO_ERR'!A14, ":"))))</f>
        <v/>
      </c>
    </row>
    <row r="15">
      <c r="A15" s="39">
        <f>IF('3 - Carts &amp; Stands'!B15 = "", "", IF('3 - Carts &amp; Stands-WUO_ERR'!A15 = "", "Validated", HYPERLINK("#" &amp; ADDRESS(15, '3 - Carts &amp; Stands-WUO_TRK'!A15),_xlfn.TEXTAFTER('3 - Carts &amp; Stands-WUO_ERR'!A15, ":"))))</f>
        <v/>
      </c>
    </row>
    <row r="16">
      <c r="A16" s="39">
        <f>IF('3 - Carts &amp; Stands'!B16 = "", "", IF('3 - Carts &amp; Stands-WUO_ERR'!A16 = "", "Validated", HYPERLINK("#" &amp; ADDRESS(16, '3 - Carts &amp; Stands-WUO_TRK'!A16),_xlfn.TEXTAFTER('3 - Carts &amp; Stands-WUO_ERR'!A16, ":"))))</f>
        <v/>
      </c>
    </row>
    <row r="17">
      <c r="A17" s="39">
        <f>IF('3 - Carts &amp; Stands'!B17 = "", "", IF('3 - Carts &amp; Stands-WUO_ERR'!A17 = "", "Validated", HYPERLINK("#" &amp; ADDRESS(17, '3 - Carts &amp; Stands-WUO_TRK'!A17),_xlfn.TEXTAFTER('3 - Carts &amp; Stands-WUO_ERR'!A17, ":"))))</f>
        <v/>
      </c>
    </row>
    <row r="18">
      <c r="A18" s="39">
        <f>IF('3 - Carts &amp; Stands'!B18 = "", "", IF('3 - Carts &amp; Stands-WUO_ERR'!A18 = "", "Validated", HYPERLINK("#" &amp; ADDRESS(18, '3 - Carts &amp; Stands-WUO_TRK'!A18),_xlfn.TEXTAFTER('3 - Carts &amp; Stands-WUO_ERR'!A18, ":"))))</f>
        <v/>
      </c>
    </row>
    <row r="19">
      <c r="A19" s="39">
        <f>IF('3 - Carts &amp; Stands'!B19 = "", "", IF('3 - Carts &amp; Stands-WUO_ERR'!A19 = "", "Validated", HYPERLINK("#" &amp; ADDRESS(19, '3 - Carts &amp; Stands-WUO_TRK'!A19),_xlfn.TEXTAFTER('3 - Carts &amp; Stands-WUO_ERR'!A19, ":"))))</f>
        <v/>
      </c>
    </row>
    <row r="20">
      <c r="A20" s="39">
        <f>IF('3 - Carts &amp; Stands'!B20 = "", "", IF('3 - Carts &amp; Stands-WUO_ERR'!A20 = "", "Validated", HYPERLINK("#" &amp; ADDRESS(20, '3 - Carts &amp; Stands-WUO_TRK'!A20),_xlfn.TEXTAFTER('3 - Carts &amp; Stands-WUO_ERR'!A20, ":"))))</f>
        <v/>
      </c>
    </row>
    <row r="21">
      <c r="A21" s="39">
        <f>IF('3 - Carts &amp; Stands'!B21 = "", "", IF('3 - Carts &amp; Stands-WUO_ERR'!A21 = "", "Validated", HYPERLINK("#" &amp; ADDRESS(21, '3 - Carts &amp; Stands-WUO_TRK'!A21),_xlfn.TEXTAFTER('3 - Carts &amp; Stands-WUO_ERR'!A21, ":"))))</f>
        <v/>
      </c>
    </row>
    <row r="22">
      <c r="A22" s="39">
        <f>IF('3 - Carts &amp; Stands'!B22 = "", "", IF('3 - Carts &amp; Stands-WUO_ERR'!A22 = "", "Validated", HYPERLINK("#" &amp; ADDRESS(22, '3 - Carts &amp; Stands-WUO_TRK'!A22),_xlfn.TEXTAFTER('3 - Carts &amp; Stands-WUO_ERR'!A22, ":"))))</f>
        <v/>
      </c>
    </row>
    <row r="23">
      <c r="A23" s="39">
        <f>IF('3 - Carts &amp; Stands'!B23 = "", "", IF('3 - Carts &amp; Stands-WUO_ERR'!A23 = "", "Validated", HYPERLINK("#" &amp; ADDRESS(23, '3 - Carts &amp; Stands-WUO_TRK'!A23),_xlfn.TEXTAFTER('3 - Carts &amp; Stands-WUO_ERR'!A23, ":"))))</f>
        <v/>
      </c>
    </row>
    <row r="24">
      <c r="A24" s="39">
        <f>IF('3 - Carts &amp; Stands'!B24 = "", "", IF('3 - Carts &amp; Stands-WUO_ERR'!A24 = "", "Validated", HYPERLINK("#" &amp; ADDRESS(24, '3 - Carts &amp; Stands-WUO_TRK'!A24),_xlfn.TEXTAFTER('3 - Carts &amp; Stands-WUO_ERR'!A24, ":"))))</f>
        <v/>
      </c>
    </row>
    <row r="25">
      <c r="A25" s="39">
        <f>IF('3 - Carts &amp; Stands'!B25 = "", "", IF('3 - Carts &amp; Stands-WUO_ERR'!A25 = "", "Validated", HYPERLINK("#" &amp; ADDRESS(25, '3 - Carts &amp; Stands-WUO_TRK'!A25),_xlfn.TEXTAFTER('3 - Carts &amp; Stands-WUO_ERR'!A25, ":"))))</f>
        <v/>
      </c>
    </row>
    <row r="26">
      <c r="A26" s="39">
        <f>IF('3 - Carts &amp; Stands'!B26 = "", "", IF('3 - Carts &amp; Stands-WUO_ERR'!A26 = "", "Validated", HYPERLINK("#" &amp; ADDRESS(26, '3 - Carts &amp; Stands-WUO_TRK'!A26),_xlfn.TEXTAFTER('3 - Carts &amp; Stands-WUO_ERR'!A26, ":"))))</f>
        <v/>
      </c>
    </row>
    <row r="27">
      <c r="A27" s="39">
        <f>IF('3 - Carts &amp; Stands'!B27 = "", "", IF('3 - Carts &amp; Stands-WUO_ERR'!A27 = "", "Validated", HYPERLINK("#" &amp; ADDRESS(27, '3 - Carts &amp; Stands-WUO_TRK'!A27),_xlfn.TEXTAFTER('3 - Carts &amp; Stands-WUO_ERR'!A27, ":"))))</f>
        <v/>
      </c>
    </row>
    <row r="28">
      <c r="A28" s="39">
        <f>IF('3 - Carts &amp; Stands'!B28 = "", "", IF('3 - Carts &amp; Stands-WUO_ERR'!A28 = "", "Validated", HYPERLINK("#" &amp; ADDRESS(28, '3 - Carts &amp; Stands-WUO_TRK'!A28),_xlfn.TEXTAFTER('3 - Carts &amp; Stands-WUO_ERR'!A28, ":"))))</f>
        <v/>
      </c>
    </row>
    <row r="29">
      <c r="A29" s="39">
        <f>IF('3 - Carts &amp; Stands'!B29 = "", "", IF('3 - Carts &amp; Stands-WUO_ERR'!A29 = "", "Validated", HYPERLINK("#" &amp; ADDRESS(29, '3 - Carts &amp; Stands-WUO_TRK'!A29),_xlfn.TEXTAFTER('3 - Carts &amp; Stands-WUO_ERR'!A29, ":"))))</f>
        <v/>
      </c>
    </row>
    <row r="30">
      <c r="A30" s="39">
        <f>IF('3 - Carts &amp; Stands'!B30 = "", "", IF('3 - Carts &amp; Stands-WUO_ERR'!A30 = "", "Validated", HYPERLINK("#" &amp; ADDRESS(30, '3 - Carts &amp; Stands-WUO_TRK'!A30),_xlfn.TEXTAFTER('3 - Carts &amp; Stands-WUO_ERR'!A30, ":"))))</f>
        <v/>
      </c>
    </row>
    <row r="31">
      <c r="A31" s="39">
        <f>IF('3 - Carts &amp; Stands'!B31 = "", "", IF('3 - Carts &amp; Stands-WUO_ERR'!A31 = "", "Validated", HYPERLINK("#" &amp; ADDRESS(31, '3 - Carts &amp; Stands-WUO_TRK'!A31),_xlfn.TEXTAFTER('3 - Carts &amp; Stands-WUO_ERR'!A31, ":"))))</f>
        <v/>
      </c>
    </row>
    <row r="32">
      <c r="A32" s="39">
        <f>IF('3 - Carts &amp; Stands'!B32 = "", "", IF('3 - Carts &amp; Stands-WUO_ERR'!A32 = "", "Validated", HYPERLINK("#" &amp; ADDRESS(32, '3 - Carts &amp; Stands-WUO_TRK'!A32),_xlfn.TEXTAFTER('3 - Carts &amp; Stands-WUO_ERR'!A32, ":"))))</f>
        <v/>
      </c>
    </row>
    <row r="33">
      <c r="A33" s="39">
        <f>IF('3 - Carts &amp; Stands'!B33 = "", "", IF('3 - Carts &amp; Stands-WUO_ERR'!A33 = "", "Validated", HYPERLINK("#" &amp; ADDRESS(33, '3 - Carts &amp; Stands-WUO_TRK'!A33),_xlfn.TEXTAFTER('3 - Carts &amp; Stands-WUO_ERR'!A33, ":"))))</f>
        <v/>
      </c>
    </row>
    <row r="34">
      <c r="A34" s="39">
        <f>IF('3 - Carts &amp; Stands'!B34 = "", "", IF('3 - Carts &amp; Stands-WUO_ERR'!A34 = "", "Validated", HYPERLINK("#" &amp; ADDRESS(34, '3 - Carts &amp; Stands-WUO_TRK'!A34),_xlfn.TEXTAFTER('3 - Carts &amp; Stands-WUO_ERR'!A34, ":"))))</f>
        <v/>
      </c>
    </row>
    <row r="35">
      <c r="A35" s="39">
        <f>IF('3 - Carts &amp; Stands'!B35 = "", "", IF('3 - Carts &amp; Stands-WUO_ERR'!A35 = "", "Validated", HYPERLINK("#" &amp; ADDRESS(35, '3 - Carts &amp; Stands-WUO_TRK'!A35),_xlfn.TEXTAFTER('3 - Carts &amp; Stands-WUO_ERR'!A35, ":"))))</f>
        <v/>
      </c>
    </row>
    <row r="36">
      <c r="A36" s="39">
        <f>IF('3 - Carts &amp; Stands'!B36 = "", "", IF('3 - Carts &amp; Stands-WUO_ERR'!A36 = "", "Validated", HYPERLINK("#" &amp; ADDRESS(36, '3 - Carts &amp; Stands-WUO_TRK'!A36),_xlfn.TEXTAFTER('3 - Carts &amp; Stands-WUO_ERR'!A36, ":"))))</f>
        <v/>
      </c>
    </row>
    <row r="37">
      <c r="A37" s="39">
        <f>IF('3 - Carts &amp; Stands'!B37 = "", "", IF('3 - Carts &amp; Stands-WUO_ERR'!A37 = "", "Validated", HYPERLINK("#" &amp; ADDRESS(37, '3 - Carts &amp; Stands-WUO_TRK'!A37),_xlfn.TEXTAFTER('3 - Carts &amp; Stands-WUO_ERR'!A37, ":"))))</f>
        <v/>
      </c>
    </row>
    <row r="38">
      <c r="A38" s="39">
        <f>IF('3 - Carts &amp; Stands'!B38 = "", "", IF('3 - Carts &amp; Stands-WUO_ERR'!A38 = "", "Validated", HYPERLINK("#" &amp; ADDRESS(38, '3 - Carts &amp; Stands-WUO_TRK'!A38),_xlfn.TEXTAFTER('3 - Carts &amp; Stands-WUO_ERR'!A38, ":"))))</f>
        <v/>
      </c>
    </row>
    <row r="39">
      <c r="A39" s="39">
        <f>IF('3 - Carts &amp; Stands'!B39 = "", "", IF('3 - Carts &amp; Stands-WUO_ERR'!A39 = "", "Validated", HYPERLINK("#" &amp; ADDRESS(39, '3 - Carts &amp; Stands-WUO_TRK'!A39),_xlfn.TEXTAFTER('3 - Carts &amp; Stands-WUO_ERR'!A39, ":"))))</f>
        <v/>
      </c>
    </row>
    <row r="40">
      <c r="A40" s="39">
        <f>IF('3 - Carts &amp; Stands'!B40 = "", "", IF('3 - Carts &amp; Stands-WUO_ERR'!A40 = "", "Validated", HYPERLINK("#" &amp; ADDRESS(40, '3 - Carts &amp; Stands-WUO_TRK'!A40),_xlfn.TEXTAFTER('3 - Carts &amp; Stands-WUO_ERR'!A40, ":"))))</f>
        <v/>
      </c>
    </row>
    <row r="41">
      <c r="A41" s="39">
        <f>IF('3 - Carts &amp; Stands'!B41 = "", "", IF('3 - Carts &amp; Stands-WUO_ERR'!A41 = "", "Validated", HYPERLINK("#" &amp; ADDRESS(41, '3 - Carts &amp; Stands-WUO_TRK'!A41),_xlfn.TEXTAFTER('3 - Carts &amp; Stands-WUO_ERR'!A41, ":"))))</f>
        <v/>
      </c>
    </row>
    <row r="42">
      <c r="A42" s="39">
        <f>IF('3 - Carts &amp; Stands'!B42 = "", "", IF('3 - Carts &amp; Stands-WUO_ERR'!A42 = "", "Validated", HYPERLINK("#" &amp; ADDRESS(42, '3 - Carts &amp; Stands-WUO_TRK'!A42),_xlfn.TEXTAFTER('3 - Carts &amp; Stands-WUO_ERR'!A42, ":"))))</f>
        <v/>
      </c>
    </row>
    <row r="43">
      <c r="A43" s="39">
        <f>IF('3 - Carts &amp; Stands'!B43 = "", "", IF('3 - Carts &amp; Stands-WUO_ERR'!A43 = "", "Validated", HYPERLINK("#" &amp; ADDRESS(43, '3 - Carts &amp; Stands-WUO_TRK'!A43),_xlfn.TEXTAFTER('3 - Carts &amp; Stands-WUO_ERR'!A43, ":"))))</f>
        <v/>
      </c>
    </row>
    <row r="44">
      <c r="A44" s="39">
        <f>IF('3 - Carts &amp; Stands'!B44 = "", "", IF('3 - Carts &amp; Stands-WUO_ERR'!A44 = "", "Validated", HYPERLINK("#" &amp; ADDRESS(44, '3 - Carts &amp; Stands-WUO_TRK'!A44),_xlfn.TEXTAFTER('3 - Carts &amp; Stands-WUO_ERR'!A44, ":"))))</f>
        <v/>
      </c>
    </row>
    <row r="45">
      <c r="A45" s="39">
        <f>IF('3 - Carts &amp; Stands'!B45 = "", "", IF('3 - Carts &amp; Stands-WUO_ERR'!A45 = "", "Validated", HYPERLINK("#" &amp; ADDRESS(45, '3 - Carts &amp; Stands-WUO_TRK'!A45),_xlfn.TEXTAFTER('3 - Carts &amp; Stands-WUO_ERR'!A45, ":"))))</f>
        <v/>
      </c>
    </row>
    <row r="46">
      <c r="A46" s="39">
        <f>IF('3 - Carts &amp; Stands'!B46 = "", "", IF('3 - Carts &amp; Stands-WUO_ERR'!A46 = "", "Validated", HYPERLINK("#" &amp; ADDRESS(46, '3 - Carts &amp; Stands-WUO_TRK'!A46),_xlfn.TEXTAFTER('3 - Carts &amp; Stands-WUO_ERR'!A46, ":"))))</f>
        <v/>
      </c>
    </row>
    <row r="47">
      <c r="A47" s="39">
        <f>IF('3 - Carts &amp; Stands'!B47 = "", "", IF('3 - Carts &amp; Stands-WUO_ERR'!A47 = "", "Validated", HYPERLINK("#" &amp; ADDRESS(47, '3 - Carts &amp; Stands-WUO_TRK'!A47),_xlfn.TEXTAFTER('3 - Carts &amp; Stands-WUO_ERR'!A47, ":"))))</f>
        <v/>
      </c>
    </row>
    <row r="48">
      <c r="A48" s="39">
        <f>IF('3 - Carts &amp; Stands'!B48 = "", "", IF('3 - Carts &amp; Stands-WUO_ERR'!A48 = "", "Validated", HYPERLINK("#" &amp; ADDRESS(48, '3 - Carts &amp; Stands-WUO_TRK'!A48),_xlfn.TEXTAFTER('3 - Carts &amp; Stands-WUO_ERR'!A48, ":"))))</f>
        <v/>
      </c>
    </row>
    <row r="49">
      <c r="A49" s="39">
        <f>IF('3 - Carts &amp; Stands'!B49 = "", "", IF('3 - Carts &amp; Stands-WUO_ERR'!A49 = "", "Validated", HYPERLINK("#" &amp; ADDRESS(49, '3 - Carts &amp; Stands-WUO_TRK'!A49),_xlfn.TEXTAFTER('3 - Carts &amp; Stands-WUO_ERR'!A49, ":"))))</f>
        <v/>
      </c>
    </row>
    <row r="50">
      <c r="A50" s="39">
        <f>IF('3 - Carts &amp; Stands'!B50 = "", "", IF('3 - Carts &amp; Stands-WUO_ERR'!A50 = "", "Validated", HYPERLINK("#" &amp; ADDRESS(50, '3 - Carts &amp; Stands-WUO_TRK'!A50),_xlfn.TEXTAFTER('3 - Carts &amp; Stands-WUO_ERR'!A50, ":"))))</f>
        <v/>
      </c>
    </row>
    <row r="51">
      <c r="A51" s="39">
        <f>IF('3 - Carts &amp; Stands'!B51 = "", "", IF('3 - Carts &amp; Stands-WUO_ERR'!A51 = "", "Validated", HYPERLINK("#" &amp; ADDRESS(51, '3 - Carts &amp; Stands-WUO_TRK'!A51),_xlfn.TEXTAFTER('3 - Carts &amp; Stands-WUO_ERR'!A51, ":"))))</f>
        <v/>
      </c>
    </row>
    <row r="52">
      <c r="A52" s="39">
        <f>IF('3 - Carts &amp; Stands'!B52 = "", "", IF('3 - Carts &amp; Stands-WUO_ERR'!A52 = "", "Validated", HYPERLINK("#" &amp; ADDRESS(52, '3 - Carts &amp; Stands-WUO_TRK'!A52),_xlfn.TEXTAFTER('3 - Carts &amp; Stands-WUO_ERR'!A52, ":"))))</f>
        <v/>
      </c>
    </row>
    <row r="53">
      <c r="A53" s="39">
        <f>IF('3 - Carts &amp; Stands'!B53 = "", "", IF('3 - Carts &amp; Stands-WUO_ERR'!A53 = "", "Validated", HYPERLINK("#" &amp; ADDRESS(53, '3 - Carts &amp; Stands-WUO_TRK'!A53),_xlfn.TEXTAFTER('3 - Carts &amp; Stands-WUO_ERR'!A53, ":"))))</f>
        <v/>
      </c>
    </row>
    <row r="54">
      <c r="A54" s="39">
        <f>IF('3 - Carts &amp; Stands'!B54 = "", "", IF('3 - Carts &amp; Stands-WUO_ERR'!A54 = "", "Validated", HYPERLINK("#" &amp; ADDRESS(54, '3 - Carts &amp; Stands-WUO_TRK'!A54),_xlfn.TEXTAFTER('3 - Carts &amp; Stands-WUO_ERR'!A54, ":"))))</f>
        <v/>
      </c>
    </row>
    <row r="55">
      <c r="A55" s="39">
        <f>IF('3 - Carts &amp; Stands'!B55 = "", "", IF('3 - Carts &amp; Stands-WUO_ERR'!A55 = "", "Validated", HYPERLINK("#" &amp; ADDRESS(55, '3 - Carts &amp; Stands-WUO_TRK'!A55),_xlfn.TEXTAFTER('3 - Carts &amp; Stands-WUO_ERR'!A55, ":"))))</f>
        <v/>
      </c>
    </row>
    <row r="56">
      <c r="A56" s="39">
        <f>IF('3 - Carts &amp; Stands'!B56 = "", "", IF('3 - Carts &amp; Stands-WUO_ERR'!A56 = "", "Validated", HYPERLINK("#" &amp; ADDRESS(56, '3 - Carts &amp; Stands-WUO_TRK'!A56),_xlfn.TEXTAFTER('3 - Carts &amp; Stands-WUO_ERR'!A56, ":"))))</f>
        <v/>
      </c>
    </row>
    <row r="57">
      <c r="A57" s="39">
        <f>IF('3 - Carts &amp; Stands'!B57 = "", "", IF('3 - Carts &amp; Stands-WUO_ERR'!A57 = "", "Validated", HYPERLINK("#" &amp; ADDRESS(57, '3 - Carts &amp; Stands-WUO_TRK'!A57),_xlfn.TEXTAFTER('3 - Carts &amp; Stands-WUO_ERR'!A57, ":"))))</f>
        <v/>
      </c>
    </row>
    <row r="58">
      <c r="A58" s="39">
        <f>IF('3 - Carts &amp; Stands'!B58 = "", "", IF('3 - Carts &amp; Stands-WUO_ERR'!A58 = "", "Validated", HYPERLINK("#" &amp; ADDRESS(58, '3 - Carts &amp; Stands-WUO_TRK'!A58),_xlfn.TEXTAFTER('3 - Carts &amp; Stands-WUO_ERR'!A58, ":"))))</f>
        <v/>
      </c>
    </row>
    <row r="59">
      <c r="A59" s="39">
        <f>IF('3 - Carts &amp; Stands'!B59 = "", "", IF('3 - Carts &amp; Stands-WUO_ERR'!A59 = "", "Validated", HYPERLINK("#" &amp; ADDRESS(59, '3 - Carts &amp; Stands-WUO_TRK'!A59),_xlfn.TEXTAFTER('3 - Carts &amp; Stands-WUO_ERR'!A59, ":"))))</f>
        <v/>
      </c>
    </row>
    <row r="60">
      <c r="A60" s="39">
        <f>IF('3 - Carts &amp; Stands'!B60 = "", "", IF('3 - Carts &amp; Stands-WUO_ERR'!A60 = "", "Validated", HYPERLINK("#" &amp; ADDRESS(60, '3 - Carts &amp; Stands-WUO_TRK'!A60),_xlfn.TEXTAFTER('3 - Carts &amp; Stands-WUO_ERR'!A60, ":"))))</f>
        <v/>
      </c>
    </row>
    <row r="61">
      <c r="A61" s="39">
        <f>IF('3 - Carts &amp; Stands'!B61 = "", "", IF('3 - Carts &amp; Stands-WUO_ERR'!A61 = "", "Validated", HYPERLINK("#" &amp; ADDRESS(61, '3 - Carts &amp; Stands-WUO_TRK'!A61),_xlfn.TEXTAFTER('3 - Carts &amp; Stands-WUO_ERR'!A61, ":"))))</f>
        <v/>
      </c>
    </row>
    <row r="62">
      <c r="A62" s="39">
        <f>IF('3 - Carts &amp; Stands'!B62 = "", "", IF('3 - Carts &amp; Stands-WUO_ERR'!A62 = "", "Validated", HYPERLINK("#" &amp; ADDRESS(62, '3 - Carts &amp; Stands-WUO_TRK'!A62),_xlfn.TEXTAFTER('3 - Carts &amp; Stands-WUO_ERR'!A62, ":"))))</f>
        <v/>
      </c>
    </row>
    <row r="63">
      <c r="A63" s="39">
        <f>IF('3 - Carts &amp; Stands'!B63 = "", "", IF('3 - Carts &amp; Stands-WUO_ERR'!A63 = "", "Validated", HYPERLINK("#" &amp; ADDRESS(63, '3 - Carts &amp; Stands-WUO_TRK'!A63),_xlfn.TEXTAFTER('3 - Carts &amp; Stands-WUO_ERR'!A63, ":"))))</f>
        <v/>
      </c>
    </row>
    <row r="64">
      <c r="A64" s="39">
        <f>IF('3 - Carts &amp; Stands'!B64 = "", "", IF('3 - Carts &amp; Stands-WUO_ERR'!A64 = "", "Validated", HYPERLINK("#" &amp; ADDRESS(64, '3 - Carts &amp; Stands-WUO_TRK'!A64),_xlfn.TEXTAFTER('3 - Carts &amp; Stands-WUO_ERR'!A64, ":"))))</f>
        <v/>
      </c>
    </row>
    <row r="65">
      <c r="A65" s="39">
        <f>IF('3 - Carts &amp; Stands'!B65 = "", "", IF('3 - Carts &amp; Stands-WUO_ERR'!A65 = "", "Validated", HYPERLINK("#" &amp; ADDRESS(65, '3 - Carts &amp; Stands-WUO_TRK'!A65),_xlfn.TEXTAFTER('3 - Carts &amp; Stands-WUO_ERR'!A65, ":"))))</f>
        <v/>
      </c>
    </row>
    <row r="66">
      <c r="A66" s="39">
        <f>IF('3 - Carts &amp; Stands'!B66 = "", "", IF('3 - Carts &amp; Stands-WUO_ERR'!A66 = "", "Validated", HYPERLINK("#" &amp; ADDRESS(66, '3 - Carts &amp; Stands-WUO_TRK'!A66),_xlfn.TEXTAFTER('3 - Carts &amp; Stands-WUO_ERR'!A66, ":"))))</f>
        <v/>
      </c>
    </row>
    <row r="67">
      <c r="A67" s="39">
        <f>IF('3 - Carts &amp; Stands'!B67 = "", "", IF('3 - Carts &amp; Stands-WUO_ERR'!A67 = "", "Validated", HYPERLINK("#" &amp; ADDRESS(67, '3 - Carts &amp; Stands-WUO_TRK'!A67),_xlfn.TEXTAFTER('3 - Carts &amp; Stands-WUO_ERR'!A67, ":"))))</f>
        <v/>
      </c>
    </row>
    <row r="68">
      <c r="A68" s="39">
        <f>IF('3 - Carts &amp; Stands'!B68 = "", "", IF('3 - Carts &amp; Stands-WUO_ERR'!A68 = "", "Validated", HYPERLINK("#" &amp; ADDRESS(68, '3 - Carts &amp; Stands-WUO_TRK'!A68),_xlfn.TEXTAFTER('3 - Carts &amp; Stands-WUO_ERR'!A68, ":"))))</f>
        <v/>
      </c>
    </row>
    <row r="69">
      <c r="A69" s="39">
        <f>IF('3 - Carts &amp; Stands'!B69 = "", "", IF('3 - Carts &amp; Stands-WUO_ERR'!A69 = "", "Validated", HYPERLINK("#" &amp; ADDRESS(69, '3 - Carts &amp; Stands-WUO_TRK'!A69),_xlfn.TEXTAFTER('3 - Carts &amp; Stands-WUO_ERR'!A69, ":"))))</f>
        <v/>
      </c>
    </row>
    <row r="70">
      <c r="A70" s="39">
        <f>IF('3 - Carts &amp; Stands'!B70 = "", "", IF('3 - Carts &amp; Stands-WUO_ERR'!A70 = "", "Validated", HYPERLINK("#" &amp; ADDRESS(70, '3 - Carts &amp; Stands-WUO_TRK'!A70),_xlfn.TEXTAFTER('3 - Carts &amp; Stands-WUO_ERR'!A70, ":"))))</f>
        <v/>
      </c>
    </row>
    <row r="71">
      <c r="A71" s="39">
        <f>IF('3 - Carts &amp; Stands'!B71 = "", "", IF('3 - Carts &amp; Stands-WUO_ERR'!A71 = "", "Validated", HYPERLINK("#" &amp; ADDRESS(71, '3 - Carts &amp; Stands-WUO_TRK'!A71),_xlfn.TEXTAFTER('3 - Carts &amp; Stands-WUO_ERR'!A71, ":"))))</f>
        <v/>
      </c>
    </row>
    <row r="72">
      <c r="A72" s="39">
        <f>IF('3 - Carts &amp; Stands'!B72 = "", "", IF('3 - Carts &amp; Stands-WUO_ERR'!A72 = "", "Validated", HYPERLINK("#" &amp; ADDRESS(72, '3 - Carts &amp; Stands-WUO_TRK'!A72),_xlfn.TEXTAFTER('3 - Carts &amp; Stands-WUO_ERR'!A72, ":"))))</f>
        <v/>
      </c>
    </row>
    <row r="73">
      <c r="A73" s="39">
        <f>IF('3 - Carts &amp; Stands'!B73 = "", "", IF('3 - Carts &amp; Stands-WUO_ERR'!A73 = "", "Validated", HYPERLINK("#" &amp; ADDRESS(73, '3 - Carts &amp; Stands-WUO_TRK'!A73),_xlfn.TEXTAFTER('3 - Carts &amp; Stands-WUO_ERR'!A73, ":"))))</f>
        <v/>
      </c>
    </row>
    <row r="74">
      <c r="A74" s="39">
        <f>IF('3 - Carts &amp; Stands'!B74 = "", "", IF('3 - Carts &amp; Stands-WUO_ERR'!A74 = "", "Validated", HYPERLINK("#" &amp; ADDRESS(74, '3 - Carts &amp; Stands-WUO_TRK'!A74),_xlfn.TEXTAFTER('3 - Carts &amp; Stands-WUO_ERR'!A74, ":"))))</f>
        <v/>
      </c>
    </row>
    <row r="75">
      <c r="A75" s="39">
        <f>IF('3 - Carts &amp; Stands'!B75 = "", "", IF('3 - Carts &amp; Stands-WUO_ERR'!A75 = "", "Validated", HYPERLINK("#" &amp; ADDRESS(75, '3 - Carts &amp; Stands-WUO_TRK'!A75),_xlfn.TEXTAFTER('3 - Carts &amp; Stands-WUO_ERR'!A75, ":"))))</f>
        <v/>
      </c>
    </row>
    <row r="76">
      <c r="A76" s="39">
        <f>IF('3 - Carts &amp; Stands'!B76 = "", "", IF('3 - Carts &amp; Stands-WUO_ERR'!A76 = "", "Validated", HYPERLINK("#" &amp; ADDRESS(76, '3 - Carts &amp; Stands-WUO_TRK'!A76),_xlfn.TEXTAFTER('3 - Carts &amp; Stands-WUO_ERR'!A76, ":"))))</f>
        <v/>
      </c>
    </row>
    <row r="77">
      <c r="A77" s="39">
        <f>IF('3 - Carts &amp; Stands'!B77 = "", "", IF('3 - Carts &amp; Stands-WUO_ERR'!A77 = "", "Validated", HYPERLINK("#" &amp; ADDRESS(77, '3 - Carts &amp; Stands-WUO_TRK'!A77),_xlfn.TEXTAFTER('3 - Carts &amp; Stands-WUO_ERR'!A77, ":"))))</f>
        <v/>
      </c>
    </row>
    <row r="78">
      <c r="A78" s="39">
        <f>IF('3 - Carts &amp; Stands'!B78 = "", "", IF('3 - Carts &amp; Stands-WUO_ERR'!A78 = "", "Validated", HYPERLINK("#" &amp; ADDRESS(78, '3 - Carts &amp; Stands-WUO_TRK'!A78),_xlfn.TEXTAFTER('3 - Carts &amp; Stands-WUO_ERR'!A78, ":"))))</f>
        <v/>
      </c>
    </row>
    <row r="79">
      <c r="A79" s="39">
        <f>IF('3 - Carts &amp; Stands'!B79 = "", "", IF('3 - Carts &amp; Stands-WUO_ERR'!A79 = "", "Validated", HYPERLINK("#" &amp; ADDRESS(79, '3 - Carts &amp; Stands-WUO_TRK'!A79),_xlfn.TEXTAFTER('3 - Carts &amp; Stands-WUO_ERR'!A79, ":"))))</f>
        <v/>
      </c>
    </row>
    <row r="80">
      <c r="A80" s="39">
        <f>IF('3 - Carts &amp; Stands'!B80 = "", "", IF('3 - Carts &amp; Stands-WUO_ERR'!A80 = "", "Validated", HYPERLINK("#" &amp; ADDRESS(80, '3 - Carts &amp; Stands-WUO_TRK'!A80),_xlfn.TEXTAFTER('3 - Carts &amp; Stands-WUO_ERR'!A80, ":"))))</f>
        <v/>
      </c>
    </row>
    <row r="81">
      <c r="A81" s="39">
        <f>IF('3 - Carts &amp; Stands'!B81 = "", "", IF('3 - Carts &amp; Stands-WUO_ERR'!A81 = "", "Validated", HYPERLINK("#" &amp; ADDRESS(81, '3 - Carts &amp; Stands-WUO_TRK'!A81),_xlfn.TEXTAFTER('3 - Carts &amp; Stands-WUO_ERR'!A81, ":"))))</f>
        <v/>
      </c>
    </row>
    <row r="82">
      <c r="A82" s="39">
        <f>IF('3 - Carts &amp; Stands'!B82 = "", "", IF('3 - Carts &amp; Stands-WUO_ERR'!A82 = "", "Validated", HYPERLINK("#" &amp; ADDRESS(82, '3 - Carts &amp; Stands-WUO_TRK'!A82),_xlfn.TEXTAFTER('3 - Carts &amp; Stands-WUO_ERR'!A82, ":"))))</f>
        <v/>
      </c>
    </row>
    <row r="83">
      <c r="A83" s="39">
        <f>IF('3 - Carts &amp; Stands'!B83 = "", "", IF('3 - Carts &amp; Stands-WUO_ERR'!A83 = "", "Validated", HYPERLINK("#" &amp; ADDRESS(83, '3 - Carts &amp; Stands-WUO_TRK'!A83),_xlfn.TEXTAFTER('3 - Carts &amp; Stands-WUO_ERR'!A83, ":"))))</f>
        <v/>
      </c>
    </row>
    <row r="84">
      <c r="A84" s="39">
        <f>IF('3 - Carts &amp; Stands'!B84 = "", "", IF('3 - Carts &amp; Stands-WUO_ERR'!A84 = "", "Validated", HYPERLINK("#" &amp; ADDRESS(84, '3 - Carts &amp; Stands-WUO_TRK'!A84),_xlfn.TEXTAFTER('3 - Carts &amp; Stands-WUO_ERR'!A84, ":"))))</f>
        <v/>
      </c>
    </row>
    <row r="85">
      <c r="A85" s="39">
        <f>IF('3 - Carts &amp; Stands'!B85 = "", "", IF('3 - Carts &amp; Stands-WUO_ERR'!A85 = "", "Validated", HYPERLINK("#" &amp; ADDRESS(85, '3 - Carts &amp; Stands-WUO_TRK'!A85),_xlfn.TEXTAFTER('3 - Carts &amp; Stands-WUO_ERR'!A85, ":"))))</f>
        <v/>
      </c>
    </row>
    <row r="86">
      <c r="A86" s="39">
        <f>IF('3 - Carts &amp; Stands'!B86 = "", "", IF('3 - Carts &amp; Stands-WUO_ERR'!A86 = "", "Validated", HYPERLINK("#" &amp; ADDRESS(86, '3 - Carts &amp; Stands-WUO_TRK'!A86),_xlfn.TEXTAFTER('3 - Carts &amp; Stands-WUO_ERR'!A86, ":"))))</f>
        <v/>
      </c>
    </row>
    <row r="87">
      <c r="A87" s="39">
        <f>IF('3 - Carts &amp; Stands'!B87 = "", "", IF('3 - Carts &amp; Stands-WUO_ERR'!A87 = "", "Validated", HYPERLINK("#" &amp; ADDRESS(87, '3 - Carts &amp; Stands-WUO_TRK'!A87),_xlfn.TEXTAFTER('3 - Carts &amp; Stands-WUO_ERR'!A87, ":"))))</f>
        <v/>
      </c>
    </row>
    <row r="88">
      <c r="A88" s="39">
        <f>IF('3 - Carts &amp; Stands'!B88 = "", "", IF('3 - Carts &amp; Stands-WUO_ERR'!A88 = "", "Validated", HYPERLINK("#" &amp; ADDRESS(88, '3 - Carts &amp; Stands-WUO_TRK'!A88),_xlfn.TEXTAFTER('3 - Carts &amp; Stands-WUO_ERR'!A88, ":"))))</f>
        <v/>
      </c>
    </row>
    <row r="89">
      <c r="A89" s="39">
        <f>IF('3 - Carts &amp; Stands'!B89 = "", "", IF('3 - Carts &amp; Stands-WUO_ERR'!A89 = "", "Validated", HYPERLINK("#" &amp; ADDRESS(89, '3 - Carts &amp; Stands-WUO_TRK'!A89),_xlfn.TEXTAFTER('3 - Carts &amp; Stands-WUO_ERR'!A89, ":"))))</f>
        <v/>
      </c>
    </row>
    <row r="90">
      <c r="A90" s="39">
        <f>IF('3 - Carts &amp; Stands'!B90 = "", "", IF('3 - Carts &amp; Stands-WUO_ERR'!A90 = "", "Validated", HYPERLINK("#" &amp; ADDRESS(90, '3 - Carts &amp; Stands-WUO_TRK'!A90),_xlfn.TEXTAFTER('3 - Carts &amp; Stands-WUO_ERR'!A90, ":"))))</f>
        <v/>
      </c>
    </row>
    <row r="91">
      <c r="A91" s="39">
        <f>IF('3 - Carts &amp; Stands'!B91 = "", "", IF('3 - Carts &amp; Stands-WUO_ERR'!A91 = "", "Validated", HYPERLINK("#" &amp; ADDRESS(91, '3 - Carts &amp; Stands-WUO_TRK'!A91),_xlfn.TEXTAFTER('3 - Carts &amp; Stands-WUO_ERR'!A91, ":"))))</f>
        <v/>
      </c>
    </row>
    <row r="92">
      <c r="A92" s="39">
        <f>IF('3 - Carts &amp; Stands'!B92 = "", "", IF('3 - Carts &amp; Stands-WUO_ERR'!A92 = "", "Validated", HYPERLINK("#" &amp; ADDRESS(92, '3 - Carts &amp; Stands-WUO_TRK'!A92),_xlfn.TEXTAFTER('3 - Carts &amp; Stands-WUO_ERR'!A92, ":"))))</f>
        <v/>
      </c>
    </row>
    <row r="93">
      <c r="A93" s="39">
        <f>IF('3 - Carts &amp; Stands'!B93 = "", "", IF('3 - Carts &amp; Stands-WUO_ERR'!A93 = "", "Validated", HYPERLINK("#" &amp; ADDRESS(93, '3 - Carts &amp; Stands-WUO_TRK'!A93),_xlfn.TEXTAFTER('3 - Carts &amp; Stands-WUO_ERR'!A93, ":"))))</f>
        <v/>
      </c>
    </row>
    <row r="94">
      <c r="A94" s="39">
        <f>IF('3 - Carts &amp; Stands'!B94 = "", "", IF('3 - Carts &amp; Stands-WUO_ERR'!A94 = "", "Validated", HYPERLINK("#" &amp; ADDRESS(94, '3 - Carts &amp; Stands-WUO_TRK'!A94),_xlfn.TEXTAFTER('3 - Carts &amp; Stands-WUO_ERR'!A94, ":"))))</f>
        <v/>
      </c>
    </row>
    <row r="95">
      <c r="A95" s="39">
        <f>IF('3 - Carts &amp; Stands'!B95 = "", "", IF('3 - Carts &amp; Stands-WUO_ERR'!A95 = "", "Validated", HYPERLINK("#" &amp; ADDRESS(95, '3 - Carts &amp; Stands-WUO_TRK'!A95),_xlfn.TEXTAFTER('3 - Carts &amp; Stands-WUO_ERR'!A95, ":"))))</f>
        <v/>
      </c>
    </row>
    <row r="96">
      <c r="A96" s="39">
        <f>IF('3 - Carts &amp; Stands'!B96 = "", "", IF('3 - Carts &amp; Stands-WUO_ERR'!A96 = "", "Validated", HYPERLINK("#" &amp; ADDRESS(96, '3 - Carts &amp; Stands-WUO_TRK'!A96),_xlfn.TEXTAFTER('3 - Carts &amp; Stands-WUO_ERR'!A96, ":"))))</f>
        <v/>
      </c>
    </row>
    <row r="97">
      <c r="A97" s="39">
        <f>IF('3 - Carts &amp; Stands'!B97 = "", "", IF('3 - Carts &amp; Stands-WUO_ERR'!A97 = "", "Validated", HYPERLINK("#" &amp; ADDRESS(97, '3 - Carts &amp; Stands-WUO_TRK'!A97),_xlfn.TEXTAFTER('3 - Carts &amp; Stands-WUO_ERR'!A97, ":"))))</f>
        <v/>
      </c>
    </row>
    <row r="98">
      <c r="A98" s="39">
        <f>IF('3 - Carts &amp; Stands'!B98 = "", "", IF('3 - Carts &amp; Stands-WUO_ERR'!A98 = "", "Validated", HYPERLINK("#" &amp; ADDRESS(98, '3 - Carts &amp; Stands-WUO_TRK'!A98),_xlfn.TEXTAFTER('3 - Carts &amp; Stands-WUO_ERR'!A98, ":"))))</f>
        <v/>
      </c>
    </row>
    <row r="99">
      <c r="A99" s="39">
        <f>IF('3 - Carts &amp; Stands'!B99 = "", "", IF('3 - Carts &amp; Stands-WUO_ERR'!A99 = "", "Validated", HYPERLINK("#" &amp; ADDRESS(99, '3 - Carts &amp; Stands-WUO_TRK'!A99),_xlfn.TEXTAFTER('3 - Carts &amp; Stands-WUO_ERR'!A99, ":"))))</f>
        <v/>
      </c>
    </row>
    <row r="100">
      <c r="A100" s="39">
        <f>IF('3 - Carts &amp; Stands'!B100 = "", "", IF('3 - Carts &amp; Stands-WUO_ERR'!A100 = "", "Validated", HYPERLINK("#" &amp; ADDRESS(100, '3 - Carts &amp; Stands-WUO_TRK'!A100),_xlfn.TEXTAFTER('3 - Carts &amp; Stands-WUO_ERR'!A100, ":"))))</f>
        <v/>
      </c>
    </row>
    <row r="101">
      <c r="A101" s="39">
        <f>IF('3 - Carts &amp; Stands'!B101 = "", "", IF('3 - Carts &amp; Stands-WUO_ERR'!A101 = "", "Validated", HYPERLINK("#" &amp; ADDRESS(101, '3 - Carts &amp; Stands-WUO_TRK'!A101),_xlfn.TEXTAFTER('3 - Carts &amp; Stands-WUO_ERR'!A101, ":"))))</f>
        <v/>
      </c>
    </row>
    <row r="102">
      <c r="A102" s="39">
        <f>IF('3 - Carts &amp; Stands'!B102 = "", "", IF('3 - Carts &amp; Stands-WUO_ERR'!A102 = "", "Validated", HYPERLINK("#" &amp; ADDRESS(102, '3 - Carts &amp; Stands-WUO_TRK'!A102),_xlfn.TEXTAFTER('3 - Carts &amp; Stands-WUO_ERR'!A102, ":"))))</f>
        <v/>
      </c>
    </row>
    <row r="103">
      <c r="A103" s="39">
        <f>IF('3 - Carts &amp; Stands'!B103 = "", "", IF('3 - Carts &amp; Stands-WUO_ERR'!A103 = "", "Validated", HYPERLINK("#" &amp; ADDRESS(103, '3 - Carts &amp; Stands-WUO_TRK'!A103),_xlfn.TEXTAFTER('3 - Carts &amp; Stands-WUO_ERR'!A103, ":"))))</f>
        <v/>
      </c>
    </row>
    <row r="104">
      <c r="A104" s="39">
        <f>IF('3 - Carts &amp; Stands'!B104 = "", "", IF('3 - Carts &amp; Stands-WUO_ERR'!A104 = "", "Validated", HYPERLINK("#" &amp; ADDRESS(104, '3 - Carts &amp; Stands-WUO_TRK'!A104),_xlfn.TEXTAFTER('3 - Carts &amp; Stands-WUO_ERR'!A104, ":"))))</f>
        <v/>
      </c>
    </row>
    <row r="105">
      <c r="A105" s="39">
        <f>IF('3 - Carts &amp; Stands'!B105 = "", "", IF('3 - Carts &amp; Stands-WUO_ERR'!A105 = "", "Validated", HYPERLINK("#" &amp; ADDRESS(105, '3 - Carts &amp; Stands-WUO_TRK'!A105),_xlfn.TEXTAFTER('3 - Carts &amp; Stands-WUO_ERR'!A105, ":"))))</f>
        <v/>
      </c>
    </row>
    <row r="106">
      <c r="A106" s="39">
        <f>IF('3 - Carts &amp; Stands'!B106 = "", "", IF('3 - Carts &amp; Stands-WUO_ERR'!A106 = "", "Validated", HYPERLINK("#" &amp; ADDRESS(106, '3 - Carts &amp; Stands-WUO_TRK'!A106),_xlfn.TEXTAFTER('3 - Carts &amp; Stands-WUO_ERR'!A106, ":"))))</f>
        <v/>
      </c>
    </row>
    <row r="107">
      <c r="A107" s="39">
        <f>IF('3 - Carts &amp; Stands'!B107 = "", "", IF('3 - Carts &amp; Stands-WUO_ERR'!A107 = "", "Validated", HYPERLINK("#" &amp; ADDRESS(107, '3 - Carts &amp; Stands-WUO_TRK'!A107),_xlfn.TEXTAFTER('3 - Carts &amp; Stands-WUO_ERR'!A107, ":"))))</f>
        <v/>
      </c>
    </row>
    <row r="108">
      <c r="A108" s="39">
        <f>IF('3 - Carts &amp; Stands'!B108 = "", "", IF('3 - Carts &amp; Stands-WUO_ERR'!A108 = "", "Validated", HYPERLINK("#" &amp; ADDRESS(108, '3 - Carts &amp; Stands-WUO_TRK'!A108),_xlfn.TEXTAFTER('3 - Carts &amp; Stands-WUO_ERR'!A108, ":"))))</f>
        <v/>
      </c>
    </row>
    <row r="109">
      <c r="A109" s="39">
        <f>IF('3 - Carts &amp; Stands'!B109 = "", "", IF('3 - Carts &amp; Stands-WUO_ERR'!A109 = "", "Validated", HYPERLINK("#" &amp; ADDRESS(109, '3 - Carts &amp; Stands-WUO_TRK'!A109),_xlfn.TEXTAFTER('3 - Carts &amp; Stands-WUO_ERR'!A109, ":"))))</f>
        <v/>
      </c>
    </row>
    <row r="110">
      <c r="A110" s="39">
        <f>IF('3 - Carts &amp; Stands'!B110 = "", "", IF('3 - Carts &amp; Stands-WUO_ERR'!A110 = "", "Validated", HYPERLINK("#" &amp; ADDRESS(110, '3 - Carts &amp; Stands-WUO_TRK'!A110),_xlfn.TEXTAFTER('3 - Carts &amp; Stands-WUO_ERR'!A110, ":"))))</f>
        <v/>
      </c>
    </row>
    <row r="111">
      <c r="A111" s="39">
        <f>IF('3 - Carts &amp; Stands'!B111 = "", "", IF('3 - Carts &amp; Stands-WUO_ERR'!A111 = "", "Validated", HYPERLINK("#" &amp; ADDRESS(111, '3 - Carts &amp; Stands-WUO_TRK'!A111),_xlfn.TEXTAFTER('3 - Carts &amp; Stands-WUO_ERR'!A111, ":"))))</f>
        <v/>
      </c>
    </row>
    <row r="112">
      <c r="A112" s="39">
        <f>IF('3 - Carts &amp; Stands'!B112 = "", "", IF('3 - Carts &amp; Stands-WUO_ERR'!A112 = "", "Validated", HYPERLINK("#" &amp; ADDRESS(112, '3 - Carts &amp; Stands-WUO_TRK'!A112),_xlfn.TEXTAFTER('3 - Carts &amp; Stands-WUO_ERR'!A112, ":"))))</f>
        <v/>
      </c>
    </row>
    <row r="113">
      <c r="A113" s="39">
        <f>IF('3 - Carts &amp; Stands'!B113 = "", "", IF('3 - Carts &amp; Stands-WUO_ERR'!A113 = "", "Validated", HYPERLINK("#" &amp; ADDRESS(113, '3 - Carts &amp; Stands-WUO_TRK'!A113),_xlfn.TEXTAFTER('3 - Carts &amp; Stands-WUO_ERR'!A113, ":"))))</f>
        <v/>
      </c>
    </row>
    <row r="114">
      <c r="A114" s="39">
        <f>IF('3 - Carts &amp; Stands'!B114 = "", "", IF('3 - Carts &amp; Stands-WUO_ERR'!A114 = "", "Validated", HYPERLINK("#" &amp; ADDRESS(114, '3 - Carts &amp; Stands-WUO_TRK'!A114),_xlfn.TEXTAFTER('3 - Carts &amp; Stands-WUO_ERR'!A114, ":"))))</f>
        <v/>
      </c>
    </row>
    <row r="115">
      <c r="A115" s="39">
        <f>IF('3 - Carts &amp; Stands'!B115 = "", "", IF('3 - Carts &amp; Stands-WUO_ERR'!A115 = "", "Validated", HYPERLINK("#" &amp; ADDRESS(115, '3 - Carts &amp; Stands-WUO_TRK'!A115),_xlfn.TEXTAFTER('3 - Carts &amp; Stands-WUO_ERR'!A115, ":"))))</f>
        <v/>
      </c>
    </row>
    <row r="116">
      <c r="A116" s="39">
        <f>IF('3 - Carts &amp; Stands'!B116 = "", "", IF('3 - Carts &amp; Stands-WUO_ERR'!A116 = "", "Validated", HYPERLINK("#" &amp; ADDRESS(116, '3 - Carts &amp; Stands-WUO_TRK'!A116),_xlfn.TEXTAFTER('3 - Carts &amp; Stands-WUO_ERR'!A116, ":"))))</f>
        <v/>
      </c>
    </row>
    <row r="117">
      <c r="A117" s="39">
        <f>IF('3 - Carts &amp; Stands'!B117 = "", "", IF('3 - Carts &amp; Stands-WUO_ERR'!A117 = "", "Validated", HYPERLINK("#" &amp; ADDRESS(117, '3 - Carts &amp; Stands-WUO_TRK'!A117),_xlfn.TEXTAFTER('3 - Carts &amp; Stands-WUO_ERR'!A117, ":"))))</f>
        <v/>
      </c>
    </row>
    <row r="118">
      <c r="A118" s="39">
        <f>IF('3 - Carts &amp; Stands'!B118 = "", "", IF('3 - Carts &amp; Stands-WUO_ERR'!A118 = "", "Validated", HYPERLINK("#" &amp; ADDRESS(118, '3 - Carts &amp; Stands-WUO_TRK'!A118),_xlfn.TEXTAFTER('3 - Carts &amp; Stands-WUO_ERR'!A118, ":"))))</f>
        <v/>
      </c>
    </row>
    <row r="119">
      <c r="A119" s="39">
        <f>IF('3 - Carts &amp; Stands'!B119 = "", "", IF('3 - Carts &amp; Stands-WUO_ERR'!A119 = "", "Validated", HYPERLINK("#" &amp; ADDRESS(119, '3 - Carts &amp; Stands-WUO_TRK'!A119),_xlfn.TEXTAFTER('3 - Carts &amp; Stands-WUO_ERR'!A119, ":"))))</f>
        <v/>
      </c>
    </row>
    <row r="120">
      <c r="A120" s="39">
        <f>IF('3 - Carts &amp; Stands'!B120 = "", "", IF('3 - Carts &amp; Stands-WUO_ERR'!A120 = "", "Validated", HYPERLINK("#" &amp; ADDRESS(120, '3 - Carts &amp; Stands-WUO_TRK'!A120),_xlfn.TEXTAFTER('3 - Carts &amp; Stands-WUO_ERR'!A120, ":"))))</f>
        <v/>
      </c>
    </row>
    <row r="121">
      <c r="A121" s="39">
        <f>IF('3 - Carts &amp; Stands'!B121 = "", "", IF('3 - Carts &amp; Stands-WUO_ERR'!A121 = "", "Validated", HYPERLINK("#" &amp; ADDRESS(121, '3 - Carts &amp; Stands-WUO_TRK'!A121),_xlfn.TEXTAFTER('3 - Carts &amp; Stands-WUO_ERR'!A121, ":"))))</f>
        <v/>
      </c>
    </row>
    <row r="122">
      <c r="A122" s="39">
        <f>IF('3 - Carts &amp; Stands'!B122 = "", "", IF('3 - Carts &amp; Stands-WUO_ERR'!A122 = "", "Validated", HYPERLINK("#" &amp; ADDRESS(122, '3 - Carts &amp; Stands-WUO_TRK'!A122),_xlfn.TEXTAFTER('3 - Carts &amp; Stands-WUO_ERR'!A122, ":"))))</f>
        <v/>
      </c>
    </row>
    <row r="123">
      <c r="A123" s="39">
        <f>IF('3 - Carts &amp; Stands'!B123 = "", "", IF('3 - Carts &amp; Stands-WUO_ERR'!A123 = "", "Validated", HYPERLINK("#" &amp; ADDRESS(123, '3 - Carts &amp; Stands-WUO_TRK'!A123),_xlfn.TEXTAFTER('3 - Carts &amp; Stands-WUO_ERR'!A123, ":"))))</f>
        <v/>
      </c>
    </row>
    <row r="124">
      <c r="A124" s="39">
        <f>IF('3 - Carts &amp; Stands'!B124 = "", "", IF('3 - Carts &amp; Stands-WUO_ERR'!A124 = "", "Validated", HYPERLINK("#" &amp; ADDRESS(124, '3 - Carts &amp; Stands-WUO_TRK'!A124),_xlfn.TEXTAFTER('3 - Carts &amp; Stands-WUO_ERR'!A124, ":"))))</f>
        <v/>
      </c>
    </row>
    <row r="125">
      <c r="A125" s="39">
        <f>IF('3 - Carts &amp; Stands'!B125 = "", "", IF('3 - Carts &amp; Stands-WUO_ERR'!A125 = "", "Validated", HYPERLINK("#" &amp; ADDRESS(125, '3 - Carts &amp; Stands-WUO_TRK'!A125),_xlfn.TEXTAFTER('3 - Carts &amp; Stands-WUO_ERR'!A125, ":"))))</f>
        <v/>
      </c>
    </row>
    <row r="126">
      <c r="A126" s="39">
        <f>IF('3 - Carts &amp; Stands'!B126 = "", "", IF('3 - Carts &amp; Stands-WUO_ERR'!A126 = "", "Validated", HYPERLINK("#" &amp; ADDRESS(126, '3 - Carts &amp; Stands-WUO_TRK'!A126),_xlfn.TEXTAFTER('3 - Carts &amp; Stands-WUO_ERR'!A126, ":"))))</f>
        <v/>
      </c>
    </row>
    <row r="127">
      <c r="A127" s="39">
        <f>IF('3 - Carts &amp; Stands'!B127 = "", "", IF('3 - Carts &amp; Stands-WUO_ERR'!A127 = "", "Validated", HYPERLINK("#" &amp; ADDRESS(127, '3 - Carts &amp; Stands-WUO_TRK'!A127),_xlfn.TEXTAFTER('3 - Carts &amp; Stands-WUO_ERR'!A127, ":"))))</f>
        <v/>
      </c>
    </row>
    <row r="128">
      <c r="A128" s="39">
        <f>IF('3 - Carts &amp; Stands'!B128 = "", "", IF('3 - Carts &amp; Stands-WUO_ERR'!A128 = "", "Validated", HYPERLINK("#" &amp; ADDRESS(128, '3 - Carts &amp; Stands-WUO_TRK'!A128),_xlfn.TEXTAFTER('3 - Carts &amp; Stands-WUO_ERR'!A128, ":"))))</f>
        <v/>
      </c>
    </row>
    <row r="129">
      <c r="A129" s="39">
        <f>IF('3 - Carts &amp; Stands'!B129 = "", "", IF('3 - Carts &amp; Stands-WUO_ERR'!A129 = "", "Validated", HYPERLINK("#" &amp; ADDRESS(129, '3 - Carts &amp; Stands-WUO_TRK'!A129),_xlfn.TEXTAFTER('3 - Carts &amp; Stands-WUO_ERR'!A129, ":"))))</f>
        <v/>
      </c>
    </row>
    <row r="130">
      <c r="A130" s="39">
        <f>IF('3 - Carts &amp; Stands'!B130 = "", "", IF('3 - Carts &amp; Stands-WUO_ERR'!A130 = "", "Validated", HYPERLINK("#" &amp; ADDRESS(130, '3 - Carts &amp; Stands-WUO_TRK'!A130),_xlfn.TEXTAFTER('3 - Carts &amp; Stands-WUO_ERR'!A130, ":"))))</f>
        <v/>
      </c>
    </row>
    <row r="131">
      <c r="A131" s="39">
        <f>IF('3 - Carts &amp; Stands'!B131 = "", "", IF('3 - Carts &amp; Stands-WUO_ERR'!A131 = "", "Validated", HYPERLINK("#" &amp; ADDRESS(131, '3 - Carts &amp; Stands-WUO_TRK'!A131),_xlfn.TEXTAFTER('3 - Carts &amp; Stands-WUO_ERR'!A131, ":"))))</f>
        <v/>
      </c>
    </row>
    <row r="132">
      <c r="A132" s="39">
        <f>IF('3 - Carts &amp; Stands'!B132 = "", "", IF('3 - Carts &amp; Stands-WUO_ERR'!A132 = "", "Validated", HYPERLINK("#" &amp; ADDRESS(132, '3 - Carts &amp; Stands-WUO_TRK'!A132),_xlfn.TEXTAFTER('3 - Carts &amp; Stands-WUO_ERR'!A132, ":"))))</f>
        <v/>
      </c>
    </row>
    <row r="133">
      <c r="A133" s="39">
        <f>IF('3 - Carts &amp; Stands'!B133 = "", "", IF('3 - Carts &amp; Stands-WUO_ERR'!A133 = "", "Validated", HYPERLINK("#" &amp; ADDRESS(133, '3 - Carts &amp; Stands-WUO_TRK'!A133),_xlfn.TEXTAFTER('3 - Carts &amp; Stands-WUO_ERR'!A133, ":"))))</f>
        <v/>
      </c>
    </row>
    <row r="134">
      <c r="A134" s="39">
        <f>IF('3 - Carts &amp; Stands'!B134 = "", "", IF('3 - Carts &amp; Stands-WUO_ERR'!A134 = "", "Validated", HYPERLINK("#" &amp; ADDRESS(134, '3 - Carts &amp; Stands-WUO_TRK'!A134),_xlfn.TEXTAFTER('3 - Carts &amp; Stands-WUO_ERR'!A134, ":"))))</f>
        <v/>
      </c>
    </row>
    <row r="135">
      <c r="A135" s="39">
        <f>IF('3 - Carts &amp; Stands'!B135 = "", "", IF('3 - Carts &amp; Stands-WUO_ERR'!A135 = "", "Validated", HYPERLINK("#" &amp; ADDRESS(135, '3 - Carts &amp; Stands-WUO_TRK'!A135),_xlfn.TEXTAFTER('3 - Carts &amp; Stands-WUO_ERR'!A135, ":"))))</f>
        <v/>
      </c>
    </row>
    <row r="136">
      <c r="A136" s="39">
        <f>IF('3 - Carts &amp; Stands'!B136 = "", "", IF('3 - Carts &amp; Stands-WUO_ERR'!A136 = "", "Validated", HYPERLINK("#" &amp; ADDRESS(136, '3 - Carts &amp; Stands-WUO_TRK'!A136),_xlfn.TEXTAFTER('3 - Carts &amp; Stands-WUO_ERR'!A136, ":"))))</f>
        <v/>
      </c>
    </row>
    <row r="137">
      <c r="A137" s="39">
        <f>IF('3 - Carts &amp; Stands'!B137 = "", "", IF('3 - Carts &amp; Stands-WUO_ERR'!A137 = "", "Validated", HYPERLINK("#" &amp; ADDRESS(137, '3 - Carts &amp; Stands-WUO_TRK'!A137),_xlfn.TEXTAFTER('3 - Carts &amp; Stands-WUO_ERR'!A137, ":"))))</f>
        <v/>
      </c>
    </row>
    <row r="138">
      <c r="A138" s="39">
        <f>IF('3 - Carts &amp; Stands'!B138 = "", "", IF('3 - Carts &amp; Stands-WUO_ERR'!A138 = "", "Validated", HYPERLINK("#" &amp; ADDRESS(138, '3 - Carts &amp; Stands-WUO_TRK'!A138),_xlfn.TEXTAFTER('3 - Carts &amp; Stands-WUO_ERR'!A138, ":"))))</f>
        <v/>
      </c>
    </row>
    <row r="139">
      <c r="A139" s="39">
        <f>IF('3 - Carts &amp; Stands'!B139 = "", "", IF('3 - Carts &amp; Stands-WUO_ERR'!A139 = "", "Validated", HYPERLINK("#" &amp; ADDRESS(139, '3 - Carts &amp; Stands-WUO_TRK'!A139),_xlfn.TEXTAFTER('3 - Carts &amp; Stands-WUO_ERR'!A139, ":"))))</f>
        <v/>
      </c>
    </row>
    <row r="140">
      <c r="A140" s="39">
        <f>IF('3 - Carts &amp; Stands'!B140 = "", "", IF('3 - Carts &amp; Stands-WUO_ERR'!A140 = "", "Validated", HYPERLINK("#" &amp; ADDRESS(140, '3 - Carts &amp; Stands-WUO_TRK'!A140),_xlfn.TEXTAFTER('3 - Carts &amp; Stands-WUO_ERR'!A140, ":"))))</f>
        <v/>
      </c>
    </row>
    <row r="141">
      <c r="A141" s="39">
        <f>IF('3 - Carts &amp; Stands'!B141 = "", "", IF('3 - Carts &amp; Stands-WUO_ERR'!A141 = "", "Validated", HYPERLINK("#" &amp; ADDRESS(141, '3 - Carts &amp; Stands-WUO_TRK'!A141),_xlfn.TEXTAFTER('3 - Carts &amp; Stands-WUO_ERR'!A141, ":"))))</f>
        <v/>
      </c>
    </row>
    <row r="142">
      <c r="A142" s="39">
        <f>IF('3 - Carts &amp; Stands'!B142 = "", "", IF('3 - Carts &amp; Stands-WUO_ERR'!A142 = "", "Validated", HYPERLINK("#" &amp; ADDRESS(142, '3 - Carts &amp; Stands-WUO_TRK'!A142),_xlfn.TEXTAFTER('3 - Carts &amp; Stands-WUO_ERR'!A142, ":"))))</f>
        <v/>
      </c>
    </row>
    <row r="143">
      <c r="A143" s="39">
        <f>IF('3 - Carts &amp; Stands'!B143 = "", "", IF('3 - Carts &amp; Stands-WUO_ERR'!A143 = "", "Validated", HYPERLINK("#" &amp; ADDRESS(143, '3 - Carts &amp; Stands-WUO_TRK'!A143),_xlfn.TEXTAFTER('3 - Carts &amp; Stands-WUO_ERR'!A143, ":"))))</f>
        <v/>
      </c>
    </row>
    <row r="144">
      <c r="A144" s="39">
        <f>IF('3 - Carts &amp; Stands'!B144 = "", "", IF('3 - Carts &amp; Stands-WUO_ERR'!A144 = "", "Validated", HYPERLINK("#" &amp; ADDRESS(144, '3 - Carts &amp; Stands-WUO_TRK'!A144),_xlfn.TEXTAFTER('3 - Carts &amp; Stands-WUO_ERR'!A144, ":"))))</f>
        <v/>
      </c>
    </row>
    <row r="145">
      <c r="A145" s="39">
        <f>IF('3 - Carts &amp; Stands'!B145 = "", "", IF('3 - Carts &amp; Stands-WUO_ERR'!A145 = "", "Validated", HYPERLINK("#" &amp; ADDRESS(145, '3 - Carts &amp; Stands-WUO_TRK'!A145),_xlfn.TEXTAFTER('3 - Carts &amp; Stands-WUO_ERR'!A145, ":"))))</f>
        <v/>
      </c>
    </row>
    <row r="146">
      <c r="A146" s="39">
        <f>IF('3 - Carts &amp; Stands'!B146 = "", "", IF('3 - Carts &amp; Stands-WUO_ERR'!A146 = "", "Validated", HYPERLINK("#" &amp; ADDRESS(146, '3 - Carts &amp; Stands-WUO_TRK'!A146),_xlfn.TEXTAFTER('3 - Carts &amp; Stands-WUO_ERR'!A146, ":"))))</f>
        <v/>
      </c>
    </row>
    <row r="147">
      <c r="A147" s="39">
        <f>IF('3 - Carts &amp; Stands'!B147 = "", "", IF('3 - Carts &amp; Stands-WUO_ERR'!A147 = "", "Validated", HYPERLINK("#" &amp; ADDRESS(147, '3 - Carts &amp; Stands-WUO_TRK'!A147),_xlfn.TEXTAFTER('3 - Carts &amp; Stands-WUO_ERR'!A147, ":"))))</f>
        <v/>
      </c>
    </row>
    <row r="148">
      <c r="A148" s="39">
        <f>IF('3 - Carts &amp; Stands'!B148 = "", "", IF('3 - Carts &amp; Stands-WUO_ERR'!A148 = "", "Validated", HYPERLINK("#" &amp; ADDRESS(148, '3 - Carts &amp; Stands-WUO_TRK'!A148),_xlfn.TEXTAFTER('3 - Carts &amp; Stands-WUO_ERR'!A148, ":"))))</f>
        <v/>
      </c>
    </row>
    <row r="149">
      <c r="A149" s="39">
        <f>IF('3 - Carts &amp; Stands'!B149 = "", "", IF('3 - Carts &amp; Stands-WUO_ERR'!A149 = "", "Validated", HYPERLINK("#" &amp; ADDRESS(149, '3 - Carts &amp; Stands-WUO_TRK'!A149),_xlfn.TEXTAFTER('3 - Carts &amp; Stands-WUO_ERR'!A149, ":"))))</f>
        <v/>
      </c>
    </row>
    <row r="150">
      <c r="A150" s="39">
        <f>IF('3 - Carts &amp; Stands'!B150 = "", "", IF('3 - Carts &amp; Stands-WUO_ERR'!A150 = "", "Validated", HYPERLINK("#" &amp; ADDRESS(150, '3 - Carts &amp; Stands-WUO_TRK'!A150),_xlfn.TEXTAFTER('3 - Carts &amp; Stands-WUO_ERR'!A150, ":"))))</f>
        <v/>
      </c>
    </row>
    <row r="151">
      <c r="A151" s="39">
        <f>IF('3 - Carts &amp; Stands'!B151 = "", "", IF('3 - Carts &amp; Stands-WUO_ERR'!A151 = "", "Validated", HYPERLINK("#" &amp; ADDRESS(151, '3 - Carts &amp; Stands-WUO_TRK'!A151),_xlfn.TEXTAFTER('3 - Carts &amp; Stands-WUO_ERR'!A151, ":"))))</f>
        <v/>
      </c>
    </row>
    <row r="152">
      <c r="A152" s="39">
        <f>IF('3 - Carts &amp; Stands'!B152 = "", "", IF('3 - Carts &amp; Stands-WUO_ERR'!A152 = "", "Validated", HYPERLINK("#" &amp; ADDRESS(152, '3 - Carts &amp; Stands-WUO_TRK'!A152),_xlfn.TEXTAFTER('3 - Carts &amp; Stands-WUO_ERR'!A152, ":"))))</f>
        <v/>
      </c>
    </row>
    <row r="153">
      <c r="A153" s="39">
        <f>IF('3 - Carts &amp; Stands'!B153 = "", "", IF('3 - Carts &amp; Stands-WUO_ERR'!A153 = "", "Validated", HYPERLINK("#" &amp; ADDRESS(153, '3 - Carts &amp; Stands-WUO_TRK'!A153),_xlfn.TEXTAFTER('3 - Carts &amp; Stands-WUO_ERR'!A153, ":"))))</f>
        <v/>
      </c>
    </row>
    <row r="154">
      <c r="A154" s="39">
        <f>IF('3 - Carts &amp; Stands'!B154 = "", "", IF('3 - Carts &amp; Stands-WUO_ERR'!A154 = "", "Validated", HYPERLINK("#" &amp; ADDRESS(154, '3 - Carts &amp; Stands-WUO_TRK'!A154),_xlfn.TEXTAFTER('3 - Carts &amp; Stands-WUO_ERR'!A154, ":"))))</f>
        <v/>
      </c>
    </row>
    <row r="155">
      <c r="A155" s="39">
        <f>IF('3 - Carts &amp; Stands'!B155 = "", "", IF('3 - Carts &amp; Stands-WUO_ERR'!A155 = "", "Validated", HYPERLINK("#" &amp; ADDRESS(155, '3 - Carts &amp; Stands-WUO_TRK'!A155),_xlfn.TEXTAFTER('3 - Carts &amp; Stands-WUO_ERR'!A155, ":"))))</f>
        <v/>
      </c>
    </row>
    <row r="156">
      <c r="A156" s="39">
        <f>IF('3 - Carts &amp; Stands'!B156 = "", "", IF('3 - Carts &amp; Stands-WUO_ERR'!A156 = "", "Validated", HYPERLINK("#" &amp; ADDRESS(156, '3 - Carts &amp; Stands-WUO_TRK'!A156),_xlfn.TEXTAFTER('3 - Carts &amp; Stands-WUO_ERR'!A156, ":"))))</f>
        <v/>
      </c>
    </row>
    <row r="157">
      <c r="A157" s="39">
        <f>IF('3 - Carts &amp; Stands'!B157 = "", "", IF('3 - Carts &amp; Stands-WUO_ERR'!A157 = "", "Validated", HYPERLINK("#" &amp; ADDRESS(157, '3 - Carts &amp; Stands-WUO_TRK'!A157),_xlfn.TEXTAFTER('3 - Carts &amp; Stands-WUO_ERR'!A157, ":"))))</f>
        <v/>
      </c>
    </row>
    <row r="158">
      <c r="A158" s="39">
        <f>IF('3 - Carts &amp; Stands'!B158 = "", "", IF('3 - Carts &amp; Stands-WUO_ERR'!A158 = "", "Validated", HYPERLINK("#" &amp; ADDRESS(158, '3 - Carts &amp; Stands-WUO_TRK'!A158),_xlfn.TEXTAFTER('3 - Carts &amp; Stands-WUO_ERR'!A158, ":"))))</f>
        <v/>
      </c>
    </row>
    <row r="159">
      <c r="A159" s="39">
        <f>IF('3 - Carts &amp; Stands'!B159 = "", "", IF('3 - Carts &amp; Stands-WUO_ERR'!A159 = "", "Validated", HYPERLINK("#" &amp; ADDRESS(159, '3 - Carts &amp; Stands-WUO_TRK'!A159),_xlfn.TEXTAFTER('3 - Carts &amp; Stands-WUO_ERR'!A159, ":"))))</f>
        <v/>
      </c>
    </row>
    <row r="160">
      <c r="A160" s="39">
        <f>IF('3 - Carts &amp; Stands'!B160 = "", "", IF('3 - Carts &amp; Stands-WUO_ERR'!A160 = "", "Validated", HYPERLINK("#" &amp; ADDRESS(160, '3 - Carts &amp; Stands-WUO_TRK'!A160),_xlfn.TEXTAFTER('3 - Carts &amp; Stands-WUO_ERR'!A160, ":"))))</f>
        <v/>
      </c>
    </row>
    <row r="161">
      <c r="A161" s="39">
        <f>IF('3 - Carts &amp; Stands'!B161 = "", "", IF('3 - Carts &amp; Stands-WUO_ERR'!A161 = "", "Validated", HYPERLINK("#" &amp; ADDRESS(161, '3 - Carts &amp; Stands-WUO_TRK'!A161),_xlfn.TEXTAFTER('3 - Carts &amp; Stands-WUO_ERR'!A161, ":"))))</f>
        <v/>
      </c>
    </row>
    <row r="162">
      <c r="A162" s="39">
        <f>IF('3 - Carts &amp; Stands'!B162 = "", "", IF('3 - Carts &amp; Stands-WUO_ERR'!A162 = "", "Validated", HYPERLINK("#" &amp; ADDRESS(162, '3 - Carts &amp; Stands-WUO_TRK'!A162),_xlfn.TEXTAFTER('3 - Carts &amp; Stands-WUO_ERR'!A162, ":"))))</f>
        <v/>
      </c>
    </row>
    <row r="163">
      <c r="A163" s="39">
        <f>IF('3 - Carts &amp; Stands'!B163 = "", "", IF('3 - Carts &amp; Stands-WUO_ERR'!A163 = "", "Validated", HYPERLINK("#" &amp; ADDRESS(163, '3 - Carts &amp; Stands-WUO_TRK'!A163),_xlfn.TEXTAFTER('3 - Carts &amp; Stands-WUO_ERR'!A163, ":"))))</f>
        <v/>
      </c>
    </row>
    <row r="164">
      <c r="A164" s="39">
        <f>IF('3 - Carts &amp; Stands'!B164 = "", "", IF('3 - Carts &amp; Stands-WUO_ERR'!A164 = "", "Validated", HYPERLINK("#" &amp; ADDRESS(164, '3 - Carts &amp; Stands-WUO_TRK'!A164),_xlfn.TEXTAFTER('3 - Carts &amp; Stands-WUO_ERR'!A164, ":"))))</f>
        <v/>
      </c>
    </row>
    <row r="165">
      <c r="A165" s="39">
        <f>IF('3 - Carts &amp; Stands'!B165 = "", "", IF('3 - Carts &amp; Stands-WUO_ERR'!A165 = "", "Validated", HYPERLINK("#" &amp; ADDRESS(165, '3 - Carts &amp; Stands-WUO_TRK'!A165),_xlfn.TEXTAFTER('3 - Carts &amp; Stands-WUO_ERR'!A165, ":"))))</f>
        <v/>
      </c>
    </row>
    <row r="166">
      <c r="A166" s="39">
        <f>IF('3 - Carts &amp; Stands'!B166 = "", "", IF('3 - Carts &amp; Stands-WUO_ERR'!A166 = "", "Validated", HYPERLINK("#" &amp; ADDRESS(166, '3 - Carts &amp; Stands-WUO_TRK'!A166),_xlfn.TEXTAFTER('3 - Carts &amp; Stands-WUO_ERR'!A166, ":"))))</f>
        <v/>
      </c>
    </row>
    <row r="167">
      <c r="A167" s="39">
        <f>IF('3 - Carts &amp; Stands'!B167 = "", "", IF('3 - Carts &amp; Stands-WUO_ERR'!A167 = "", "Validated", HYPERLINK("#" &amp; ADDRESS(167, '3 - Carts &amp; Stands-WUO_TRK'!A167),_xlfn.TEXTAFTER('3 - Carts &amp; Stands-WUO_ERR'!A167, ":"))))</f>
        <v/>
      </c>
    </row>
    <row r="168">
      <c r="A168" s="39">
        <f>IF('3 - Carts &amp; Stands'!B168 = "", "", IF('3 - Carts &amp; Stands-WUO_ERR'!A168 = "", "Validated", HYPERLINK("#" &amp; ADDRESS(168, '3 - Carts &amp; Stands-WUO_TRK'!A168),_xlfn.TEXTAFTER('3 - Carts &amp; Stands-WUO_ERR'!A168, ":"))))</f>
        <v/>
      </c>
    </row>
    <row r="169">
      <c r="A169" s="39">
        <f>IF('3 - Carts &amp; Stands'!B169 = "", "", IF('3 - Carts &amp; Stands-WUO_ERR'!A169 = "", "Validated", HYPERLINK("#" &amp; ADDRESS(169, '3 - Carts &amp; Stands-WUO_TRK'!A169),_xlfn.TEXTAFTER('3 - Carts &amp; Stands-WUO_ERR'!A169, ":"))))</f>
        <v/>
      </c>
    </row>
    <row r="170">
      <c r="A170" s="39">
        <f>IF('3 - Carts &amp; Stands'!B170 = "", "", IF('3 - Carts &amp; Stands-WUO_ERR'!A170 = "", "Validated", HYPERLINK("#" &amp; ADDRESS(170, '3 - Carts &amp; Stands-WUO_TRK'!A170),_xlfn.TEXTAFTER('3 - Carts &amp; Stands-WUO_ERR'!A170, ":"))))</f>
        <v/>
      </c>
    </row>
    <row r="171">
      <c r="A171" s="39">
        <f>IF('3 - Carts &amp; Stands'!B171 = "", "", IF('3 - Carts &amp; Stands-WUO_ERR'!A171 = "", "Validated", HYPERLINK("#" &amp; ADDRESS(171, '3 - Carts &amp; Stands-WUO_TRK'!A171),_xlfn.TEXTAFTER('3 - Carts &amp; Stands-WUO_ERR'!A171, ":"))))</f>
        <v/>
      </c>
    </row>
    <row r="172">
      <c r="A172" s="39">
        <f>IF('3 - Carts &amp; Stands'!B172 = "", "", IF('3 - Carts &amp; Stands-WUO_ERR'!A172 = "", "Validated", HYPERLINK("#" &amp; ADDRESS(172, '3 - Carts &amp; Stands-WUO_TRK'!A172),_xlfn.TEXTAFTER('3 - Carts &amp; Stands-WUO_ERR'!A172, ":"))))</f>
        <v/>
      </c>
    </row>
    <row r="173">
      <c r="A173" s="39">
        <f>IF('3 - Carts &amp; Stands'!B173 = "", "", IF('3 - Carts &amp; Stands-WUO_ERR'!A173 = "", "Validated", HYPERLINK("#" &amp; ADDRESS(173, '3 - Carts &amp; Stands-WUO_TRK'!A173),_xlfn.TEXTAFTER('3 - Carts &amp; Stands-WUO_ERR'!A173, ":"))))</f>
        <v/>
      </c>
    </row>
    <row r="174">
      <c r="A174" s="39">
        <f>IF('3 - Carts &amp; Stands'!B174 = "", "", IF('3 - Carts &amp; Stands-WUO_ERR'!A174 = "", "Validated", HYPERLINK("#" &amp; ADDRESS(174, '3 - Carts &amp; Stands-WUO_TRK'!A174),_xlfn.TEXTAFTER('3 - Carts &amp; Stands-WUO_ERR'!A174, ":"))))</f>
        <v/>
      </c>
    </row>
    <row r="175">
      <c r="A175" s="39">
        <f>IF('3 - Carts &amp; Stands'!B175 = "", "", IF('3 - Carts &amp; Stands-WUO_ERR'!A175 = "", "Validated", HYPERLINK("#" &amp; ADDRESS(175, '3 - Carts &amp; Stands-WUO_TRK'!A175),_xlfn.TEXTAFTER('3 - Carts &amp; Stands-WUO_ERR'!A175, ":"))))</f>
        <v/>
      </c>
    </row>
    <row r="176">
      <c r="A176" s="39">
        <f>IF('3 - Carts &amp; Stands'!B176 = "", "", IF('3 - Carts &amp; Stands-WUO_ERR'!A176 = "", "Validated", HYPERLINK("#" &amp; ADDRESS(176, '3 - Carts &amp; Stands-WUO_TRK'!A176),_xlfn.TEXTAFTER('3 - Carts &amp; Stands-WUO_ERR'!A176, ":"))))</f>
        <v/>
      </c>
    </row>
    <row r="177">
      <c r="A177" s="39">
        <f>IF('3 - Carts &amp; Stands'!B177 = "", "", IF('3 - Carts &amp; Stands-WUO_ERR'!A177 = "", "Validated", HYPERLINK("#" &amp; ADDRESS(177, '3 - Carts &amp; Stands-WUO_TRK'!A177),_xlfn.TEXTAFTER('3 - Carts &amp; Stands-WUO_ERR'!A177, ":"))))</f>
        <v/>
      </c>
    </row>
    <row r="178">
      <c r="A178" s="39">
        <f>IF('3 - Carts &amp; Stands'!B178 = "", "", IF('3 - Carts &amp; Stands-WUO_ERR'!A178 = "", "Validated", HYPERLINK("#" &amp; ADDRESS(178, '3 - Carts &amp; Stands-WUO_TRK'!A178),_xlfn.TEXTAFTER('3 - Carts &amp; Stands-WUO_ERR'!A178, ":"))))</f>
        <v/>
      </c>
    </row>
    <row r="179">
      <c r="A179" s="39">
        <f>IF('3 - Carts &amp; Stands'!B179 = "", "", IF('3 - Carts &amp; Stands-WUO_ERR'!A179 = "", "Validated", HYPERLINK("#" &amp; ADDRESS(179, '3 - Carts &amp; Stands-WUO_TRK'!A179),_xlfn.TEXTAFTER('3 - Carts &amp; Stands-WUO_ERR'!A179, ":"))))</f>
        <v/>
      </c>
    </row>
    <row r="180">
      <c r="A180" s="39">
        <f>IF('3 - Carts &amp; Stands'!B180 = "", "", IF('3 - Carts &amp; Stands-WUO_ERR'!A180 = "", "Validated", HYPERLINK("#" &amp; ADDRESS(180, '3 - Carts &amp; Stands-WUO_TRK'!A180),_xlfn.TEXTAFTER('3 - Carts &amp; Stands-WUO_ERR'!A180, ":"))))</f>
        <v/>
      </c>
    </row>
    <row r="181">
      <c r="A181" s="39">
        <f>IF('3 - Carts &amp; Stands'!B181 = "", "", IF('3 - Carts &amp; Stands-WUO_ERR'!A181 = "", "Validated", HYPERLINK("#" &amp; ADDRESS(181, '3 - Carts &amp; Stands-WUO_TRK'!A181),_xlfn.TEXTAFTER('3 - Carts &amp; Stands-WUO_ERR'!A181, ":"))))</f>
        <v/>
      </c>
    </row>
    <row r="182">
      <c r="A182" s="39">
        <f>IF('3 - Carts &amp; Stands'!B182 = "", "", IF('3 - Carts &amp; Stands-WUO_ERR'!A182 = "", "Validated", HYPERLINK("#" &amp; ADDRESS(182, '3 - Carts &amp; Stands-WUO_TRK'!A182),_xlfn.TEXTAFTER('3 - Carts &amp; Stands-WUO_ERR'!A182, ":"))))</f>
        <v/>
      </c>
    </row>
    <row r="183">
      <c r="A183" s="39">
        <f>IF('3 - Carts &amp; Stands'!B183 = "", "", IF('3 - Carts &amp; Stands-WUO_ERR'!A183 = "", "Validated", HYPERLINK("#" &amp; ADDRESS(183, '3 - Carts &amp; Stands-WUO_TRK'!A183),_xlfn.TEXTAFTER('3 - Carts &amp; Stands-WUO_ERR'!A183, ":"))))</f>
        <v/>
      </c>
    </row>
    <row r="184">
      <c r="A184" s="39">
        <f>IF('3 - Carts &amp; Stands'!B184 = "", "", IF('3 - Carts &amp; Stands-WUO_ERR'!A184 = "", "Validated", HYPERLINK("#" &amp; ADDRESS(184, '3 - Carts &amp; Stands-WUO_TRK'!A184),_xlfn.TEXTAFTER('3 - Carts &amp; Stands-WUO_ERR'!A184, ":"))))</f>
        <v/>
      </c>
    </row>
    <row r="185">
      <c r="A185" s="39">
        <f>IF('3 - Carts &amp; Stands'!B185 = "", "", IF('3 - Carts &amp; Stands-WUO_ERR'!A185 = "", "Validated", HYPERLINK("#" &amp; ADDRESS(185, '3 - Carts &amp; Stands-WUO_TRK'!A185),_xlfn.TEXTAFTER('3 - Carts &amp; Stands-WUO_ERR'!A185, ":"))))</f>
        <v/>
      </c>
    </row>
    <row r="186">
      <c r="A186" s="39">
        <f>IF('3 - Carts &amp; Stands'!B186 = "", "", IF('3 - Carts &amp; Stands-WUO_ERR'!A186 = "", "Validated", HYPERLINK("#" &amp; ADDRESS(186, '3 - Carts &amp; Stands-WUO_TRK'!A186),_xlfn.TEXTAFTER('3 - Carts &amp; Stands-WUO_ERR'!A186, ":"))))</f>
        <v/>
      </c>
    </row>
    <row r="187">
      <c r="A187" s="39">
        <f>IF('3 - Carts &amp; Stands'!B187 = "", "", IF('3 - Carts &amp; Stands-WUO_ERR'!A187 = "", "Validated", HYPERLINK("#" &amp; ADDRESS(187, '3 - Carts &amp; Stands-WUO_TRK'!A187),_xlfn.TEXTAFTER('3 - Carts &amp; Stands-WUO_ERR'!A187, ":"))))</f>
        <v/>
      </c>
    </row>
    <row r="188">
      <c r="A188" s="39">
        <f>IF('3 - Carts &amp; Stands'!B188 = "", "", IF('3 - Carts &amp; Stands-WUO_ERR'!A188 = "", "Validated", HYPERLINK("#" &amp; ADDRESS(188, '3 - Carts &amp; Stands-WUO_TRK'!A188),_xlfn.TEXTAFTER('3 - Carts &amp; Stands-WUO_ERR'!A188, ":"))))</f>
        <v/>
      </c>
    </row>
    <row r="189">
      <c r="A189" s="39">
        <f>IF('3 - Carts &amp; Stands'!B189 = "", "", IF('3 - Carts &amp; Stands-WUO_ERR'!A189 = "", "Validated", HYPERLINK("#" &amp; ADDRESS(189, '3 - Carts &amp; Stands-WUO_TRK'!A189),_xlfn.TEXTAFTER('3 - Carts &amp; Stands-WUO_ERR'!A189, ":"))))</f>
        <v/>
      </c>
    </row>
    <row r="190">
      <c r="A190" s="39">
        <f>IF('3 - Carts &amp; Stands'!B190 = "", "", IF('3 - Carts &amp; Stands-WUO_ERR'!A190 = "", "Validated", HYPERLINK("#" &amp; ADDRESS(190, '3 - Carts &amp; Stands-WUO_TRK'!A190),_xlfn.TEXTAFTER('3 - Carts &amp; Stands-WUO_ERR'!A190, ":"))))</f>
        <v/>
      </c>
    </row>
    <row r="191">
      <c r="A191" s="39">
        <f>IF('3 - Carts &amp; Stands'!B191 = "", "", IF('3 - Carts &amp; Stands-WUO_ERR'!A191 = "", "Validated", HYPERLINK("#" &amp; ADDRESS(191, '3 - Carts &amp; Stands-WUO_TRK'!A191),_xlfn.TEXTAFTER('3 - Carts &amp; Stands-WUO_ERR'!A191, ":"))))</f>
        <v/>
      </c>
    </row>
    <row r="192">
      <c r="A192" s="39">
        <f>IF('3 - Carts &amp; Stands'!B192 = "", "", IF('3 - Carts &amp; Stands-WUO_ERR'!A192 = "", "Validated", HYPERLINK("#" &amp; ADDRESS(192, '3 - Carts &amp; Stands-WUO_TRK'!A192),_xlfn.TEXTAFTER('3 - Carts &amp; Stands-WUO_ERR'!A192, ":"))))</f>
        <v/>
      </c>
    </row>
    <row r="193">
      <c r="A193" s="39">
        <f>IF('3 - Carts &amp; Stands'!B193 = "", "", IF('3 - Carts &amp; Stands-WUO_ERR'!A193 = "", "Validated", HYPERLINK("#" &amp; ADDRESS(193, '3 - Carts &amp; Stands-WUO_TRK'!A193),_xlfn.TEXTAFTER('3 - Carts &amp; Stands-WUO_ERR'!A193, ":"))))</f>
        <v/>
      </c>
    </row>
    <row r="194">
      <c r="A194" s="39">
        <f>IF('3 - Carts &amp; Stands'!B194 = "", "", IF('3 - Carts &amp; Stands-WUO_ERR'!A194 = "", "Validated", HYPERLINK("#" &amp; ADDRESS(194, '3 - Carts &amp; Stands-WUO_TRK'!A194),_xlfn.TEXTAFTER('3 - Carts &amp; Stands-WUO_ERR'!A194, ":"))))</f>
        <v/>
      </c>
    </row>
    <row r="195">
      <c r="A195" s="39">
        <f>IF('3 - Carts &amp; Stands'!B195 = "", "", IF('3 - Carts &amp; Stands-WUO_ERR'!A195 = "", "Validated", HYPERLINK("#" &amp; ADDRESS(195, '3 - Carts &amp; Stands-WUO_TRK'!A195),_xlfn.TEXTAFTER('3 - Carts &amp; Stands-WUO_ERR'!A195, ":"))))</f>
        <v/>
      </c>
    </row>
    <row r="196">
      <c r="A196" s="39">
        <f>IF('3 - Carts &amp; Stands'!B196 = "", "", IF('3 - Carts &amp; Stands-WUO_ERR'!A196 = "", "Validated", HYPERLINK("#" &amp; ADDRESS(196, '3 - Carts &amp; Stands-WUO_TRK'!A196),_xlfn.TEXTAFTER('3 - Carts &amp; Stands-WUO_ERR'!A196, ":"))))</f>
        <v/>
      </c>
    </row>
    <row r="197">
      <c r="A197" s="39">
        <f>IF('3 - Carts &amp; Stands'!B197 = "", "", IF('3 - Carts &amp; Stands-WUO_ERR'!A197 = "", "Validated", HYPERLINK("#" &amp; ADDRESS(197, '3 - Carts &amp; Stands-WUO_TRK'!A197),_xlfn.TEXTAFTER('3 - Carts &amp; Stands-WUO_ERR'!A197, ":"))))</f>
        <v/>
      </c>
    </row>
    <row r="198">
      <c r="A198" s="39">
        <f>IF('3 - Carts &amp; Stands'!B198 = "", "", IF('3 - Carts &amp; Stands-WUO_ERR'!A198 = "", "Validated", HYPERLINK("#" &amp; ADDRESS(198, '3 - Carts &amp; Stands-WUO_TRK'!A198),_xlfn.TEXTAFTER('3 - Carts &amp; Stands-WUO_ERR'!A198, ":"))))</f>
        <v/>
      </c>
    </row>
    <row r="199">
      <c r="A199" s="39">
        <f>IF('3 - Carts &amp; Stands'!B199 = "", "", IF('3 - Carts &amp; Stands-WUO_ERR'!A199 = "", "Validated", HYPERLINK("#" &amp; ADDRESS(199, '3 - Carts &amp; Stands-WUO_TRK'!A199),_xlfn.TEXTAFTER('3 - Carts &amp; Stands-WUO_ERR'!A199, ":"))))</f>
        <v/>
      </c>
    </row>
    <row r="200">
      <c r="A200" s="39">
        <f>IF('3 - Carts &amp; Stands'!B200 = "", "", IF('3 - Carts &amp; Stands-WUO_ERR'!A200 = "", "Validated", HYPERLINK("#" &amp; ADDRESS(200, '3 - Carts &amp; Stands-WUO_TRK'!A200),_xlfn.TEXTAFTER('3 - Carts &amp; Stands-WUO_ERR'!A200, ":"))))</f>
        <v/>
      </c>
    </row>
    <row r="201">
      <c r="A201" s="39">
        <f>IF('3 - Carts &amp; Stands'!B201 = "", "", IF('3 - Carts &amp; Stands-WUO_ERR'!A201 = "", "Validated", HYPERLINK("#" &amp; ADDRESS(201, '3 - Carts &amp; Stands-WUO_TRK'!A201),_xlfn.TEXTAFTER('3 - Carts &amp; Stands-WUO_ERR'!A201, ":"))))</f>
        <v/>
      </c>
    </row>
    <row r="202">
      <c r="A202" s="39">
        <f>IF('3 - Carts &amp; Stands'!B202 = "", "", IF('3 - Carts &amp; Stands-WUO_ERR'!A202 = "", "Validated", HYPERLINK("#" &amp; ADDRESS(202, '3 - Carts &amp; Stands-WUO_TRK'!A202),_xlfn.TEXTAFTER('3 - Carts &amp; Stands-WUO_ERR'!A202, ":"))))</f>
        <v/>
      </c>
    </row>
    <row r="203">
      <c r="A203" s="39">
        <f>IF('3 - Carts &amp; Stands'!B203 = "", "", IF('3 - Carts &amp; Stands-WUO_ERR'!A203 = "", "Validated", HYPERLINK("#" &amp; ADDRESS(203, '3 - Carts &amp; Stands-WUO_TRK'!A203),_xlfn.TEXTAFTER('3 - Carts &amp; Stands-WUO_ERR'!A203, ":"))))</f>
        <v/>
      </c>
    </row>
    <row r="204">
      <c r="A204" s="39">
        <f>IF('3 - Carts &amp; Stands'!B204 = "", "", IF('3 - Carts &amp; Stands-WUO_ERR'!A204 = "", "Validated", HYPERLINK("#" &amp; ADDRESS(204, '3 - Carts &amp; Stands-WUO_TRK'!A204),_xlfn.TEXTAFTER('3 - Carts &amp; Stands-WUO_ERR'!A204, ":"))))</f>
        <v/>
      </c>
    </row>
    <row r="205">
      <c r="A205" s="39">
        <f>IF('3 - Carts &amp; Stands'!B205 = "", "", IF('3 - Carts &amp; Stands-WUO_ERR'!A205 = "", "Validated", HYPERLINK("#" &amp; ADDRESS(205, '3 - Carts &amp; Stands-WUO_TRK'!A205),_xlfn.TEXTAFTER('3 - Carts &amp; Stands-WUO_ERR'!A205, ":"))))</f>
        <v/>
      </c>
    </row>
    <row r="206">
      <c r="A206" s="39">
        <f>IF('3 - Carts &amp; Stands'!B206 = "", "", IF('3 - Carts &amp; Stands-WUO_ERR'!A206 = "", "Validated", HYPERLINK("#" &amp; ADDRESS(206, '3 - Carts &amp; Stands-WUO_TRK'!A206),_xlfn.TEXTAFTER('3 - Carts &amp; Stands-WUO_ERR'!A206, ":"))))</f>
        <v/>
      </c>
    </row>
    <row r="207">
      <c r="A207" s="39">
        <f>IF('3 - Carts &amp; Stands'!B207 = "", "", IF('3 - Carts &amp; Stands-WUO_ERR'!A207 = "", "Validated", HYPERLINK("#" &amp; ADDRESS(207, '3 - Carts &amp; Stands-WUO_TRK'!A207),_xlfn.TEXTAFTER('3 - Carts &amp; Stands-WUO_ERR'!A207, ":"))))</f>
        <v/>
      </c>
    </row>
    <row r="208">
      <c r="A208" s="39">
        <f>IF('3 - Carts &amp; Stands'!B208 = "", "", IF('3 - Carts &amp; Stands-WUO_ERR'!A208 = "", "Validated", HYPERLINK("#" &amp; ADDRESS(208, '3 - Carts &amp; Stands-WUO_TRK'!A208),_xlfn.TEXTAFTER('3 - Carts &amp; Stands-WUO_ERR'!A208, ":"))))</f>
        <v/>
      </c>
    </row>
    <row r="209">
      <c r="A209" s="39">
        <f>IF('3 - Carts &amp; Stands'!B209 = "", "", IF('3 - Carts &amp; Stands-WUO_ERR'!A209 = "", "Validated", HYPERLINK("#" &amp; ADDRESS(209, '3 - Carts &amp; Stands-WUO_TRK'!A209),_xlfn.TEXTAFTER('3 - Carts &amp; Stands-WUO_ERR'!A209, ":"))))</f>
        <v/>
      </c>
    </row>
    <row r="210">
      <c r="A210" s="39">
        <f>IF('3 - Carts &amp; Stands'!B210 = "", "", IF('3 - Carts &amp; Stands-WUO_ERR'!A210 = "", "Validated", HYPERLINK("#" &amp; ADDRESS(210, '3 - Carts &amp; Stands-WUO_TRK'!A210),_xlfn.TEXTAFTER('3 - Carts &amp; Stands-WUO_ERR'!A210, ":"))))</f>
        <v/>
      </c>
    </row>
    <row r="211">
      <c r="A211" s="39">
        <f>IF('3 - Carts &amp; Stands'!B211 = "", "", IF('3 - Carts &amp; Stands-WUO_ERR'!A211 = "", "Validated", HYPERLINK("#" &amp; ADDRESS(211, '3 - Carts &amp; Stands-WUO_TRK'!A211),_xlfn.TEXTAFTER('3 - Carts &amp; Stands-WUO_ERR'!A211, ":"))))</f>
        <v/>
      </c>
    </row>
    <row r="212">
      <c r="A212" s="39">
        <f>IF('3 - Carts &amp; Stands'!B212 = "", "", IF('3 - Carts &amp; Stands-WUO_ERR'!A212 = "", "Validated", HYPERLINK("#" &amp; ADDRESS(212, '3 - Carts &amp; Stands-WUO_TRK'!A212),_xlfn.TEXTAFTER('3 - Carts &amp; Stands-WUO_ERR'!A212, ":"))))</f>
        <v/>
      </c>
    </row>
    <row r="213">
      <c r="A213" s="39">
        <f>IF('3 - Carts &amp; Stands'!B213 = "", "", IF('3 - Carts &amp; Stands-WUO_ERR'!A213 = "", "Validated", HYPERLINK("#" &amp; ADDRESS(213, '3 - Carts &amp; Stands-WUO_TRK'!A213),_xlfn.TEXTAFTER('3 - Carts &amp; Stands-WUO_ERR'!A213, ":"))))</f>
        <v/>
      </c>
    </row>
    <row r="214">
      <c r="A214" s="39">
        <f>IF('3 - Carts &amp; Stands'!B214 = "", "", IF('3 - Carts &amp; Stands-WUO_ERR'!A214 = "", "Validated", HYPERLINK("#" &amp; ADDRESS(214, '3 - Carts &amp; Stands-WUO_TRK'!A214),_xlfn.TEXTAFTER('3 - Carts &amp; Stands-WUO_ERR'!A214, ":"))))</f>
        <v/>
      </c>
    </row>
    <row r="215">
      <c r="A215" s="39">
        <f>IF('3 - Carts &amp; Stands'!B215 = "", "", IF('3 - Carts &amp; Stands-WUO_ERR'!A215 = "", "Validated", HYPERLINK("#" &amp; ADDRESS(215, '3 - Carts &amp; Stands-WUO_TRK'!A215),_xlfn.TEXTAFTER('3 - Carts &amp; Stands-WUO_ERR'!A215, ":"))))</f>
        <v/>
      </c>
    </row>
    <row r="216">
      <c r="A216" s="39">
        <f>IF('3 - Carts &amp; Stands'!B216 = "", "", IF('3 - Carts &amp; Stands-WUO_ERR'!A216 = "", "Validated", HYPERLINK("#" &amp; ADDRESS(216, '3 - Carts &amp; Stands-WUO_TRK'!A216),_xlfn.TEXTAFTER('3 - Carts &amp; Stands-WUO_ERR'!A216, ":"))))</f>
        <v/>
      </c>
    </row>
    <row r="217">
      <c r="A217" s="39">
        <f>IF('3 - Carts &amp; Stands'!B217 = "", "", IF('3 - Carts &amp; Stands-WUO_ERR'!A217 = "", "Validated", HYPERLINK("#" &amp; ADDRESS(217, '3 - Carts &amp; Stands-WUO_TRK'!A217),_xlfn.TEXTAFTER('3 - Carts &amp; Stands-WUO_ERR'!A217, ":"))))</f>
        <v/>
      </c>
    </row>
    <row r="218">
      <c r="A218" s="39">
        <f>IF('3 - Carts &amp; Stands'!B218 = "", "", IF('3 - Carts &amp; Stands-WUO_ERR'!A218 = "", "Validated", HYPERLINK("#" &amp; ADDRESS(218, '3 - Carts &amp; Stands-WUO_TRK'!A218),_xlfn.TEXTAFTER('3 - Carts &amp; Stands-WUO_ERR'!A218, ":"))))</f>
        <v/>
      </c>
    </row>
    <row r="219">
      <c r="A219" s="39">
        <f>IF('3 - Carts &amp; Stands'!B219 = "", "", IF('3 - Carts &amp; Stands-WUO_ERR'!A219 = "", "Validated", HYPERLINK("#" &amp; ADDRESS(219, '3 - Carts &amp; Stands-WUO_TRK'!A219),_xlfn.TEXTAFTER('3 - Carts &amp; Stands-WUO_ERR'!A219, ":"))))</f>
        <v/>
      </c>
    </row>
    <row r="220">
      <c r="A220" s="39">
        <f>IF('3 - Carts &amp; Stands'!B220 = "", "", IF('3 - Carts &amp; Stands-WUO_ERR'!A220 = "", "Validated", HYPERLINK("#" &amp; ADDRESS(220, '3 - Carts &amp; Stands-WUO_TRK'!A220),_xlfn.TEXTAFTER('3 - Carts &amp; Stands-WUO_ERR'!A220, ":"))))</f>
        <v/>
      </c>
    </row>
    <row r="221">
      <c r="A221" s="39">
        <f>IF('3 - Carts &amp; Stands'!B221 = "", "", IF('3 - Carts &amp; Stands-WUO_ERR'!A221 = "", "Validated", HYPERLINK("#" &amp; ADDRESS(221, '3 - Carts &amp; Stands-WUO_TRK'!A221),_xlfn.TEXTAFTER('3 - Carts &amp; Stands-WUO_ERR'!A221, ":"))))</f>
        <v/>
      </c>
    </row>
    <row r="222">
      <c r="A222" s="39">
        <f>IF('3 - Carts &amp; Stands'!B222 = "", "", IF('3 - Carts &amp; Stands-WUO_ERR'!A222 = "", "Validated", HYPERLINK("#" &amp; ADDRESS(222, '3 - Carts &amp; Stands-WUO_TRK'!A222),_xlfn.TEXTAFTER('3 - Carts &amp; Stands-WUO_ERR'!A222, ":"))))</f>
        <v/>
      </c>
    </row>
    <row r="223">
      <c r="A223" s="39">
        <f>IF('3 - Carts &amp; Stands'!B223 = "", "", IF('3 - Carts &amp; Stands-WUO_ERR'!A223 = "", "Validated", HYPERLINK("#" &amp; ADDRESS(223, '3 - Carts &amp; Stands-WUO_TRK'!A223),_xlfn.TEXTAFTER('3 - Carts &amp; Stands-WUO_ERR'!A223, ":"))))</f>
        <v/>
      </c>
    </row>
    <row r="224">
      <c r="A224" s="39">
        <f>IF('3 - Carts &amp; Stands'!B224 = "", "", IF('3 - Carts &amp; Stands-WUO_ERR'!A224 = "", "Validated", HYPERLINK("#" &amp; ADDRESS(224, '3 - Carts &amp; Stands-WUO_TRK'!A224),_xlfn.TEXTAFTER('3 - Carts &amp; Stands-WUO_ERR'!A224, ":"))))</f>
        <v/>
      </c>
    </row>
    <row r="225">
      <c r="A225" s="39">
        <f>IF('3 - Carts &amp; Stands'!B225 = "", "", IF('3 - Carts &amp; Stands-WUO_ERR'!A225 = "", "Validated", HYPERLINK("#" &amp; ADDRESS(225, '3 - Carts &amp; Stands-WUO_TRK'!A225),_xlfn.TEXTAFTER('3 - Carts &amp; Stands-WUO_ERR'!A225, ":"))))</f>
        <v/>
      </c>
    </row>
    <row r="226">
      <c r="A226" s="39">
        <f>IF('3 - Carts &amp; Stands'!B226 = "", "", IF('3 - Carts &amp; Stands-WUO_ERR'!A226 = "", "Validated", HYPERLINK("#" &amp; ADDRESS(226, '3 - Carts &amp; Stands-WUO_TRK'!A226),_xlfn.TEXTAFTER('3 - Carts &amp; Stands-WUO_ERR'!A226, ":"))))</f>
        <v/>
      </c>
    </row>
    <row r="227">
      <c r="A227" s="39">
        <f>IF('3 - Carts &amp; Stands'!B227 = "", "", IF('3 - Carts &amp; Stands-WUO_ERR'!A227 = "", "Validated", HYPERLINK("#" &amp; ADDRESS(227, '3 - Carts &amp; Stands-WUO_TRK'!A227),_xlfn.TEXTAFTER('3 - Carts &amp; Stands-WUO_ERR'!A227, ":"))))</f>
        <v/>
      </c>
    </row>
    <row r="228">
      <c r="A228" s="39">
        <f>IF('3 - Carts &amp; Stands'!B228 = "", "", IF('3 - Carts &amp; Stands-WUO_ERR'!A228 = "", "Validated", HYPERLINK("#" &amp; ADDRESS(228, '3 - Carts &amp; Stands-WUO_TRK'!A228),_xlfn.TEXTAFTER('3 - Carts &amp; Stands-WUO_ERR'!A228, ":"))))</f>
        <v/>
      </c>
    </row>
    <row r="229">
      <c r="A229" s="39">
        <f>IF('3 - Carts &amp; Stands'!B229 = "", "", IF('3 - Carts &amp; Stands-WUO_ERR'!A229 = "", "Validated", HYPERLINK("#" &amp; ADDRESS(229, '3 - Carts &amp; Stands-WUO_TRK'!A229),_xlfn.TEXTAFTER('3 - Carts &amp; Stands-WUO_ERR'!A229, ":"))))</f>
        <v/>
      </c>
    </row>
    <row r="230">
      <c r="A230" s="39">
        <f>IF('3 - Carts &amp; Stands'!B230 = "", "", IF('3 - Carts &amp; Stands-WUO_ERR'!A230 = "", "Validated", HYPERLINK("#" &amp; ADDRESS(230, '3 - Carts &amp; Stands-WUO_TRK'!A230),_xlfn.TEXTAFTER('3 - Carts &amp; Stands-WUO_ERR'!A230, ":"))))</f>
        <v/>
      </c>
    </row>
    <row r="231">
      <c r="A231" s="39">
        <f>IF('3 - Carts &amp; Stands'!B231 = "", "", IF('3 - Carts &amp; Stands-WUO_ERR'!A231 = "", "Validated", HYPERLINK("#" &amp; ADDRESS(231, '3 - Carts &amp; Stands-WUO_TRK'!A231),_xlfn.TEXTAFTER('3 - Carts &amp; Stands-WUO_ERR'!A231, ":"))))</f>
        <v/>
      </c>
    </row>
    <row r="232">
      <c r="A232" s="39">
        <f>IF('3 - Carts &amp; Stands'!B232 = "", "", IF('3 - Carts &amp; Stands-WUO_ERR'!A232 = "", "Validated", HYPERLINK("#" &amp; ADDRESS(232, '3 - Carts &amp; Stands-WUO_TRK'!A232),_xlfn.TEXTAFTER('3 - Carts &amp; Stands-WUO_ERR'!A232, ":"))))</f>
        <v/>
      </c>
    </row>
    <row r="233">
      <c r="A233" s="39">
        <f>IF('3 - Carts &amp; Stands'!B233 = "", "", IF('3 - Carts &amp; Stands-WUO_ERR'!A233 = "", "Validated", HYPERLINK("#" &amp; ADDRESS(233, '3 - Carts &amp; Stands-WUO_TRK'!A233),_xlfn.TEXTAFTER('3 - Carts &amp; Stands-WUO_ERR'!A233, ":"))))</f>
        <v/>
      </c>
    </row>
    <row r="234">
      <c r="A234" s="39">
        <f>IF('3 - Carts &amp; Stands'!B234 = "", "", IF('3 - Carts &amp; Stands-WUO_ERR'!A234 = "", "Validated", HYPERLINK("#" &amp; ADDRESS(234, '3 - Carts &amp; Stands-WUO_TRK'!A234),_xlfn.TEXTAFTER('3 - Carts &amp; Stands-WUO_ERR'!A234, ":"))))</f>
        <v/>
      </c>
    </row>
    <row r="235">
      <c r="A235" s="39">
        <f>IF('3 - Carts &amp; Stands'!B235 = "", "", IF('3 - Carts &amp; Stands-WUO_ERR'!A235 = "", "Validated", HYPERLINK("#" &amp; ADDRESS(235, '3 - Carts &amp; Stands-WUO_TRK'!A235),_xlfn.TEXTAFTER('3 - Carts &amp; Stands-WUO_ERR'!A235, ":"))))</f>
        <v/>
      </c>
    </row>
    <row r="236">
      <c r="A236" s="39">
        <f>IF('3 - Carts &amp; Stands'!B236 = "", "", IF('3 - Carts &amp; Stands-WUO_ERR'!A236 = "", "Validated", HYPERLINK("#" &amp; ADDRESS(236, '3 - Carts &amp; Stands-WUO_TRK'!A236),_xlfn.TEXTAFTER('3 - Carts &amp; Stands-WUO_ERR'!A236, ":"))))</f>
        <v/>
      </c>
    </row>
    <row r="237">
      <c r="A237" s="39">
        <f>IF('3 - Carts &amp; Stands'!B237 = "", "", IF('3 - Carts &amp; Stands-WUO_ERR'!A237 = "", "Validated", HYPERLINK("#" &amp; ADDRESS(237, '3 - Carts &amp; Stands-WUO_TRK'!A237),_xlfn.TEXTAFTER('3 - Carts &amp; Stands-WUO_ERR'!A237, ":"))))</f>
        <v/>
      </c>
    </row>
    <row r="238">
      <c r="A238" s="39">
        <f>IF('3 - Carts &amp; Stands'!B238 = "", "", IF('3 - Carts &amp; Stands-WUO_ERR'!A238 = "", "Validated", HYPERLINK("#" &amp; ADDRESS(238, '3 - Carts &amp; Stands-WUO_TRK'!A238),_xlfn.TEXTAFTER('3 - Carts &amp; Stands-WUO_ERR'!A238, ":"))))</f>
        <v/>
      </c>
    </row>
    <row r="239">
      <c r="A239" s="39">
        <f>IF('3 - Carts &amp; Stands'!B239 = "", "", IF('3 - Carts &amp; Stands-WUO_ERR'!A239 = "", "Validated", HYPERLINK("#" &amp; ADDRESS(239, '3 - Carts &amp; Stands-WUO_TRK'!A239),_xlfn.TEXTAFTER('3 - Carts &amp; Stands-WUO_ERR'!A239, ":"))))</f>
        <v/>
      </c>
    </row>
    <row r="240">
      <c r="A240" s="39">
        <f>IF('3 - Carts &amp; Stands'!B240 = "", "", IF('3 - Carts &amp; Stands-WUO_ERR'!A240 = "", "Validated", HYPERLINK("#" &amp; ADDRESS(240, '3 - Carts &amp; Stands-WUO_TRK'!A240),_xlfn.TEXTAFTER('3 - Carts &amp; Stands-WUO_ERR'!A240, ":"))))</f>
        <v/>
      </c>
    </row>
    <row r="241">
      <c r="A241" s="39">
        <f>IF('3 - Carts &amp; Stands'!B241 = "", "", IF('3 - Carts &amp; Stands-WUO_ERR'!A241 = "", "Validated", HYPERLINK("#" &amp; ADDRESS(241, '3 - Carts &amp; Stands-WUO_TRK'!A241),_xlfn.TEXTAFTER('3 - Carts &amp; Stands-WUO_ERR'!A241, ":"))))</f>
        <v/>
      </c>
    </row>
    <row r="242">
      <c r="A242" s="39">
        <f>IF('3 - Carts &amp; Stands'!B242 = "", "", IF('3 - Carts &amp; Stands-WUO_ERR'!A242 = "", "Validated", HYPERLINK("#" &amp; ADDRESS(242, '3 - Carts &amp; Stands-WUO_TRK'!A242),_xlfn.TEXTAFTER('3 - Carts &amp; Stands-WUO_ERR'!A242, ":"))))</f>
        <v/>
      </c>
    </row>
    <row r="243">
      <c r="A243" s="39">
        <f>IF('3 - Carts &amp; Stands'!B243 = "", "", IF('3 - Carts &amp; Stands-WUO_ERR'!A243 = "", "Validated", HYPERLINK("#" &amp; ADDRESS(243, '3 - Carts &amp; Stands-WUO_TRK'!A243),_xlfn.TEXTAFTER('3 - Carts &amp; Stands-WUO_ERR'!A243, ":"))))</f>
        <v/>
      </c>
    </row>
    <row r="244">
      <c r="A244" s="39">
        <f>IF('3 - Carts &amp; Stands'!B244 = "", "", IF('3 - Carts &amp; Stands-WUO_ERR'!A244 = "", "Validated", HYPERLINK("#" &amp; ADDRESS(244, '3 - Carts &amp; Stands-WUO_TRK'!A244),_xlfn.TEXTAFTER('3 - Carts &amp; Stands-WUO_ERR'!A244, ":"))))</f>
        <v/>
      </c>
    </row>
    <row r="245">
      <c r="A245" s="39">
        <f>IF('3 - Carts &amp; Stands'!B245 = "", "", IF('3 - Carts &amp; Stands-WUO_ERR'!A245 = "", "Validated", HYPERLINK("#" &amp; ADDRESS(245, '3 - Carts &amp; Stands-WUO_TRK'!A245),_xlfn.TEXTAFTER('3 - Carts &amp; Stands-WUO_ERR'!A245, ":"))))</f>
        <v/>
      </c>
    </row>
    <row r="246">
      <c r="A246" s="39">
        <f>IF('3 - Carts &amp; Stands'!B246 = "", "", IF('3 - Carts &amp; Stands-WUO_ERR'!A246 = "", "Validated", HYPERLINK("#" &amp; ADDRESS(246, '3 - Carts &amp; Stands-WUO_TRK'!A246),_xlfn.TEXTAFTER('3 - Carts &amp; Stands-WUO_ERR'!A246, ":"))))</f>
        <v/>
      </c>
    </row>
    <row r="247">
      <c r="A247" s="39">
        <f>IF('3 - Carts &amp; Stands'!B247 = "", "", IF('3 - Carts &amp; Stands-WUO_ERR'!A247 = "", "Validated", HYPERLINK("#" &amp; ADDRESS(247, '3 - Carts &amp; Stands-WUO_TRK'!A247),_xlfn.TEXTAFTER('3 - Carts &amp; Stands-WUO_ERR'!A247, ":"))))</f>
        <v/>
      </c>
    </row>
    <row r="248">
      <c r="A248" s="39">
        <f>IF('3 - Carts &amp; Stands'!B248 = "", "", IF('3 - Carts &amp; Stands-WUO_ERR'!A248 = "", "Validated", HYPERLINK("#" &amp; ADDRESS(248, '3 - Carts &amp; Stands-WUO_TRK'!A248),_xlfn.TEXTAFTER('3 - Carts &amp; Stands-WUO_ERR'!A248, ":"))))</f>
        <v/>
      </c>
    </row>
    <row r="249">
      <c r="A249" s="39">
        <f>IF('3 - Carts &amp; Stands'!B249 = "", "", IF('3 - Carts &amp; Stands-WUO_ERR'!A249 = "", "Validated", HYPERLINK("#" &amp; ADDRESS(249, '3 - Carts &amp; Stands-WUO_TRK'!A249),_xlfn.TEXTAFTER('3 - Carts &amp; Stands-WUO_ERR'!A249, ":"))))</f>
        <v/>
      </c>
    </row>
    <row r="250">
      <c r="A250" s="39">
        <f>IF('3 - Carts &amp; Stands'!B250 = "", "", IF('3 - Carts &amp; Stands-WUO_ERR'!A250 = "", "Validated", HYPERLINK("#" &amp; ADDRESS(250, '3 - Carts &amp; Stands-WUO_TRK'!A250),_xlfn.TEXTAFTER('3 - Carts &amp; Stands-WUO_ERR'!A250, ":"))))</f>
        <v/>
      </c>
    </row>
    <row r="251">
      <c r="A251" s="39">
        <f>IF('3 - Carts &amp; Stands'!B251 = "", "", IF('3 - Carts &amp; Stands-WUO_ERR'!A251 = "", "Validated", HYPERLINK("#" &amp; ADDRESS(251, '3 - Carts &amp; Stands-WUO_TRK'!A251),_xlfn.TEXTAFTER('3 - Carts &amp; Stands-WUO_ERR'!A251, ":"))))</f>
        <v/>
      </c>
    </row>
    <row r="252">
      <c r="A252" s="39">
        <f>IF('3 - Carts &amp; Stands'!B252 = "", "", IF('3 - Carts &amp; Stands-WUO_ERR'!A252 = "", "Validated", HYPERLINK("#" &amp; ADDRESS(252, '3 - Carts &amp; Stands-WUO_TRK'!A252),_xlfn.TEXTAFTER('3 - Carts &amp; Stands-WUO_ERR'!A252, ":"))))</f>
        <v/>
      </c>
    </row>
    <row r="253">
      <c r="A253" s="39">
        <f>IF('3 - Carts &amp; Stands'!B253 = "", "", IF('3 - Carts &amp; Stands-WUO_ERR'!A253 = "", "Validated", HYPERLINK("#" &amp; ADDRESS(253, '3 - Carts &amp; Stands-WUO_TRK'!A253),_xlfn.TEXTAFTER('3 - Carts &amp; Stands-WUO_ERR'!A253, ":"))))</f>
        <v/>
      </c>
    </row>
    <row r="254">
      <c r="A254" s="39">
        <f>IF('3 - Carts &amp; Stands'!B254 = "", "", IF('3 - Carts &amp; Stands-WUO_ERR'!A254 = "", "Validated", HYPERLINK("#" &amp; ADDRESS(254, '3 - Carts &amp; Stands-WUO_TRK'!A254),_xlfn.TEXTAFTER('3 - Carts &amp; Stands-WUO_ERR'!A254, ":"))))</f>
        <v/>
      </c>
    </row>
    <row r="255">
      <c r="A255" s="39">
        <f>IF('3 - Carts &amp; Stands'!B255 = "", "", IF('3 - Carts &amp; Stands-WUO_ERR'!A255 = "", "Validated", HYPERLINK("#" &amp; ADDRESS(255, '3 - Carts &amp; Stands-WUO_TRK'!A255),_xlfn.TEXTAFTER('3 - Carts &amp; Stands-WUO_ERR'!A255, ":"))))</f>
        <v/>
      </c>
    </row>
    <row r="256">
      <c r="A256" s="39">
        <f>IF('3 - Carts &amp; Stands'!B256 = "", "", IF('3 - Carts &amp; Stands-WUO_ERR'!A256 = "", "Validated", HYPERLINK("#" &amp; ADDRESS(256, '3 - Carts &amp; Stands-WUO_TRK'!A256),_xlfn.TEXTAFTER('3 - Carts &amp; Stands-WUO_ERR'!A256, ":"))))</f>
        <v/>
      </c>
    </row>
    <row r="257">
      <c r="A257" s="39">
        <f>IF('3 - Carts &amp; Stands'!B257 = "", "", IF('3 - Carts &amp; Stands-WUO_ERR'!A257 = "", "Validated", HYPERLINK("#" &amp; ADDRESS(257, '3 - Carts &amp; Stands-WUO_TRK'!A257),_xlfn.TEXTAFTER('3 - Carts &amp; Stands-WUO_ERR'!A257, ":"))))</f>
        <v/>
      </c>
    </row>
    <row r="258">
      <c r="A258" s="39">
        <f>IF('3 - Carts &amp; Stands'!B258 = "", "", IF('3 - Carts &amp; Stands-WUO_ERR'!A258 = "", "Validated", HYPERLINK("#" &amp; ADDRESS(258, '3 - Carts &amp; Stands-WUO_TRK'!A258),_xlfn.TEXTAFTER('3 - Carts &amp; Stands-WUO_ERR'!A258, ":"))))</f>
        <v/>
      </c>
    </row>
    <row r="259">
      <c r="A259" s="39">
        <f>IF('3 - Carts &amp; Stands'!B259 = "", "", IF('3 - Carts &amp; Stands-WUO_ERR'!A259 = "", "Validated", HYPERLINK("#" &amp; ADDRESS(259, '3 - Carts &amp; Stands-WUO_TRK'!A259),_xlfn.TEXTAFTER('3 - Carts &amp; Stands-WUO_ERR'!A259, ":"))))</f>
        <v/>
      </c>
    </row>
    <row r="260">
      <c r="A260" s="39">
        <f>IF('3 - Carts &amp; Stands'!B260 = "", "", IF('3 - Carts &amp; Stands-WUO_ERR'!A260 = "", "Validated", HYPERLINK("#" &amp; ADDRESS(260, '3 - Carts &amp; Stands-WUO_TRK'!A260),_xlfn.TEXTAFTER('3 - Carts &amp; Stands-WUO_ERR'!A260, ":"))))</f>
        <v/>
      </c>
    </row>
    <row r="261">
      <c r="A261" s="39">
        <f>IF('3 - Carts &amp; Stands'!B261 = "", "", IF('3 - Carts &amp; Stands-WUO_ERR'!A261 = "", "Validated", HYPERLINK("#" &amp; ADDRESS(261, '3 - Carts &amp; Stands-WUO_TRK'!A261),_xlfn.TEXTAFTER('3 - Carts &amp; Stands-WUO_ERR'!A261, ":"))))</f>
        <v/>
      </c>
    </row>
    <row r="262">
      <c r="A262" s="39">
        <f>IF('3 - Carts &amp; Stands'!B262 = "", "", IF('3 - Carts &amp; Stands-WUO_ERR'!A262 = "", "Validated", HYPERLINK("#" &amp; ADDRESS(262, '3 - Carts &amp; Stands-WUO_TRK'!A262),_xlfn.TEXTAFTER('3 - Carts &amp; Stands-WUO_ERR'!A262, ":"))))</f>
        <v/>
      </c>
    </row>
    <row r="263">
      <c r="A263" s="39">
        <f>IF('3 - Carts &amp; Stands'!B263 = "", "", IF('3 - Carts &amp; Stands-WUO_ERR'!A263 = "", "Validated", HYPERLINK("#" &amp; ADDRESS(263, '3 - Carts &amp; Stands-WUO_TRK'!A263),_xlfn.TEXTAFTER('3 - Carts &amp; Stands-WUO_ERR'!A263, ":"))))</f>
        <v/>
      </c>
    </row>
    <row r="264">
      <c r="A264" s="39">
        <f>IF('3 - Carts &amp; Stands'!B264 = "", "", IF('3 - Carts &amp; Stands-WUO_ERR'!A264 = "", "Validated", HYPERLINK("#" &amp; ADDRESS(264, '3 - Carts &amp; Stands-WUO_TRK'!A264),_xlfn.TEXTAFTER('3 - Carts &amp; Stands-WUO_ERR'!A264, ":"))))</f>
        <v/>
      </c>
    </row>
    <row r="265">
      <c r="A265" s="39">
        <f>IF('3 - Carts &amp; Stands'!B265 = "", "", IF('3 - Carts &amp; Stands-WUO_ERR'!A265 = "", "Validated", HYPERLINK("#" &amp; ADDRESS(265, '3 - Carts &amp; Stands-WUO_TRK'!A265),_xlfn.TEXTAFTER('3 - Carts &amp; Stands-WUO_ERR'!A265, ":"))))</f>
        <v/>
      </c>
    </row>
    <row r="266">
      <c r="A266" s="39">
        <f>IF('3 - Carts &amp; Stands'!B266 = "", "", IF('3 - Carts &amp; Stands-WUO_ERR'!A266 = "", "Validated", HYPERLINK("#" &amp; ADDRESS(266, '3 - Carts &amp; Stands-WUO_TRK'!A266),_xlfn.TEXTAFTER('3 - Carts &amp; Stands-WUO_ERR'!A266, ":"))))</f>
        <v/>
      </c>
    </row>
    <row r="267">
      <c r="A267" s="39">
        <f>IF('3 - Carts &amp; Stands'!B267 = "", "", IF('3 - Carts &amp; Stands-WUO_ERR'!A267 = "", "Validated", HYPERLINK("#" &amp; ADDRESS(267, '3 - Carts &amp; Stands-WUO_TRK'!A267),_xlfn.TEXTAFTER('3 - Carts &amp; Stands-WUO_ERR'!A267, ":"))))</f>
        <v/>
      </c>
    </row>
    <row r="268">
      <c r="A268" s="39">
        <f>IF('3 - Carts &amp; Stands'!B268 = "", "", IF('3 - Carts &amp; Stands-WUO_ERR'!A268 = "", "Validated", HYPERLINK("#" &amp; ADDRESS(268, '3 - Carts &amp; Stands-WUO_TRK'!A268),_xlfn.TEXTAFTER('3 - Carts &amp; Stands-WUO_ERR'!A268, ":"))))</f>
        <v/>
      </c>
    </row>
    <row r="269">
      <c r="A269" s="39">
        <f>IF('3 - Carts &amp; Stands'!B269 = "", "", IF('3 - Carts &amp; Stands-WUO_ERR'!A269 = "", "Validated", HYPERLINK("#" &amp; ADDRESS(269, '3 - Carts &amp; Stands-WUO_TRK'!A269),_xlfn.TEXTAFTER('3 - Carts &amp; Stands-WUO_ERR'!A269, ":"))))</f>
        <v/>
      </c>
    </row>
    <row r="270">
      <c r="A270" s="39">
        <f>IF('3 - Carts &amp; Stands'!B270 = "", "", IF('3 - Carts &amp; Stands-WUO_ERR'!A270 = "", "Validated", HYPERLINK("#" &amp; ADDRESS(270, '3 - Carts &amp; Stands-WUO_TRK'!A270),_xlfn.TEXTAFTER('3 - Carts &amp; Stands-WUO_ERR'!A270, ":"))))</f>
        <v/>
      </c>
    </row>
    <row r="271">
      <c r="A271" s="39">
        <f>IF('3 - Carts &amp; Stands'!B271 = "", "", IF('3 - Carts &amp; Stands-WUO_ERR'!A271 = "", "Validated", HYPERLINK("#" &amp; ADDRESS(271, '3 - Carts &amp; Stands-WUO_TRK'!A271),_xlfn.TEXTAFTER('3 - Carts &amp; Stands-WUO_ERR'!A271, ":"))))</f>
        <v/>
      </c>
    </row>
    <row r="272">
      <c r="A272" s="39">
        <f>IF('3 - Carts &amp; Stands'!B272 = "", "", IF('3 - Carts &amp; Stands-WUO_ERR'!A272 = "", "Validated", HYPERLINK("#" &amp; ADDRESS(272, '3 - Carts &amp; Stands-WUO_TRK'!A272),_xlfn.TEXTAFTER('3 - Carts &amp; Stands-WUO_ERR'!A272, ":"))))</f>
        <v/>
      </c>
    </row>
    <row r="273">
      <c r="A273" s="39">
        <f>IF('3 - Carts &amp; Stands'!B273 = "", "", IF('3 - Carts &amp; Stands-WUO_ERR'!A273 = "", "Validated", HYPERLINK("#" &amp; ADDRESS(273, '3 - Carts &amp; Stands-WUO_TRK'!A273),_xlfn.TEXTAFTER('3 - Carts &amp; Stands-WUO_ERR'!A273, ":"))))</f>
        <v/>
      </c>
    </row>
    <row r="274">
      <c r="A274" s="39">
        <f>IF('3 - Carts &amp; Stands'!B274 = "", "", IF('3 - Carts &amp; Stands-WUO_ERR'!A274 = "", "Validated", HYPERLINK("#" &amp; ADDRESS(274, '3 - Carts &amp; Stands-WUO_TRK'!A274),_xlfn.TEXTAFTER('3 - Carts &amp; Stands-WUO_ERR'!A274, ":"))))</f>
        <v/>
      </c>
    </row>
    <row r="275">
      <c r="A275" s="39">
        <f>IF('3 - Carts &amp; Stands'!B275 = "", "", IF('3 - Carts &amp; Stands-WUO_ERR'!A275 = "", "Validated", HYPERLINK("#" &amp; ADDRESS(275, '3 - Carts &amp; Stands-WUO_TRK'!A275),_xlfn.TEXTAFTER('3 - Carts &amp; Stands-WUO_ERR'!A275, ":"))))</f>
        <v/>
      </c>
    </row>
    <row r="276">
      <c r="A276" s="39">
        <f>IF('3 - Carts &amp; Stands'!B276 = "", "", IF('3 - Carts &amp; Stands-WUO_ERR'!A276 = "", "Validated", HYPERLINK("#" &amp; ADDRESS(276, '3 - Carts &amp; Stands-WUO_TRK'!A276),_xlfn.TEXTAFTER('3 - Carts &amp; Stands-WUO_ERR'!A276, ":"))))</f>
        <v/>
      </c>
    </row>
    <row r="277">
      <c r="A277" s="39">
        <f>IF('3 - Carts &amp; Stands'!B277 = "", "", IF('3 - Carts &amp; Stands-WUO_ERR'!A277 = "", "Validated", HYPERLINK("#" &amp; ADDRESS(277, '3 - Carts &amp; Stands-WUO_TRK'!A277),_xlfn.TEXTAFTER('3 - Carts &amp; Stands-WUO_ERR'!A277, ":"))))</f>
        <v/>
      </c>
    </row>
    <row r="278">
      <c r="A278" s="39">
        <f>IF('3 - Carts &amp; Stands'!B278 = "", "", IF('3 - Carts &amp; Stands-WUO_ERR'!A278 = "", "Validated", HYPERLINK("#" &amp; ADDRESS(278, '3 - Carts &amp; Stands-WUO_TRK'!A278),_xlfn.TEXTAFTER('3 - Carts &amp; Stands-WUO_ERR'!A278, ":"))))</f>
        <v/>
      </c>
    </row>
    <row r="279">
      <c r="A279" s="39">
        <f>IF('3 - Carts &amp; Stands'!B279 = "", "", IF('3 - Carts &amp; Stands-WUO_ERR'!A279 = "", "Validated", HYPERLINK("#" &amp; ADDRESS(279, '3 - Carts &amp; Stands-WUO_TRK'!A279),_xlfn.TEXTAFTER('3 - Carts &amp; Stands-WUO_ERR'!A279, ":"))))</f>
        <v/>
      </c>
    </row>
    <row r="280">
      <c r="A280" s="39">
        <f>IF('3 - Carts &amp; Stands'!B280 = "", "", IF('3 - Carts &amp; Stands-WUO_ERR'!A280 = "", "Validated", HYPERLINK("#" &amp; ADDRESS(280, '3 - Carts &amp; Stands-WUO_TRK'!A280),_xlfn.TEXTAFTER('3 - Carts &amp; Stands-WUO_ERR'!A280, ":"))))</f>
        <v/>
      </c>
    </row>
    <row r="281">
      <c r="A281" s="39">
        <f>IF('3 - Carts &amp; Stands'!B281 = "", "", IF('3 - Carts &amp; Stands-WUO_ERR'!A281 = "", "Validated", HYPERLINK("#" &amp; ADDRESS(281, '3 - Carts &amp; Stands-WUO_TRK'!A281),_xlfn.TEXTAFTER('3 - Carts &amp; Stands-WUO_ERR'!A281, ":"))))</f>
        <v/>
      </c>
    </row>
    <row r="282">
      <c r="A282" s="39">
        <f>IF('3 - Carts &amp; Stands'!B282 = "", "", IF('3 - Carts &amp; Stands-WUO_ERR'!A282 = "", "Validated", HYPERLINK("#" &amp; ADDRESS(282, '3 - Carts &amp; Stands-WUO_TRK'!A282),_xlfn.TEXTAFTER('3 - Carts &amp; Stands-WUO_ERR'!A282, ":"))))</f>
        <v/>
      </c>
    </row>
    <row r="283">
      <c r="A283" s="39">
        <f>IF('3 - Carts &amp; Stands'!B283 = "", "", IF('3 - Carts &amp; Stands-WUO_ERR'!A283 = "", "Validated", HYPERLINK("#" &amp; ADDRESS(283, '3 - Carts &amp; Stands-WUO_TRK'!A283),_xlfn.TEXTAFTER('3 - Carts &amp; Stands-WUO_ERR'!A283, ":"))))</f>
        <v/>
      </c>
    </row>
    <row r="284">
      <c r="A284" s="39">
        <f>IF('3 - Carts &amp; Stands'!B284 = "", "", IF('3 - Carts &amp; Stands-WUO_ERR'!A284 = "", "Validated", HYPERLINK("#" &amp; ADDRESS(284, '3 - Carts &amp; Stands-WUO_TRK'!A284),_xlfn.TEXTAFTER('3 - Carts &amp; Stands-WUO_ERR'!A284, ":"))))</f>
        <v/>
      </c>
    </row>
    <row r="285">
      <c r="A285" s="39">
        <f>IF('3 - Carts &amp; Stands'!B285 = "", "", IF('3 - Carts &amp; Stands-WUO_ERR'!A285 = "", "Validated", HYPERLINK("#" &amp; ADDRESS(285, '3 - Carts &amp; Stands-WUO_TRK'!A285),_xlfn.TEXTAFTER('3 - Carts &amp; Stands-WUO_ERR'!A285, ":"))))</f>
        <v/>
      </c>
    </row>
    <row r="286">
      <c r="A286" s="39">
        <f>IF('3 - Carts &amp; Stands'!B286 = "", "", IF('3 - Carts &amp; Stands-WUO_ERR'!A286 = "", "Validated", HYPERLINK("#" &amp; ADDRESS(286, '3 - Carts &amp; Stands-WUO_TRK'!A286),_xlfn.TEXTAFTER('3 - Carts &amp; Stands-WUO_ERR'!A286, ":"))))</f>
        <v/>
      </c>
    </row>
    <row r="287">
      <c r="A287" s="39">
        <f>IF('3 - Carts &amp; Stands'!B287 = "", "", IF('3 - Carts &amp; Stands-WUO_ERR'!A287 = "", "Validated", HYPERLINK("#" &amp; ADDRESS(287, '3 - Carts &amp; Stands-WUO_TRK'!A287),_xlfn.TEXTAFTER('3 - Carts &amp; Stands-WUO_ERR'!A287, ":"))))</f>
        <v/>
      </c>
    </row>
    <row r="288">
      <c r="A288" s="39">
        <f>IF('3 - Carts &amp; Stands'!B288 = "", "", IF('3 - Carts &amp; Stands-WUO_ERR'!A288 = "", "Validated", HYPERLINK("#" &amp; ADDRESS(288, '3 - Carts &amp; Stands-WUO_TRK'!A288),_xlfn.TEXTAFTER('3 - Carts &amp; Stands-WUO_ERR'!A288, ":"))))</f>
        <v/>
      </c>
    </row>
    <row r="289">
      <c r="A289" s="39">
        <f>IF('3 - Carts &amp; Stands'!B289 = "", "", IF('3 - Carts &amp; Stands-WUO_ERR'!A289 = "", "Validated", HYPERLINK("#" &amp; ADDRESS(289, '3 - Carts &amp; Stands-WUO_TRK'!A289),_xlfn.TEXTAFTER('3 - Carts &amp; Stands-WUO_ERR'!A289, ":"))))</f>
        <v/>
      </c>
    </row>
    <row r="290">
      <c r="A290" s="39">
        <f>IF('3 - Carts &amp; Stands'!B290 = "", "", IF('3 - Carts &amp; Stands-WUO_ERR'!A290 = "", "Validated", HYPERLINK("#" &amp; ADDRESS(290, '3 - Carts &amp; Stands-WUO_TRK'!A290),_xlfn.TEXTAFTER('3 - Carts &amp; Stands-WUO_ERR'!A290, ":"))))</f>
        <v/>
      </c>
    </row>
    <row r="291">
      <c r="A291" s="39">
        <f>IF('3 - Carts &amp; Stands'!B291 = "", "", IF('3 - Carts &amp; Stands-WUO_ERR'!A291 = "", "Validated", HYPERLINK("#" &amp; ADDRESS(291, '3 - Carts &amp; Stands-WUO_TRK'!A291),_xlfn.TEXTAFTER('3 - Carts &amp; Stands-WUO_ERR'!A291, ":"))))</f>
        <v/>
      </c>
    </row>
    <row r="292">
      <c r="A292" s="39">
        <f>IF('3 - Carts &amp; Stands'!B292 = "", "", IF('3 - Carts &amp; Stands-WUO_ERR'!A292 = "", "Validated", HYPERLINK("#" &amp; ADDRESS(292, '3 - Carts &amp; Stands-WUO_TRK'!A292),_xlfn.TEXTAFTER('3 - Carts &amp; Stands-WUO_ERR'!A292, ":"))))</f>
        <v/>
      </c>
    </row>
    <row r="293">
      <c r="A293" s="39">
        <f>IF('3 - Carts &amp; Stands'!B293 = "", "", IF('3 - Carts &amp; Stands-WUO_ERR'!A293 = "", "Validated", HYPERLINK("#" &amp; ADDRESS(293, '3 - Carts &amp; Stands-WUO_TRK'!A293),_xlfn.TEXTAFTER('3 - Carts &amp; Stands-WUO_ERR'!A293, ":"))))</f>
        <v/>
      </c>
    </row>
    <row r="294">
      <c r="A294" s="39">
        <f>IF('3 - Carts &amp; Stands'!B294 = "", "", IF('3 - Carts &amp; Stands-WUO_ERR'!A294 = "", "Validated", HYPERLINK("#" &amp; ADDRESS(294, '3 - Carts &amp; Stands-WUO_TRK'!A294),_xlfn.TEXTAFTER('3 - Carts &amp; Stands-WUO_ERR'!A294, ":"))))</f>
        <v/>
      </c>
    </row>
    <row r="295">
      <c r="A295" s="39">
        <f>IF('3 - Carts &amp; Stands'!B295 = "", "", IF('3 - Carts &amp; Stands-WUO_ERR'!A295 = "", "Validated", HYPERLINK("#" &amp; ADDRESS(295, '3 - Carts &amp; Stands-WUO_TRK'!A295),_xlfn.TEXTAFTER('3 - Carts &amp; Stands-WUO_ERR'!A295, ":"))))</f>
        <v/>
      </c>
    </row>
    <row r="296">
      <c r="A296" s="39">
        <f>IF('3 - Carts &amp; Stands'!B296 = "", "", IF('3 - Carts &amp; Stands-WUO_ERR'!A296 = "", "Validated", HYPERLINK("#" &amp; ADDRESS(296, '3 - Carts &amp; Stands-WUO_TRK'!A296),_xlfn.TEXTAFTER('3 - Carts &amp; Stands-WUO_ERR'!A296, ":"))))</f>
        <v/>
      </c>
    </row>
    <row r="297">
      <c r="A297" s="39">
        <f>IF('3 - Carts &amp; Stands'!B297 = "", "", IF('3 - Carts &amp; Stands-WUO_ERR'!A297 = "", "Validated", HYPERLINK("#" &amp; ADDRESS(297, '3 - Carts &amp; Stands-WUO_TRK'!A297),_xlfn.TEXTAFTER('3 - Carts &amp; Stands-WUO_ERR'!A297, ":"))))</f>
        <v/>
      </c>
    </row>
    <row r="298">
      <c r="A298" s="39">
        <f>IF('3 - Carts &amp; Stands'!B298 = "", "", IF('3 - Carts &amp; Stands-WUO_ERR'!A298 = "", "Validated", HYPERLINK("#" &amp; ADDRESS(298, '3 - Carts &amp; Stands-WUO_TRK'!A298),_xlfn.TEXTAFTER('3 - Carts &amp; Stands-WUO_ERR'!A298, ":"))))</f>
        <v/>
      </c>
    </row>
    <row r="299">
      <c r="A299" s="39">
        <f>IF('3 - Carts &amp; Stands'!B299 = "", "", IF('3 - Carts &amp; Stands-WUO_ERR'!A299 = "", "Validated", HYPERLINK("#" &amp; ADDRESS(299, '3 - Carts &amp; Stands-WUO_TRK'!A299),_xlfn.TEXTAFTER('3 - Carts &amp; Stands-WUO_ERR'!A299, ":"))))</f>
        <v/>
      </c>
    </row>
    <row r="300">
      <c r="A300" s="39">
        <f>IF('3 - Carts &amp; Stands'!B300 = "", "", IF('3 - Carts &amp; Stands-WUO_ERR'!A300 = "", "Validated", HYPERLINK("#" &amp; ADDRESS(300, '3 - Carts &amp; Stands-WUO_TRK'!A300),_xlfn.TEXTAFTER('3 - Carts &amp; Stands-WUO_ERR'!A300, ":"))))</f>
        <v/>
      </c>
    </row>
    <row r="301">
      <c r="A301" s="39">
        <f>IF('3 - Carts &amp; Stands'!B301 = "", "", IF('3 - Carts &amp; Stands-WUO_ERR'!A301 = "", "Validated", HYPERLINK("#" &amp; ADDRESS(301, '3 - Carts &amp; Stands-WUO_TRK'!A301),_xlfn.TEXTAFTER('3 - Carts &amp; Stands-WUO_ERR'!A301, ":"))))</f>
        <v/>
      </c>
    </row>
    <row r="302">
      <c r="A302" s="39">
        <f>IF('3 - Carts &amp; Stands'!B302 = "", "", IF('3 - Carts &amp; Stands-WUO_ERR'!A302 = "", "Validated", HYPERLINK("#" &amp; ADDRESS(302, '3 - Carts &amp; Stands-WUO_TRK'!A302),_xlfn.TEXTAFTER('3 - Carts &amp; Stands-WUO_ERR'!A302, ":"))))</f>
        <v/>
      </c>
    </row>
    <row r="303">
      <c r="A303" s="39">
        <f>IF('3 - Carts &amp; Stands'!B303 = "", "", IF('3 - Carts &amp; Stands-WUO_ERR'!A303 = "", "Validated", HYPERLINK("#" &amp; ADDRESS(303, '3 - Carts &amp; Stands-WUO_TRK'!A303),_xlfn.TEXTAFTER('3 - Carts &amp; Stands-WUO_ERR'!A303, ":"))))</f>
        <v/>
      </c>
    </row>
    <row r="304">
      <c r="A304" s="39">
        <f>IF('3 - Carts &amp; Stands'!B304 = "", "", IF('3 - Carts &amp; Stands-WUO_ERR'!A304 = "", "Validated", HYPERLINK("#" &amp; ADDRESS(304, '3 - Carts &amp; Stands-WUO_TRK'!A304),_xlfn.TEXTAFTER('3 - Carts &amp; Stands-WUO_ERR'!A304, ":"))))</f>
        <v/>
      </c>
    </row>
    <row r="305">
      <c r="A305" s="39">
        <f>IF('3 - Carts &amp; Stands'!B305 = "", "", IF('3 - Carts &amp; Stands-WUO_ERR'!A305 = "", "Validated", HYPERLINK("#" &amp; ADDRESS(305, '3 - Carts &amp; Stands-WUO_TRK'!A305),_xlfn.TEXTAFTER('3 - Carts &amp; Stands-WUO_ERR'!A305, ":"))))</f>
        <v/>
      </c>
    </row>
    <row r="306">
      <c r="A306" s="39">
        <f>IF('3 - Carts &amp; Stands'!B306 = "", "", IF('3 - Carts &amp; Stands-WUO_ERR'!A306 = "", "Validated", HYPERLINK("#" &amp; ADDRESS(306, '3 - Carts &amp; Stands-WUO_TRK'!A306),_xlfn.TEXTAFTER('3 - Carts &amp; Stands-WUO_ERR'!A306, ":"))))</f>
        <v/>
      </c>
    </row>
    <row r="307">
      <c r="A307" s="39">
        <f>IF('3 - Carts &amp; Stands'!B307 = "", "", IF('3 - Carts &amp; Stands-WUO_ERR'!A307 = "", "Validated", HYPERLINK("#" &amp; ADDRESS(307, '3 - Carts &amp; Stands-WUO_TRK'!A307),_xlfn.TEXTAFTER('3 - Carts &amp; Stands-WUO_ERR'!A307, ":"))))</f>
        <v/>
      </c>
    </row>
    <row r="308">
      <c r="A308" s="39">
        <f>IF('3 - Carts &amp; Stands'!B308 = "", "", IF('3 - Carts &amp; Stands-WUO_ERR'!A308 = "", "Validated", HYPERLINK("#" &amp; ADDRESS(308, '3 - Carts &amp; Stands-WUO_TRK'!A308),_xlfn.TEXTAFTER('3 - Carts &amp; Stands-WUO_ERR'!A308, ":"))))</f>
        <v/>
      </c>
    </row>
    <row r="309">
      <c r="A309" s="39">
        <f>IF('3 - Carts &amp; Stands'!B309 = "", "", IF('3 - Carts &amp; Stands-WUO_ERR'!A309 = "", "Validated", HYPERLINK("#" &amp; ADDRESS(309, '3 - Carts &amp; Stands-WUO_TRK'!A309),_xlfn.TEXTAFTER('3 - Carts &amp; Stands-WUO_ERR'!A309, ":"))))</f>
        <v/>
      </c>
    </row>
    <row r="310">
      <c r="A310" s="39">
        <f>IF('3 - Carts &amp; Stands'!B310 = "", "", IF('3 - Carts &amp; Stands-WUO_ERR'!A310 = "", "Validated", HYPERLINK("#" &amp; ADDRESS(310, '3 - Carts &amp; Stands-WUO_TRK'!A310),_xlfn.TEXTAFTER('3 - Carts &amp; Stands-WUO_ERR'!A310, ":"))))</f>
        <v/>
      </c>
    </row>
    <row r="311">
      <c r="A311" s="39">
        <f>IF('3 - Carts &amp; Stands'!B311 = "", "", IF('3 - Carts &amp; Stands-WUO_ERR'!A311 = "", "Validated", HYPERLINK("#" &amp; ADDRESS(311, '3 - Carts &amp; Stands-WUO_TRK'!A311),_xlfn.TEXTAFTER('3 - Carts &amp; Stands-WUO_ERR'!A311, ":"))))</f>
        <v/>
      </c>
    </row>
    <row r="312">
      <c r="A312" s="39">
        <f>IF('3 - Carts &amp; Stands'!B312 = "", "", IF('3 - Carts &amp; Stands-WUO_ERR'!A312 = "", "Validated", HYPERLINK("#" &amp; ADDRESS(312, '3 - Carts &amp; Stands-WUO_TRK'!A312),_xlfn.TEXTAFTER('3 - Carts &amp; Stands-WUO_ERR'!A312, ":"))))</f>
        <v/>
      </c>
    </row>
    <row r="313">
      <c r="A313" s="39">
        <f>IF('3 - Carts &amp; Stands'!B313 = "", "", IF('3 - Carts &amp; Stands-WUO_ERR'!A313 = "", "Validated", HYPERLINK("#" &amp; ADDRESS(313, '3 - Carts &amp; Stands-WUO_TRK'!A313),_xlfn.TEXTAFTER('3 - Carts &amp; Stands-WUO_ERR'!A313, ":"))))</f>
        <v/>
      </c>
    </row>
    <row r="314">
      <c r="A314" s="39">
        <f>IF('3 - Carts &amp; Stands'!B314 = "", "", IF('3 - Carts &amp; Stands-WUO_ERR'!A314 = "", "Validated", HYPERLINK("#" &amp; ADDRESS(314, '3 - Carts &amp; Stands-WUO_TRK'!A314),_xlfn.TEXTAFTER('3 - Carts &amp; Stands-WUO_ERR'!A314, ":"))))</f>
        <v/>
      </c>
    </row>
    <row r="315">
      <c r="A315" s="39">
        <f>IF('3 - Carts &amp; Stands'!B315 = "", "", IF('3 - Carts &amp; Stands-WUO_ERR'!A315 = "", "Validated", HYPERLINK("#" &amp; ADDRESS(315, '3 - Carts &amp; Stands-WUO_TRK'!A315),_xlfn.TEXTAFTER('3 - Carts &amp; Stands-WUO_ERR'!A315, ":"))))</f>
        <v/>
      </c>
    </row>
    <row r="316">
      <c r="A316" s="39">
        <f>IF('3 - Carts &amp; Stands'!B316 = "", "", IF('3 - Carts &amp; Stands-WUO_ERR'!A316 = "", "Validated", HYPERLINK("#" &amp; ADDRESS(316, '3 - Carts &amp; Stands-WUO_TRK'!A316),_xlfn.TEXTAFTER('3 - Carts &amp; Stands-WUO_ERR'!A316, ":"))))</f>
        <v/>
      </c>
    </row>
    <row r="317">
      <c r="A317" s="39">
        <f>IF('3 - Carts &amp; Stands'!B317 = "", "", IF('3 - Carts &amp; Stands-WUO_ERR'!A317 = "", "Validated", HYPERLINK("#" &amp; ADDRESS(317, '3 - Carts &amp; Stands-WUO_TRK'!A317),_xlfn.TEXTAFTER('3 - Carts &amp; Stands-WUO_ERR'!A317, ":"))))</f>
        <v/>
      </c>
    </row>
    <row r="318">
      <c r="A318" s="39">
        <f>IF('3 - Carts &amp; Stands'!B318 = "", "", IF('3 - Carts &amp; Stands-WUO_ERR'!A318 = "", "Validated", HYPERLINK("#" &amp; ADDRESS(318, '3 - Carts &amp; Stands-WUO_TRK'!A318),_xlfn.TEXTAFTER('3 - Carts &amp; Stands-WUO_ERR'!A318, ":"))))</f>
        <v/>
      </c>
    </row>
    <row r="319">
      <c r="A319" s="39">
        <f>IF('3 - Carts &amp; Stands'!B319 = "", "", IF('3 - Carts &amp; Stands-WUO_ERR'!A319 = "", "Validated", HYPERLINK("#" &amp; ADDRESS(319, '3 - Carts &amp; Stands-WUO_TRK'!A319),_xlfn.TEXTAFTER('3 - Carts &amp; Stands-WUO_ERR'!A319, ":"))))</f>
        <v/>
      </c>
    </row>
    <row r="320">
      <c r="A320" s="39">
        <f>IF('3 - Carts &amp; Stands'!B320 = "", "", IF('3 - Carts &amp; Stands-WUO_ERR'!A320 = "", "Validated", HYPERLINK("#" &amp; ADDRESS(320, '3 - Carts &amp; Stands-WUO_TRK'!A320),_xlfn.TEXTAFTER('3 - Carts &amp; Stands-WUO_ERR'!A320, ":"))))</f>
        <v/>
      </c>
    </row>
    <row r="321">
      <c r="A321" s="39">
        <f>IF('3 - Carts &amp; Stands'!B321 = "", "", IF('3 - Carts &amp; Stands-WUO_ERR'!A321 = "", "Validated", HYPERLINK("#" &amp; ADDRESS(321, '3 - Carts &amp; Stands-WUO_TRK'!A321),_xlfn.TEXTAFTER('3 - Carts &amp; Stands-WUO_ERR'!A321, ":"))))</f>
        <v/>
      </c>
    </row>
    <row r="322">
      <c r="A322" s="39">
        <f>IF('3 - Carts &amp; Stands'!B322 = "", "", IF('3 - Carts &amp; Stands-WUO_ERR'!A322 = "", "Validated", HYPERLINK("#" &amp; ADDRESS(322, '3 - Carts &amp; Stands-WUO_TRK'!A322),_xlfn.TEXTAFTER('3 - Carts &amp; Stands-WUO_ERR'!A322, ":"))))</f>
        <v/>
      </c>
    </row>
    <row r="323">
      <c r="A323" s="39">
        <f>IF('3 - Carts &amp; Stands'!B323 = "", "", IF('3 - Carts &amp; Stands-WUO_ERR'!A323 = "", "Validated", HYPERLINK("#" &amp; ADDRESS(323, '3 - Carts &amp; Stands-WUO_TRK'!A323),_xlfn.TEXTAFTER('3 - Carts &amp; Stands-WUO_ERR'!A323, ":"))))</f>
        <v/>
      </c>
    </row>
    <row r="324">
      <c r="A324" s="39">
        <f>IF('3 - Carts &amp; Stands'!B324 = "", "", IF('3 - Carts &amp; Stands-WUO_ERR'!A324 = "", "Validated", HYPERLINK("#" &amp; ADDRESS(324, '3 - Carts &amp; Stands-WUO_TRK'!A324),_xlfn.TEXTAFTER('3 - Carts &amp; Stands-WUO_ERR'!A324, ":"))))</f>
        <v/>
      </c>
    </row>
    <row r="325">
      <c r="A325" s="39">
        <f>IF('3 - Carts &amp; Stands'!B325 = "", "", IF('3 - Carts &amp; Stands-WUO_ERR'!A325 = "", "Validated", HYPERLINK("#" &amp; ADDRESS(325, '3 - Carts &amp; Stands-WUO_TRK'!A325),_xlfn.TEXTAFTER('3 - Carts &amp; Stands-WUO_ERR'!A325, ":"))))</f>
        <v/>
      </c>
    </row>
    <row r="326">
      <c r="A326" s="39">
        <f>IF('3 - Carts &amp; Stands'!B326 = "", "", IF('3 - Carts &amp; Stands-WUO_ERR'!A326 = "", "Validated", HYPERLINK("#" &amp; ADDRESS(326, '3 - Carts &amp; Stands-WUO_TRK'!A326),_xlfn.TEXTAFTER('3 - Carts &amp; Stands-WUO_ERR'!A326, ":"))))</f>
        <v/>
      </c>
    </row>
    <row r="327">
      <c r="A327" s="39">
        <f>IF('3 - Carts &amp; Stands'!B327 = "", "", IF('3 - Carts &amp; Stands-WUO_ERR'!A327 = "", "Validated", HYPERLINK("#" &amp; ADDRESS(327, '3 - Carts &amp; Stands-WUO_TRK'!A327),_xlfn.TEXTAFTER('3 - Carts &amp; Stands-WUO_ERR'!A327, ":"))))</f>
        <v/>
      </c>
    </row>
    <row r="328">
      <c r="A328" s="39">
        <f>IF('3 - Carts &amp; Stands'!B328 = "", "", IF('3 - Carts &amp; Stands-WUO_ERR'!A328 = "", "Validated", HYPERLINK("#" &amp; ADDRESS(328, '3 - Carts &amp; Stands-WUO_TRK'!A328),_xlfn.TEXTAFTER('3 - Carts &amp; Stands-WUO_ERR'!A328, ":"))))</f>
        <v/>
      </c>
    </row>
    <row r="329">
      <c r="A329" s="39">
        <f>IF('3 - Carts &amp; Stands'!B329 = "", "", IF('3 - Carts &amp; Stands-WUO_ERR'!A329 = "", "Validated", HYPERLINK("#" &amp; ADDRESS(329, '3 - Carts &amp; Stands-WUO_TRK'!A329),_xlfn.TEXTAFTER('3 - Carts &amp; Stands-WUO_ERR'!A329, ":"))))</f>
        <v/>
      </c>
    </row>
    <row r="330">
      <c r="A330" s="39">
        <f>IF('3 - Carts &amp; Stands'!B330 = "", "", IF('3 - Carts &amp; Stands-WUO_ERR'!A330 = "", "Validated", HYPERLINK("#" &amp; ADDRESS(330, '3 - Carts &amp; Stands-WUO_TRK'!A330),_xlfn.TEXTAFTER('3 - Carts &amp; Stands-WUO_ERR'!A330, ":"))))</f>
        <v/>
      </c>
    </row>
    <row r="331">
      <c r="A331" s="39">
        <f>IF('3 - Carts &amp; Stands'!B331 = "", "", IF('3 - Carts &amp; Stands-WUO_ERR'!A331 = "", "Validated", HYPERLINK("#" &amp; ADDRESS(331, '3 - Carts &amp; Stands-WUO_TRK'!A331),_xlfn.TEXTAFTER('3 - Carts &amp; Stands-WUO_ERR'!A331, ":"))))</f>
        <v/>
      </c>
    </row>
    <row r="332">
      <c r="A332" s="39">
        <f>IF('3 - Carts &amp; Stands'!B332 = "", "", IF('3 - Carts &amp; Stands-WUO_ERR'!A332 = "", "Validated", HYPERLINK("#" &amp; ADDRESS(332, '3 - Carts &amp; Stands-WUO_TRK'!A332),_xlfn.TEXTAFTER('3 - Carts &amp; Stands-WUO_ERR'!A332, ":"))))</f>
        <v/>
      </c>
    </row>
    <row r="333">
      <c r="A333" s="39">
        <f>IF('3 - Carts &amp; Stands'!B333 = "", "", IF('3 - Carts &amp; Stands-WUO_ERR'!A333 = "", "Validated", HYPERLINK("#" &amp; ADDRESS(333, '3 - Carts &amp; Stands-WUO_TRK'!A333),_xlfn.TEXTAFTER('3 - Carts &amp; Stands-WUO_ERR'!A333, ":"))))</f>
        <v/>
      </c>
    </row>
    <row r="334">
      <c r="A334" s="39">
        <f>IF('3 - Carts &amp; Stands'!B334 = "", "", IF('3 - Carts &amp; Stands-WUO_ERR'!A334 = "", "Validated", HYPERLINK("#" &amp; ADDRESS(334, '3 - Carts &amp; Stands-WUO_TRK'!A334),_xlfn.TEXTAFTER('3 - Carts &amp; Stands-WUO_ERR'!A334, ":"))))</f>
        <v/>
      </c>
    </row>
    <row r="335">
      <c r="A335" s="39">
        <f>IF('3 - Carts &amp; Stands'!B335 = "", "", IF('3 - Carts &amp; Stands-WUO_ERR'!A335 = "", "Validated", HYPERLINK("#" &amp; ADDRESS(335, '3 - Carts &amp; Stands-WUO_TRK'!A335),_xlfn.TEXTAFTER('3 - Carts &amp; Stands-WUO_ERR'!A335, ":"))))</f>
        <v/>
      </c>
    </row>
    <row r="336">
      <c r="A336" s="39">
        <f>IF('3 - Carts &amp; Stands'!B336 = "", "", IF('3 - Carts &amp; Stands-WUO_ERR'!A336 = "", "Validated", HYPERLINK("#" &amp; ADDRESS(336, '3 - Carts &amp; Stands-WUO_TRK'!A336),_xlfn.TEXTAFTER('3 - Carts &amp; Stands-WUO_ERR'!A336, ":"))))</f>
        <v/>
      </c>
    </row>
    <row r="337">
      <c r="A337" s="39">
        <f>IF('3 - Carts &amp; Stands'!B337 = "", "", IF('3 - Carts &amp; Stands-WUO_ERR'!A337 = "", "Validated", HYPERLINK("#" &amp; ADDRESS(337, '3 - Carts &amp; Stands-WUO_TRK'!A337),_xlfn.TEXTAFTER('3 - Carts &amp; Stands-WUO_ERR'!A337, ":"))))</f>
        <v/>
      </c>
    </row>
    <row r="338">
      <c r="A338" s="39">
        <f>IF('3 - Carts &amp; Stands'!B338 = "", "", IF('3 - Carts &amp; Stands-WUO_ERR'!A338 = "", "Validated", HYPERLINK("#" &amp; ADDRESS(338, '3 - Carts &amp; Stands-WUO_TRK'!A338),_xlfn.TEXTAFTER('3 - Carts &amp; Stands-WUO_ERR'!A338, ":"))))</f>
        <v/>
      </c>
    </row>
    <row r="339">
      <c r="A339" s="39">
        <f>IF('3 - Carts &amp; Stands'!B339 = "", "", IF('3 - Carts &amp; Stands-WUO_ERR'!A339 = "", "Validated", HYPERLINK("#" &amp; ADDRESS(339, '3 - Carts &amp; Stands-WUO_TRK'!A339),_xlfn.TEXTAFTER('3 - Carts &amp; Stands-WUO_ERR'!A339, ":"))))</f>
        <v/>
      </c>
    </row>
    <row r="340">
      <c r="A340" s="39">
        <f>IF('3 - Carts &amp; Stands'!B340 = "", "", IF('3 - Carts &amp; Stands-WUO_ERR'!A340 = "", "Validated", HYPERLINK("#" &amp; ADDRESS(340, '3 - Carts &amp; Stands-WUO_TRK'!A340),_xlfn.TEXTAFTER('3 - Carts &amp; Stands-WUO_ERR'!A340, ":"))))</f>
        <v/>
      </c>
    </row>
    <row r="341">
      <c r="A341" s="39">
        <f>IF('3 - Carts &amp; Stands'!B341 = "", "", IF('3 - Carts &amp; Stands-WUO_ERR'!A341 = "", "Validated", HYPERLINK("#" &amp; ADDRESS(341, '3 - Carts &amp; Stands-WUO_TRK'!A341),_xlfn.TEXTAFTER('3 - Carts &amp; Stands-WUO_ERR'!A341, ":"))))</f>
        <v/>
      </c>
    </row>
    <row r="342">
      <c r="A342" s="39">
        <f>IF('3 - Carts &amp; Stands'!B342 = "", "", IF('3 - Carts &amp; Stands-WUO_ERR'!A342 = "", "Validated", HYPERLINK("#" &amp; ADDRESS(342, '3 - Carts &amp; Stands-WUO_TRK'!A342),_xlfn.TEXTAFTER('3 - Carts &amp; Stands-WUO_ERR'!A342, ":"))))</f>
        <v/>
      </c>
    </row>
    <row r="343">
      <c r="A343" s="39">
        <f>IF('3 - Carts &amp; Stands'!B343 = "", "", IF('3 - Carts &amp; Stands-WUO_ERR'!A343 = "", "Validated", HYPERLINK("#" &amp; ADDRESS(343, '3 - Carts &amp; Stands-WUO_TRK'!A343),_xlfn.TEXTAFTER('3 - Carts &amp; Stands-WUO_ERR'!A343, ":"))))</f>
        <v/>
      </c>
    </row>
    <row r="344">
      <c r="A344" s="39">
        <f>IF('3 - Carts &amp; Stands'!B344 = "", "", IF('3 - Carts &amp; Stands-WUO_ERR'!A344 = "", "Validated", HYPERLINK("#" &amp; ADDRESS(344, '3 - Carts &amp; Stands-WUO_TRK'!A344),_xlfn.TEXTAFTER('3 - Carts &amp; Stands-WUO_ERR'!A344, ":"))))</f>
        <v/>
      </c>
    </row>
    <row r="345">
      <c r="A345" s="39">
        <f>IF('3 - Carts &amp; Stands'!B345 = "", "", IF('3 - Carts &amp; Stands-WUO_ERR'!A345 = "", "Validated", HYPERLINK("#" &amp; ADDRESS(345, '3 - Carts &amp; Stands-WUO_TRK'!A345),_xlfn.TEXTAFTER('3 - Carts &amp; Stands-WUO_ERR'!A345, ":"))))</f>
        <v/>
      </c>
    </row>
    <row r="346">
      <c r="A346" s="39">
        <f>IF('3 - Carts &amp; Stands'!B346 = "", "", IF('3 - Carts &amp; Stands-WUO_ERR'!A346 = "", "Validated", HYPERLINK("#" &amp; ADDRESS(346, '3 - Carts &amp; Stands-WUO_TRK'!A346),_xlfn.TEXTAFTER('3 - Carts &amp; Stands-WUO_ERR'!A346, ":"))))</f>
        <v/>
      </c>
    </row>
    <row r="347">
      <c r="A347" s="39">
        <f>IF('3 - Carts &amp; Stands'!B347 = "", "", IF('3 - Carts &amp; Stands-WUO_ERR'!A347 = "", "Validated", HYPERLINK("#" &amp; ADDRESS(347, '3 - Carts &amp; Stands-WUO_TRK'!A347),_xlfn.TEXTAFTER('3 - Carts &amp; Stands-WUO_ERR'!A347, ":"))))</f>
        <v/>
      </c>
    </row>
    <row r="348">
      <c r="A348" s="39">
        <f>IF('3 - Carts &amp; Stands'!B348 = "", "", IF('3 - Carts &amp; Stands-WUO_ERR'!A348 = "", "Validated", HYPERLINK("#" &amp; ADDRESS(348, '3 - Carts &amp; Stands-WUO_TRK'!A348),_xlfn.TEXTAFTER('3 - Carts &amp; Stands-WUO_ERR'!A348, ":"))))</f>
        <v/>
      </c>
    </row>
    <row r="349">
      <c r="A349" s="39">
        <f>IF('3 - Carts &amp; Stands'!B349 = "", "", IF('3 - Carts &amp; Stands-WUO_ERR'!A349 = "", "Validated", HYPERLINK("#" &amp; ADDRESS(349, '3 - Carts &amp; Stands-WUO_TRK'!A349),_xlfn.TEXTAFTER('3 - Carts &amp; Stands-WUO_ERR'!A349, ":"))))</f>
        <v/>
      </c>
    </row>
    <row r="350">
      <c r="A350" s="39">
        <f>IF('3 - Carts &amp; Stands'!B350 = "", "", IF('3 - Carts &amp; Stands-WUO_ERR'!A350 = "", "Validated", HYPERLINK("#" &amp; ADDRESS(350, '3 - Carts &amp; Stands-WUO_TRK'!A350),_xlfn.TEXTAFTER('3 - Carts &amp; Stands-WUO_ERR'!A350, ":"))))</f>
        <v/>
      </c>
    </row>
    <row r="351">
      <c r="A351" s="39">
        <f>IF('3 - Carts &amp; Stands'!B351 = "", "", IF('3 - Carts &amp; Stands-WUO_ERR'!A351 = "", "Validated", HYPERLINK("#" &amp; ADDRESS(351, '3 - Carts &amp; Stands-WUO_TRK'!A351),_xlfn.TEXTAFTER('3 - Carts &amp; Stands-WUO_ERR'!A351, ":"))))</f>
        <v/>
      </c>
    </row>
    <row r="352">
      <c r="A352" s="39">
        <f>IF('3 - Carts &amp; Stands'!B352 = "", "", IF('3 - Carts &amp; Stands-WUO_ERR'!A352 = "", "Validated", HYPERLINK("#" &amp; ADDRESS(352, '3 - Carts &amp; Stands-WUO_TRK'!A352),_xlfn.TEXTAFTER('3 - Carts &amp; Stands-WUO_ERR'!A352, ":"))))</f>
        <v/>
      </c>
    </row>
    <row r="353">
      <c r="A353" s="39">
        <f>IF('3 - Carts &amp; Stands'!B353 = "", "", IF('3 - Carts &amp; Stands-WUO_ERR'!A353 = "", "Validated", HYPERLINK("#" &amp; ADDRESS(353, '3 - Carts &amp; Stands-WUO_TRK'!A353),_xlfn.TEXTAFTER('3 - Carts &amp; Stands-WUO_ERR'!A353, ":"))))</f>
        <v/>
      </c>
    </row>
    <row r="354">
      <c r="A354" s="39">
        <f>IF('3 - Carts &amp; Stands'!B354 = "", "", IF('3 - Carts &amp; Stands-WUO_ERR'!A354 = "", "Validated", HYPERLINK("#" &amp; ADDRESS(354, '3 - Carts &amp; Stands-WUO_TRK'!A354),_xlfn.TEXTAFTER('3 - Carts &amp; Stands-WUO_ERR'!A354, ":"))))</f>
        <v/>
      </c>
    </row>
    <row r="355">
      <c r="A355" s="39">
        <f>IF('3 - Carts &amp; Stands'!B355 = "", "", IF('3 - Carts &amp; Stands-WUO_ERR'!A355 = "", "Validated", HYPERLINK("#" &amp; ADDRESS(355, '3 - Carts &amp; Stands-WUO_TRK'!A355),_xlfn.TEXTAFTER('3 - Carts &amp; Stands-WUO_ERR'!A355, ":"))))</f>
        <v/>
      </c>
    </row>
    <row r="356">
      <c r="A356" s="39">
        <f>IF('3 - Carts &amp; Stands'!B356 = "", "", IF('3 - Carts &amp; Stands-WUO_ERR'!A356 = "", "Validated", HYPERLINK("#" &amp; ADDRESS(356, '3 - Carts &amp; Stands-WUO_TRK'!A356),_xlfn.TEXTAFTER('3 - Carts &amp; Stands-WUO_ERR'!A356, ":"))))</f>
        <v/>
      </c>
    </row>
    <row r="357">
      <c r="A357" s="39">
        <f>IF('3 - Carts &amp; Stands'!B357 = "", "", IF('3 - Carts &amp; Stands-WUO_ERR'!A357 = "", "Validated", HYPERLINK("#" &amp; ADDRESS(357, '3 - Carts &amp; Stands-WUO_TRK'!A357),_xlfn.TEXTAFTER('3 - Carts &amp; Stands-WUO_ERR'!A357, ":"))))</f>
        <v/>
      </c>
    </row>
    <row r="358">
      <c r="A358" s="39">
        <f>IF('3 - Carts &amp; Stands'!B358 = "", "", IF('3 - Carts &amp; Stands-WUO_ERR'!A358 = "", "Validated", HYPERLINK("#" &amp; ADDRESS(358, '3 - Carts &amp; Stands-WUO_TRK'!A358),_xlfn.TEXTAFTER('3 - Carts &amp; Stands-WUO_ERR'!A358, ":"))))</f>
        <v/>
      </c>
    </row>
    <row r="359">
      <c r="A359" s="39">
        <f>IF('3 - Carts &amp; Stands'!B359 = "", "", IF('3 - Carts &amp; Stands-WUO_ERR'!A359 = "", "Validated", HYPERLINK("#" &amp; ADDRESS(359, '3 - Carts &amp; Stands-WUO_TRK'!A359),_xlfn.TEXTAFTER('3 - Carts &amp; Stands-WUO_ERR'!A359, ":"))))</f>
        <v/>
      </c>
    </row>
    <row r="360">
      <c r="A360" s="39">
        <f>IF('3 - Carts &amp; Stands'!B360 = "", "", IF('3 - Carts &amp; Stands-WUO_ERR'!A360 = "", "Validated", HYPERLINK("#" &amp; ADDRESS(360, '3 - Carts &amp; Stands-WUO_TRK'!A360),_xlfn.TEXTAFTER('3 - Carts &amp; Stands-WUO_ERR'!A360, ":"))))</f>
        <v/>
      </c>
    </row>
    <row r="361">
      <c r="A361" s="39">
        <f>IF('3 - Carts &amp; Stands'!B361 = "", "", IF('3 - Carts &amp; Stands-WUO_ERR'!A361 = "", "Validated", HYPERLINK("#" &amp; ADDRESS(361, '3 - Carts &amp; Stands-WUO_TRK'!A361),_xlfn.TEXTAFTER('3 - Carts &amp; Stands-WUO_ERR'!A361, ":"))))</f>
        <v/>
      </c>
    </row>
    <row r="362">
      <c r="A362" s="39">
        <f>IF('3 - Carts &amp; Stands'!B362 = "", "", IF('3 - Carts &amp; Stands-WUO_ERR'!A362 = "", "Validated", HYPERLINK("#" &amp; ADDRESS(362, '3 - Carts &amp; Stands-WUO_TRK'!A362),_xlfn.TEXTAFTER('3 - Carts &amp; Stands-WUO_ERR'!A362, ":"))))</f>
        <v/>
      </c>
    </row>
    <row r="363">
      <c r="A363" s="39">
        <f>IF('3 - Carts &amp; Stands'!B363 = "", "", IF('3 - Carts &amp; Stands-WUO_ERR'!A363 = "", "Validated", HYPERLINK("#" &amp; ADDRESS(363, '3 - Carts &amp; Stands-WUO_TRK'!A363),_xlfn.TEXTAFTER('3 - Carts &amp; Stands-WUO_ERR'!A363, ":"))))</f>
        <v/>
      </c>
    </row>
    <row r="364">
      <c r="A364" s="39">
        <f>IF('3 - Carts &amp; Stands'!B364 = "", "", IF('3 - Carts &amp; Stands-WUO_ERR'!A364 = "", "Validated", HYPERLINK("#" &amp; ADDRESS(364, '3 - Carts &amp; Stands-WUO_TRK'!A364),_xlfn.TEXTAFTER('3 - Carts &amp; Stands-WUO_ERR'!A364, ":"))))</f>
        <v/>
      </c>
    </row>
    <row r="365">
      <c r="A365" s="39">
        <f>IF('3 - Carts &amp; Stands'!B365 = "", "", IF('3 - Carts &amp; Stands-WUO_ERR'!A365 = "", "Validated", HYPERLINK("#" &amp; ADDRESS(365, '3 - Carts &amp; Stands-WUO_TRK'!A365),_xlfn.TEXTAFTER('3 - Carts &amp; Stands-WUO_ERR'!A365, ":"))))</f>
        <v/>
      </c>
    </row>
    <row r="366">
      <c r="A366" s="39">
        <f>IF('3 - Carts &amp; Stands'!B366 = "", "", IF('3 - Carts &amp; Stands-WUO_ERR'!A366 = "", "Validated", HYPERLINK("#" &amp; ADDRESS(366, '3 - Carts &amp; Stands-WUO_TRK'!A366),_xlfn.TEXTAFTER('3 - Carts &amp; Stands-WUO_ERR'!A366, ":"))))</f>
        <v/>
      </c>
    </row>
    <row r="367">
      <c r="A367" s="39">
        <f>IF('3 - Carts &amp; Stands'!B367 = "", "", IF('3 - Carts &amp; Stands-WUO_ERR'!A367 = "", "Validated", HYPERLINK("#" &amp; ADDRESS(367, '3 - Carts &amp; Stands-WUO_TRK'!A367),_xlfn.TEXTAFTER('3 - Carts &amp; Stands-WUO_ERR'!A367, ":"))))</f>
        <v/>
      </c>
    </row>
    <row r="368">
      <c r="A368" s="39">
        <f>IF('3 - Carts &amp; Stands'!B368 = "", "", IF('3 - Carts &amp; Stands-WUO_ERR'!A368 = "", "Validated", HYPERLINK("#" &amp; ADDRESS(368, '3 - Carts &amp; Stands-WUO_TRK'!A368),_xlfn.TEXTAFTER('3 - Carts &amp; Stands-WUO_ERR'!A368, ":"))))</f>
        <v/>
      </c>
    </row>
    <row r="369">
      <c r="A369" s="39">
        <f>IF('3 - Carts &amp; Stands'!B369 = "", "", IF('3 - Carts &amp; Stands-WUO_ERR'!A369 = "", "Validated", HYPERLINK("#" &amp; ADDRESS(369, '3 - Carts &amp; Stands-WUO_TRK'!A369),_xlfn.TEXTAFTER('3 - Carts &amp; Stands-WUO_ERR'!A369, ":"))))</f>
        <v/>
      </c>
    </row>
    <row r="370">
      <c r="A370" s="39">
        <f>IF('3 - Carts &amp; Stands'!B370 = "", "", IF('3 - Carts &amp; Stands-WUO_ERR'!A370 = "", "Validated", HYPERLINK("#" &amp; ADDRESS(370, '3 - Carts &amp; Stands-WUO_TRK'!A370),_xlfn.TEXTAFTER('3 - Carts &amp; Stands-WUO_ERR'!A370, ":"))))</f>
        <v/>
      </c>
    </row>
    <row r="371">
      <c r="A371" s="39">
        <f>IF('3 - Carts &amp; Stands'!B371 = "", "", IF('3 - Carts &amp; Stands-WUO_ERR'!A371 = "", "Validated", HYPERLINK("#" &amp; ADDRESS(371, '3 - Carts &amp; Stands-WUO_TRK'!A371),_xlfn.TEXTAFTER('3 - Carts &amp; Stands-WUO_ERR'!A371, ":"))))</f>
        <v/>
      </c>
    </row>
    <row r="372">
      <c r="A372" s="39">
        <f>IF('3 - Carts &amp; Stands'!B372 = "", "", IF('3 - Carts &amp; Stands-WUO_ERR'!A372 = "", "Validated", HYPERLINK("#" &amp; ADDRESS(372, '3 - Carts &amp; Stands-WUO_TRK'!A372),_xlfn.TEXTAFTER('3 - Carts &amp; Stands-WUO_ERR'!A372, ":"))))</f>
        <v/>
      </c>
    </row>
    <row r="373">
      <c r="A373" s="39">
        <f>IF('3 - Carts &amp; Stands'!B373 = "", "", IF('3 - Carts &amp; Stands-WUO_ERR'!A373 = "", "Validated", HYPERLINK("#" &amp; ADDRESS(373, '3 - Carts &amp; Stands-WUO_TRK'!A373),_xlfn.TEXTAFTER('3 - Carts &amp; Stands-WUO_ERR'!A373, ":"))))</f>
        <v/>
      </c>
    </row>
    <row r="374">
      <c r="A374" s="39">
        <f>IF('3 - Carts &amp; Stands'!B374 = "", "", IF('3 - Carts &amp; Stands-WUO_ERR'!A374 = "", "Validated", HYPERLINK("#" &amp; ADDRESS(374, '3 - Carts &amp; Stands-WUO_TRK'!A374),_xlfn.TEXTAFTER('3 - Carts &amp; Stands-WUO_ERR'!A374, ":"))))</f>
        <v/>
      </c>
    </row>
    <row r="375">
      <c r="A375" s="39">
        <f>IF('3 - Carts &amp; Stands'!B375 = "", "", IF('3 - Carts &amp; Stands-WUO_ERR'!A375 = "", "Validated", HYPERLINK("#" &amp; ADDRESS(375, '3 - Carts &amp; Stands-WUO_TRK'!A375),_xlfn.TEXTAFTER('3 - Carts &amp; Stands-WUO_ERR'!A375, ":"))))</f>
        <v/>
      </c>
    </row>
    <row r="376">
      <c r="A376" s="39">
        <f>IF('3 - Carts &amp; Stands'!B376 = "", "", IF('3 - Carts &amp; Stands-WUO_ERR'!A376 = "", "Validated", HYPERLINK("#" &amp; ADDRESS(376, '3 - Carts &amp; Stands-WUO_TRK'!A376),_xlfn.TEXTAFTER('3 - Carts &amp; Stands-WUO_ERR'!A376, ":"))))</f>
        <v/>
      </c>
    </row>
    <row r="377">
      <c r="A377" s="39">
        <f>IF('3 - Carts &amp; Stands'!B377 = "", "", IF('3 - Carts &amp; Stands-WUO_ERR'!A377 = "", "Validated", HYPERLINK("#" &amp; ADDRESS(377, '3 - Carts &amp; Stands-WUO_TRK'!A377),_xlfn.TEXTAFTER('3 - Carts &amp; Stands-WUO_ERR'!A377, ":"))))</f>
        <v/>
      </c>
    </row>
    <row r="378">
      <c r="A378" s="39">
        <f>IF('3 - Carts &amp; Stands'!B378 = "", "", IF('3 - Carts &amp; Stands-WUO_ERR'!A378 = "", "Validated", HYPERLINK("#" &amp; ADDRESS(378, '3 - Carts &amp; Stands-WUO_TRK'!A378),_xlfn.TEXTAFTER('3 - Carts &amp; Stands-WUO_ERR'!A378, ":"))))</f>
        <v/>
      </c>
    </row>
    <row r="379">
      <c r="A379" s="39">
        <f>IF('3 - Carts &amp; Stands'!B379 = "", "", IF('3 - Carts &amp; Stands-WUO_ERR'!A379 = "", "Validated", HYPERLINK("#" &amp; ADDRESS(379, '3 - Carts &amp; Stands-WUO_TRK'!A379),_xlfn.TEXTAFTER('3 - Carts &amp; Stands-WUO_ERR'!A379, ":"))))</f>
        <v/>
      </c>
    </row>
    <row r="380">
      <c r="A380" s="39">
        <f>IF('3 - Carts &amp; Stands'!B380 = "", "", IF('3 - Carts &amp; Stands-WUO_ERR'!A380 = "", "Validated", HYPERLINK("#" &amp; ADDRESS(380, '3 - Carts &amp; Stands-WUO_TRK'!A380),_xlfn.TEXTAFTER('3 - Carts &amp; Stands-WUO_ERR'!A380, ":"))))</f>
        <v/>
      </c>
    </row>
    <row r="381">
      <c r="A381" s="39">
        <f>IF('3 - Carts &amp; Stands'!B381 = "", "", IF('3 - Carts &amp; Stands-WUO_ERR'!A381 = "", "Validated", HYPERLINK("#" &amp; ADDRESS(381, '3 - Carts &amp; Stands-WUO_TRK'!A381),_xlfn.TEXTAFTER('3 - Carts &amp; Stands-WUO_ERR'!A381, ":"))))</f>
        <v/>
      </c>
    </row>
    <row r="382">
      <c r="A382" s="39">
        <f>IF('3 - Carts &amp; Stands'!B382 = "", "", IF('3 - Carts &amp; Stands-WUO_ERR'!A382 = "", "Validated", HYPERLINK("#" &amp; ADDRESS(382, '3 - Carts &amp; Stands-WUO_TRK'!A382),_xlfn.TEXTAFTER('3 - Carts &amp; Stands-WUO_ERR'!A382, ":"))))</f>
        <v/>
      </c>
    </row>
    <row r="383">
      <c r="A383" s="39">
        <f>IF('3 - Carts &amp; Stands'!B383 = "", "", IF('3 - Carts &amp; Stands-WUO_ERR'!A383 = "", "Validated", HYPERLINK("#" &amp; ADDRESS(383, '3 - Carts &amp; Stands-WUO_TRK'!A383),_xlfn.TEXTAFTER('3 - Carts &amp; Stands-WUO_ERR'!A383, ":"))))</f>
        <v/>
      </c>
    </row>
    <row r="384">
      <c r="A384" s="39">
        <f>IF('3 - Carts &amp; Stands'!B384 = "", "", IF('3 - Carts &amp; Stands-WUO_ERR'!A384 = "", "Validated", HYPERLINK("#" &amp; ADDRESS(384, '3 - Carts &amp; Stands-WUO_TRK'!A384),_xlfn.TEXTAFTER('3 - Carts &amp; Stands-WUO_ERR'!A384, ":"))))</f>
        <v/>
      </c>
    </row>
    <row r="385">
      <c r="A385" s="39">
        <f>IF('3 - Carts &amp; Stands'!B385 = "", "", IF('3 - Carts &amp; Stands-WUO_ERR'!A385 = "", "Validated", HYPERLINK("#" &amp; ADDRESS(385, '3 - Carts &amp; Stands-WUO_TRK'!A385),_xlfn.TEXTAFTER('3 - Carts &amp; Stands-WUO_ERR'!A385, ":"))))</f>
        <v/>
      </c>
    </row>
    <row r="386">
      <c r="A386" s="39">
        <f>IF('3 - Carts &amp; Stands'!B386 = "", "", IF('3 - Carts &amp; Stands-WUO_ERR'!A386 = "", "Validated", HYPERLINK("#" &amp; ADDRESS(386, '3 - Carts &amp; Stands-WUO_TRK'!A386),_xlfn.TEXTAFTER('3 - Carts &amp; Stands-WUO_ERR'!A386, ":"))))</f>
        <v/>
      </c>
    </row>
    <row r="387">
      <c r="A387" s="39">
        <f>IF('3 - Carts &amp; Stands'!B387 = "", "", IF('3 - Carts &amp; Stands-WUO_ERR'!A387 = "", "Validated", HYPERLINK("#" &amp; ADDRESS(387, '3 - Carts &amp; Stands-WUO_TRK'!A387),_xlfn.TEXTAFTER('3 - Carts &amp; Stands-WUO_ERR'!A387, ":"))))</f>
        <v/>
      </c>
    </row>
    <row r="388">
      <c r="A388" s="39">
        <f>IF('3 - Carts &amp; Stands'!B388 = "", "", IF('3 - Carts &amp; Stands-WUO_ERR'!A388 = "", "Validated", HYPERLINK("#" &amp; ADDRESS(388, '3 - Carts &amp; Stands-WUO_TRK'!A388),_xlfn.TEXTAFTER('3 - Carts &amp; Stands-WUO_ERR'!A388, ":"))))</f>
        <v/>
      </c>
    </row>
    <row r="389">
      <c r="A389" s="39">
        <f>IF('3 - Carts &amp; Stands'!B389 = "", "", IF('3 - Carts &amp; Stands-WUO_ERR'!A389 = "", "Validated", HYPERLINK("#" &amp; ADDRESS(389, '3 - Carts &amp; Stands-WUO_TRK'!A389),_xlfn.TEXTAFTER('3 - Carts &amp; Stands-WUO_ERR'!A389, ":"))))</f>
        <v/>
      </c>
    </row>
    <row r="390">
      <c r="A390" s="39">
        <f>IF('3 - Carts &amp; Stands'!B390 = "", "", IF('3 - Carts &amp; Stands-WUO_ERR'!A390 = "", "Validated", HYPERLINK("#" &amp; ADDRESS(390, '3 - Carts &amp; Stands-WUO_TRK'!A390),_xlfn.TEXTAFTER('3 - Carts &amp; Stands-WUO_ERR'!A390, ":"))))</f>
        <v/>
      </c>
    </row>
    <row r="391">
      <c r="A391" s="39">
        <f>IF('3 - Carts &amp; Stands'!B391 = "", "", IF('3 - Carts &amp; Stands-WUO_ERR'!A391 = "", "Validated", HYPERLINK("#" &amp; ADDRESS(391, '3 - Carts &amp; Stands-WUO_TRK'!A391),_xlfn.TEXTAFTER('3 - Carts &amp; Stands-WUO_ERR'!A391, ":"))))</f>
        <v/>
      </c>
    </row>
    <row r="392">
      <c r="A392" s="39">
        <f>IF('3 - Carts &amp; Stands'!B392 = "", "", IF('3 - Carts &amp; Stands-WUO_ERR'!A392 = "", "Validated", HYPERLINK("#" &amp; ADDRESS(392, '3 - Carts &amp; Stands-WUO_TRK'!A392),_xlfn.TEXTAFTER('3 - Carts &amp; Stands-WUO_ERR'!A392, ":"))))</f>
        <v/>
      </c>
    </row>
    <row r="393">
      <c r="A393" s="39">
        <f>IF('3 - Carts &amp; Stands'!B393 = "", "", IF('3 - Carts &amp; Stands-WUO_ERR'!A393 = "", "Validated", HYPERLINK("#" &amp; ADDRESS(393, '3 - Carts &amp; Stands-WUO_TRK'!A393),_xlfn.TEXTAFTER('3 - Carts &amp; Stands-WUO_ERR'!A393, ":"))))</f>
        <v/>
      </c>
    </row>
    <row r="394">
      <c r="A394" s="39">
        <f>IF('3 - Carts &amp; Stands'!B394 = "", "", IF('3 - Carts &amp; Stands-WUO_ERR'!A394 = "", "Validated", HYPERLINK("#" &amp; ADDRESS(394, '3 - Carts &amp; Stands-WUO_TRK'!A394),_xlfn.TEXTAFTER('3 - Carts &amp; Stands-WUO_ERR'!A394, ":"))))</f>
        <v/>
      </c>
    </row>
    <row r="395">
      <c r="A395" s="39">
        <f>IF('3 - Carts &amp; Stands'!B395 = "", "", IF('3 - Carts &amp; Stands-WUO_ERR'!A395 = "", "Validated", HYPERLINK("#" &amp; ADDRESS(395, '3 - Carts &amp; Stands-WUO_TRK'!A395),_xlfn.TEXTAFTER('3 - Carts &amp; Stands-WUO_ERR'!A395, ":"))))</f>
        <v/>
      </c>
    </row>
    <row r="396">
      <c r="A396" s="39">
        <f>IF('3 - Carts &amp; Stands'!B396 = "", "", IF('3 - Carts &amp; Stands-WUO_ERR'!A396 = "", "Validated", HYPERLINK("#" &amp; ADDRESS(396, '3 - Carts &amp; Stands-WUO_TRK'!A396),_xlfn.TEXTAFTER('3 - Carts &amp; Stands-WUO_ERR'!A396, ":"))))</f>
        <v/>
      </c>
    </row>
    <row r="397">
      <c r="A397" s="39">
        <f>IF('3 - Carts &amp; Stands'!B397 = "", "", IF('3 - Carts &amp; Stands-WUO_ERR'!A397 = "", "Validated", HYPERLINK("#" &amp; ADDRESS(397, '3 - Carts &amp; Stands-WUO_TRK'!A397),_xlfn.TEXTAFTER('3 - Carts &amp; Stands-WUO_ERR'!A397, ":"))))</f>
        <v/>
      </c>
    </row>
    <row r="398">
      <c r="A398" s="39">
        <f>IF('3 - Carts &amp; Stands'!B398 = "", "", IF('3 - Carts &amp; Stands-WUO_ERR'!A398 = "", "Validated", HYPERLINK("#" &amp; ADDRESS(398, '3 - Carts &amp; Stands-WUO_TRK'!A398),_xlfn.TEXTAFTER('3 - Carts &amp; Stands-WUO_ERR'!A398, ":"))))</f>
        <v/>
      </c>
    </row>
    <row r="399">
      <c r="A399" s="39">
        <f>IF('3 - Carts &amp; Stands'!B399 = "", "", IF('3 - Carts &amp; Stands-WUO_ERR'!A399 = "", "Validated", HYPERLINK("#" &amp; ADDRESS(399, '3 - Carts &amp; Stands-WUO_TRK'!A399),_xlfn.TEXTAFTER('3 - Carts &amp; Stands-WUO_ERR'!A399, ":"))))</f>
        <v/>
      </c>
    </row>
    <row r="400">
      <c r="A400" s="39">
        <f>IF('3 - Carts &amp; Stands'!B400 = "", "", IF('3 - Carts &amp; Stands-WUO_ERR'!A400 = "", "Validated", HYPERLINK("#" &amp; ADDRESS(400, '3 - Carts &amp; Stands-WUO_TRK'!A400),_xlfn.TEXTAFTER('3 - Carts &amp; Stands-WUO_ERR'!A400, ":"))))</f>
        <v/>
      </c>
    </row>
    <row r="401">
      <c r="A401" s="39">
        <f>IF('3 - Carts &amp; Stands'!B401 = "", "", IF('3 - Carts &amp; Stands-WUO_ERR'!A401 = "", "Validated", HYPERLINK("#" &amp; ADDRESS(401, '3 - Carts &amp; Stands-WUO_TRK'!A401),_xlfn.TEXTAFTER('3 - Carts &amp; Stands-WUO_ERR'!A401, ":"))))</f>
        <v/>
      </c>
    </row>
    <row r="402">
      <c r="A402" s="39">
        <f>IF('3 - Carts &amp; Stands'!B402 = "", "", IF('3 - Carts &amp; Stands-WUO_ERR'!A402 = "", "Validated", HYPERLINK("#" &amp; ADDRESS(402, '3 - Carts &amp; Stands-WUO_TRK'!A402),_xlfn.TEXTAFTER('3 - Carts &amp; Stands-WUO_ERR'!A402, ":"))))</f>
        <v/>
      </c>
    </row>
    <row r="403">
      <c r="A403" s="39">
        <f>IF('3 - Carts &amp; Stands'!B403 = "", "", IF('3 - Carts &amp; Stands-WUO_ERR'!A403 = "", "Validated", HYPERLINK("#" &amp; ADDRESS(403, '3 - Carts &amp; Stands-WUO_TRK'!A403),_xlfn.TEXTAFTER('3 - Carts &amp; Stands-WUO_ERR'!A403, ":"))))</f>
        <v/>
      </c>
    </row>
    <row r="404">
      <c r="A404" s="39">
        <f>IF('3 - Carts &amp; Stands'!B404 = "", "", IF('3 - Carts &amp; Stands-WUO_ERR'!A404 = "", "Validated", HYPERLINK("#" &amp; ADDRESS(404, '3 - Carts &amp; Stands-WUO_TRK'!A404),_xlfn.TEXTAFTER('3 - Carts &amp; Stands-WUO_ERR'!A404, ":"))))</f>
        <v/>
      </c>
    </row>
    <row r="405">
      <c r="A405" s="39">
        <f>IF('3 - Carts &amp; Stands'!B405 = "", "", IF('3 - Carts &amp; Stands-WUO_ERR'!A405 = "", "Validated", HYPERLINK("#" &amp; ADDRESS(405, '3 - Carts &amp; Stands-WUO_TRK'!A405),_xlfn.TEXTAFTER('3 - Carts &amp; Stands-WUO_ERR'!A405, ":"))))</f>
        <v/>
      </c>
    </row>
    <row r="406">
      <c r="A406" s="39">
        <f>IF('3 - Carts &amp; Stands'!B406 = "", "", IF('3 - Carts &amp; Stands-WUO_ERR'!A406 = "", "Validated", HYPERLINK("#" &amp; ADDRESS(406, '3 - Carts &amp; Stands-WUO_TRK'!A406),_xlfn.TEXTAFTER('3 - Carts &amp; Stands-WUO_ERR'!A406, ":"))))</f>
        <v/>
      </c>
    </row>
    <row r="407">
      <c r="A407" s="39">
        <f>IF('3 - Carts &amp; Stands'!B407 = "", "", IF('3 - Carts &amp; Stands-WUO_ERR'!A407 = "", "Validated", HYPERLINK("#" &amp; ADDRESS(407, '3 - Carts &amp; Stands-WUO_TRK'!A407),_xlfn.TEXTAFTER('3 - Carts &amp; Stands-WUO_ERR'!A407, ":"))))</f>
        <v/>
      </c>
    </row>
    <row r="408">
      <c r="A408" s="39">
        <f>IF('3 - Carts &amp; Stands'!B408 = "", "", IF('3 - Carts &amp; Stands-WUO_ERR'!A408 = "", "Validated", HYPERLINK("#" &amp; ADDRESS(408, '3 - Carts &amp; Stands-WUO_TRK'!A408),_xlfn.TEXTAFTER('3 - Carts &amp; Stands-WUO_ERR'!A408, ":"))))</f>
        <v/>
      </c>
    </row>
    <row r="409">
      <c r="A409" s="39">
        <f>IF('3 - Carts &amp; Stands'!B409 = "", "", IF('3 - Carts &amp; Stands-WUO_ERR'!A409 = "", "Validated", HYPERLINK("#" &amp; ADDRESS(409, '3 - Carts &amp; Stands-WUO_TRK'!A409),_xlfn.TEXTAFTER('3 - Carts &amp; Stands-WUO_ERR'!A409, ":"))))</f>
        <v/>
      </c>
    </row>
    <row r="410">
      <c r="A410" s="39">
        <f>IF('3 - Carts &amp; Stands'!B410 = "", "", IF('3 - Carts &amp; Stands-WUO_ERR'!A410 = "", "Validated", HYPERLINK("#" &amp; ADDRESS(410, '3 - Carts &amp; Stands-WUO_TRK'!A410),_xlfn.TEXTAFTER('3 - Carts &amp; Stands-WUO_ERR'!A410, ":"))))</f>
        <v/>
      </c>
    </row>
    <row r="411">
      <c r="A411" s="39">
        <f>IF('3 - Carts &amp; Stands'!B411 = "", "", IF('3 - Carts &amp; Stands-WUO_ERR'!A411 = "", "Validated", HYPERLINK("#" &amp; ADDRESS(411, '3 - Carts &amp; Stands-WUO_TRK'!A411),_xlfn.TEXTAFTER('3 - Carts &amp; Stands-WUO_ERR'!A411, ":"))))</f>
        <v/>
      </c>
    </row>
    <row r="412">
      <c r="A412" s="39">
        <f>IF('3 - Carts &amp; Stands'!B412 = "", "", IF('3 - Carts &amp; Stands-WUO_ERR'!A412 = "", "Validated", HYPERLINK("#" &amp; ADDRESS(412, '3 - Carts &amp; Stands-WUO_TRK'!A412),_xlfn.TEXTAFTER('3 - Carts &amp; Stands-WUO_ERR'!A412, ":"))))</f>
        <v/>
      </c>
    </row>
    <row r="413">
      <c r="A413" s="39">
        <f>IF('3 - Carts &amp; Stands'!B413 = "", "", IF('3 - Carts &amp; Stands-WUO_ERR'!A413 = "", "Validated", HYPERLINK("#" &amp; ADDRESS(413, '3 - Carts &amp; Stands-WUO_TRK'!A413),_xlfn.TEXTAFTER('3 - Carts &amp; Stands-WUO_ERR'!A413, ":"))))</f>
        <v/>
      </c>
    </row>
    <row r="414">
      <c r="A414" s="39">
        <f>IF('3 - Carts &amp; Stands'!B414 = "", "", IF('3 - Carts &amp; Stands-WUO_ERR'!A414 = "", "Validated", HYPERLINK("#" &amp; ADDRESS(414, '3 - Carts &amp; Stands-WUO_TRK'!A414),_xlfn.TEXTAFTER('3 - Carts &amp; Stands-WUO_ERR'!A414, ":"))))</f>
        <v/>
      </c>
    </row>
    <row r="415">
      <c r="A415" s="39">
        <f>IF('3 - Carts &amp; Stands'!B415 = "", "", IF('3 - Carts &amp; Stands-WUO_ERR'!A415 = "", "Validated", HYPERLINK("#" &amp; ADDRESS(415, '3 - Carts &amp; Stands-WUO_TRK'!A415),_xlfn.TEXTAFTER('3 - Carts &amp; Stands-WUO_ERR'!A415, ":"))))</f>
        <v/>
      </c>
    </row>
    <row r="416">
      <c r="A416" s="39">
        <f>IF('3 - Carts &amp; Stands'!B416 = "", "", IF('3 - Carts &amp; Stands-WUO_ERR'!A416 = "", "Validated", HYPERLINK("#" &amp; ADDRESS(416, '3 - Carts &amp; Stands-WUO_TRK'!A416),_xlfn.TEXTAFTER('3 - Carts &amp; Stands-WUO_ERR'!A416, ":"))))</f>
        <v/>
      </c>
    </row>
    <row r="417">
      <c r="A417" s="39">
        <f>IF('3 - Carts &amp; Stands'!B417 = "", "", IF('3 - Carts &amp; Stands-WUO_ERR'!A417 = "", "Validated", HYPERLINK("#" &amp; ADDRESS(417, '3 - Carts &amp; Stands-WUO_TRK'!A417),_xlfn.TEXTAFTER('3 - Carts &amp; Stands-WUO_ERR'!A417, ":"))))</f>
        <v/>
      </c>
    </row>
    <row r="418">
      <c r="A418" s="39">
        <f>IF('3 - Carts &amp; Stands'!B418 = "", "", IF('3 - Carts &amp; Stands-WUO_ERR'!A418 = "", "Validated", HYPERLINK("#" &amp; ADDRESS(418, '3 - Carts &amp; Stands-WUO_TRK'!A418),_xlfn.TEXTAFTER('3 - Carts &amp; Stands-WUO_ERR'!A418, ":"))))</f>
        <v/>
      </c>
    </row>
    <row r="419">
      <c r="A419" s="39">
        <f>IF('3 - Carts &amp; Stands'!B419 = "", "", IF('3 - Carts &amp; Stands-WUO_ERR'!A419 = "", "Validated", HYPERLINK("#" &amp; ADDRESS(419, '3 - Carts &amp; Stands-WUO_TRK'!A419),_xlfn.TEXTAFTER('3 - Carts &amp; Stands-WUO_ERR'!A419, ":"))))</f>
        <v/>
      </c>
    </row>
    <row r="420">
      <c r="A420" s="39">
        <f>IF('3 - Carts &amp; Stands'!B420 = "", "", IF('3 - Carts &amp; Stands-WUO_ERR'!A420 = "", "Validated", HYPERLINK("#" &amp; ADDRESS(420, '3 - Carts &amp; Stands-WUO_TRK'!A420),_xlfn.TEXTAFTER('3 - Carts &amp; Stands-WUO_ERR'!A420, ":"))))</f>
        <v/>
      </c>
    </row>
    <row r="421">
      <c r="A421" s="39">
        <f>IF('3 - Carts &amp; Stands'!B421 = "", "", IF('3 - Carts &amp; Stands-WUO_ERR'!A421 = "", "Validated", HYPERLINK("#" &amp; ADDRESS(421, '3 - Carts &amp; Stands-WUO_TRK'!A421),_xlfn.TEXTAFTER('3 - Carts &amp; Stands-WUO_ERR'!A421, ":"))))</f>
        <v/>
      </c>
    </row>
    <row r="422">
      <c r="A422" s="39">
        <f>IF('3 - Carts &amp; Stands'!B422 = "", "", IF('3 - Carts &amp; Stands-WUO_ERR'!A422 = "", "Validated", HYPERLINK("#" &amp; ADDRESS(422, '3 - Carts &amp; Stands-WUO_TRK'!A422),_xlfn.TEXTAFTER('3 - Carts &amp; Stands-WUO_ERR'!A422, ":"))))</f>
        <v/>
      </c>
    </row>
    <row r="423">
      <c r="A423" s="39">
        <f>IF('3 - Carts &amp; Stands'!B423 = "", "", IF('3 - Carts &amp; Stands-WUO_ERR'!A423 = "", "Validated", HYPERLINK("#" &amp; ADDRESS(423, '3 - Carts &amp; Stands-WUO_TRK'!A423),_xlfn.TEXTAFTER('3 - Carts &amp; Stands-WUO_ERR'!A423, ":"))))</f>
        <v/>
      </c>
    </row>
    <row r="424">
      <c r="A424" s="39">
        <f>IF('3 - Carts &amp; Stands'!B424 = "", "", IF('3 - Carts &amp; Stands-WUO_ERR'!A424 = "", "Validated", HYPERLINK("#" &amp; ADDRESS(424, '3 - Carts &amp; Stands-WUO_TRK'!A424),_xlfn.TEXTAFTER('3 - Carts &amp; Stands-WUO_ERR'!A424, ":"))))</f>
        <v/>
      </c>
    </row>
    <row r="425">
      <c r="A425" s="39">
        <f>IF('3 - Carts &amp; Stands'!B425 = "", "", IF('3 - Carts &amp; Stands-WUO_ERR'!A425 = "", "Validated", HYPERLINK("#" &amp; ADDRESS(425, '3 - Carts &amp; Stands-WUO_TRK'!A425),_xlfn.TEXTAFTER('3 - Carts &amp; Stands-WUO_ERR'!A425, ":"))))</f>
        <v/>
      </c>
    </row>
    <row r="426">
      <c r="A426" s="39">
        <f>IF('3 - Carts &amp; Stands'!B426 = "", "", IF('3 - Carts &amp; Stands-WUO_ERR'!A426 = "", "Validated", HYPERLINK("#" &amp; ADDRESS(426, '3 - Carts &amp; Stands-WUO_TRK'!A426),_xlfn.TEXTAFTER('3 - Carts &amp; Stands-WUO_ERR'!A426, ":"))))</f>
        <v/>
      </c>
    </row>
    <row r="427">
      <c r="A427" s="39">
        <f>IF('3 - Carts &amp; Stands'!B427 = "", "", IF('3 - Carts &amp; Stands-WUO_ERR'!A427 = "", "Validated", HYPERLINK("#" &amp; ADDRESS(427, '3 - Carts &amp; Stands-WUO_TRK'!A427),_xlfn.TEXTAFTER('3 - Carts &amp; Stands-WUO_ERR'!A427, ":"))))</f>
        <v/>
      </c>
    </row>
    <row r="428">
      <c r="A428" s="39">
        <f>IF('3 - Carts &amp; Stands'!B428 = "", "", IF('3 - Carts &amp; Stands-WUO_ERR'!A428 = "", "Validated", HYPERLINK("#" &amp; ADDRESS(428, '3 - Carts &amp; Stands-WUO_TRK'!A428),_xlfn.TEXTAFTER('3 - Carts &amp; Stands-WUO_ERR'!A428, ":"))))</f>
        <v/>
      </c>
    </row>
    <row r="429">
      <c r="A429" s="39">
        <f>IF('3 - Carts &amp; Stands'!B429 = "", "", IF('3 - Carts &amp; Stands-WUO_ERR'!A429 = "", "Validated", HYPERLINK("#" &amp; ADDRESS(429, '3 - Carts &amp; Stands-WUO_TRK'!A429),_xlfn.TEXTAFTER('3 - Carts &amp; Stands-WUO_ERR'!A429, ":"))))</f>
        <v/>
      </c>
    </row>
    <row r="430">
      <c r="A430" s="39">
        <f>IF('3 - Carts &amp; Stands'!B430 = "", "", IF('3 - Carts &amp; Stands-WUO_ERR'!A430 = "", "Validated", HYPERLINK("#" &amp; ADDRESS(430, '3 - Carts &amp; Stands-WUO_TRK'!A430),_xlfn.TEXTAFTER('3 - Carts &amp; Stands-WUO_ERR'!A430, ":"))))</f>
        <v/>
      </c>
    </row>
    <row r="431">
      <c r="A431" s="39">
        <f>IF('3 - Carts &amp; Stands'!B431 = "", "", IF('3 - Carts &amp; Stands-WUO_ERR'!A431 = "", "Validated", HYPERLINK("#" &amp; ADDRESS(431, '3 - Carts &amp; Stands-WUO_TRK'!A431),_xlfn.TEXTAFTER('3 - Carts &amp; Stands-WUO_ERR'!A431, ":"))))</f>
        <v/>
      </c>
    </row>
    <row r="432">
      <c r="A432" s="39">
        <f>IF('3 - Carts &amp; Stands'!B432 = "", "", IF('3 - Carts &amp; Stands-WUO_ERR'!A432 = "", "Validated", HYPERLINK("#" &amp; ADDRESS(432, '3 - Carts &amp; Stands-WUO_TRK'!A432),_xlfn.TEXTAFTER('3 - Carts &amp; Stands-WUO_ERR'!A432, ":"))))</f>
        <v/>
      </c>
    </row>
    <row r="433">
      <c r="A433" s="39">
        <f>IF('3 - Carts &amp; Stands'!B433 = "", "", IF('3 - Carts &amp; Stands-WUO_ERR'!A433 = "", "Validated", HYPERLINK("#" &amp; ADDRESS(433, '3 - Carts &amp; Stands-WUO_TRK'!A433),_xlfn.TEXTAFTER('3 - Carts &amp; Stands-WUO_ERR'!A433, ":"))))</f>
        <v/>
      </c>
    </row>
    <row r="434">
      <c r="A434" s="39">
        <f>IF('3 - Carts &amp; Stands'!B434 = "", "", IF('3 - Carts &amp; Stands-WUO_ERR'!A434 = "", "Validated", HYPERLINK("#" &amp; ADDRESS(434, '3 - Carts &amp; Stands-WUO_TRK'!A434),_xlfn.TEXTAFTER('3 - Carts &amp; Stands-WUO_ERR'!A434, ":"))))</f>
        <v/>
      </c>
    </row>
    <row r="435">
      <c r="A435" s="39">
        <f>IF('3 - Carts &amp; Stands'!B435 = "", "", IF('3 - Carts &amp; Stands-WUO_ERR'!A435 = "", "Validated", HYPERLINK("#" &amp; ADDRESS(435, '3 - Carts &amp; Stands-WUO_TRK'!A435),_xlfn.TEXTAFTER('3 - Carts &amp; Stands-WUO_ERR'!A435, ":"))))</f>
        <v/>
      </c>
    </row>
    <row r="436">
      <c r="A436" s="39">
        <f>IF('3 - Carts &amp; Stands'!B436 = "", "", IF('3 - Carts &amp; Stands-WUO_ERR'!A436 = "", "Validated", HYPERLINK("#" &amp; ADDRESS(436, '3 - Carts &amp; Stands-WUO_TRK'!A436),_xlfn.TEXTAFTER('3 - Carts &amp; Stands-WUO_ERR'!A436, ":"))))</f>
        <v/>
      </c>
    </row>
    <row r="437">
      <c r="A437" s="39">
        <f>IF('3 - Carts &amp; Stands'!B437 = "", "", IF('3 - Carts &amp; Stands-WUO_ERR'!A437 = "", "Validated", HYPERLINK("#" &amp; ADDRESS(437, '3 - Carts &amp; Stands-WUO_TRK'!A437),_xlfn.TEXTAFTER('3 - Carts &amp; Stands-WUO_ERR'!A437, ":"))))</f>
        <v/>
      </c>
    </row>
    <row r="438">
      <c r="A438" s="39">
        <f>IF('3 - Carts &amp; Stands'!B438 = "", "", IF('3 - Carts &amp; Stands-WUO_ERR'!A438 = "", "Validated", HYPERLINK("#" &amp; ADDRESS(438, '3 - Carts &amp; Stands-WUO_TRK'!A438),_xlfn.TEXTAFTER('3 - Carts &amp; Stands-WUO_ERR'!A438, ":"))))</f>
        <v/>
      </c>
    </row>
    <row r="439">
      <c r="A439" s="39">
        <f>IF('3 - Carts &amp; Stands'!B439 = "", "", IF('3 - Carts &amp; Stands-WUO_ERR'!A439 = "", "Validated", HYPERLINK("#" &amp; ADDRESS(439, '3 - Carts &amp; Stands-WUO_TRK'!A439),_xlfn.TEXTAFTER('3 - Carts &amp; Stands-WUO_ERR'!A439, ":"))))</f>
        <v/>
      </c>
    </row>
    <row r="440">
      <c r="A440" s="39">
        <f>IF('3 - Carts &amp; Stands'!B440 = "", "", IF('3 - Carts &amp; Stands-WUO_ERR'!A440 = "", "Validated", HYPERLINK("#" &amp; ADDRESS(440, '3 - Carts &amp; Stands-WUO_TRK'!A440),_xlfn.TEXTAFTER('3 - Carts &amp; Stands-WUO_ERR'!A440, ":"))))</f>
        <v/>
      </c>
    </row>
    <row r="441">
      <c r="A441" s="39">
        <f>IF('3 - Carts &amp; Stands'!B441 = "", "", IF('3 - Carts &amp; Stands-WUO_ERR'!A441 = "", "Validated", HYPERLINK("#" &amp; ADDRESS(441, '3 - Carts &amp; Stands-WUO_TRK'!A441),_xlfn.TEXTAFTER('3 - Carts &amp; Stands-WUO_ERR'!A441, ":"))))</f>
        <v/>
      </c>
    </row>
    <row r="442">
      <c r="A442" s="39">
        <f>IF('3 - Carts &amp; Stands'!B442 = "", "", IF('3 - Carts &amp; Stands-WUO_ERR'!A442 = "", "Validated", HYPERLINK("#" &amp; ADDRESS(442, '3 - Carts &amp; Stands-WUO_TRK'!A442),_xlfn.TEXTAFTER('3 - Carts &amp; Stands-WUO_ERR'!A442, ":"))))</f>
        <v/>
      </c>
    </row>
    <row r="443">
      <c r="A443" s="39">
        <f>IF('3 - Carts &amp; Stands'!B443 = "", "", IF('3 - Carts &amp; Stands-WUO_ERR'!A443 = "", "Validated", HYPERLINK("#" &amp; ADDRESS(443, '3 - Carts &amp; Stands-WUO_TRK'!A443),_xlfn.TEXTAFTER('3 - Carts &amp; Stands-WUO_ERR'!A443, ":"))))</f>
        <v/>
      </c>
    </row>
    <row r="444">
      <c r="A444" s="39">
        <f>IF('3 - Carts &amp; Stands'!B444 = "", "", IF('3 - Carts &amp; Stands-WUO_ERR'!A444 = "", "Validated", HYPERLINK("#" &amp; ADDRESS(444, '3 - Carts &amp; Stands-WUO_TRK'!A444),_xlfn.TEXTAFTER('3 - Carts &amp; Stands-WUO_ERR'!A444, ":"))))</f>
        <v/>
      </c>
    </row>
    <row r="445">
      <c r="A445" s="39">
        <f>IF('3 - Carts &amp; Stands'!B445 = "", "", IF('3 - Carts &amp; Stands-WUO_ERR'!A445 = "", "Validated", HYPERLINK("#" &amp; ADDRESS(445, '3 - Carts &amp; Stands-WUO_TRK'!A445),_xlfn.TEXTAFTER('3 - Carts &amp; Stands-WUO_ERR'!A445, ":"))))</f>
        <v/>
      </c>
    </row>
    <row r="446">
      <c r="A446" s="39">
        <f>IF('3 - Carts &amp; Stands'!B446 = "", "", IF('3 - Carts &amp; Stands-WUO_ERR'!A446 = "", "Validated", HYPERLINK("#" &amp; ADDRESS(446, '3 - Carts &amp; Stands-WUO_TRK'!A446),_xlfn.TEXTAFTER('3 - Carts &amp; Stands-WUO_ERR'!A446, ":"))))</f>
        <v/>
      </c>
    </row>
    <row r="447">
      <c r="A447" s="39">
        <f>IF('3 - Carts &amp; Stands'!B447 = "", "", IF('3 - Carts &amp; Stands-WUO_ERR'!A447 = "", "Validated", HYPERLINK("#" &amp; ADDRESS(447, '3 - Carts &amp; Stands-WUO_TRK'!A447),_xlfn.TEXTAFTER('3 - Carts &amp; Stands-WUO_ERR'!A447, ":"))))</f>
        <v/>
      </c>
    </row>
    <row r="448">
      <c r="A448" s="39">
        <f>IF('3 - Carts &amp; Stands'!B448 = "", "", IF('3 - Carts &amp; Stands-WUO_ERR'!A448 = "", "Validated", HYPERLINK("#" &amp; ADDRESS(448, '3 - Carts &amp; Stands-WUO_TRK'!A448),_xlfn.TEXTAFTER('3 - Carts &amp; Stands-WUO_ERR'!A448, ":"))))</f>
        <v/>
      </c>
    </row>
    <row r="449">
      <c r="A449" s="39">
        <f>IF('3 - Carts &amp; Stands'!B449 = "", "", IF('3 - Carts &amp; Stands-WUO_ERR'!A449 = "", "Validated", HYPERLINK("#" &amp; ADDRESS(449, '3 - Carts &amp; Stands-WUO_TRK'!A449),_xlfn.TEXTAFTER('3 - Carts &amp; Stands-WUO_ERR'!A449, ":"))))</f>
        <v/>
      </c>
    </row>
    <row r="450">
      <c r="A450" s="39">
        <f>IF('3 - Carts &amp; Stands'!B450 = "", "", IF('3 - Carts &amp; Stands-WUO_ERR'!A450 = "", "Validated", HYPERLINK("#" &amp; ADDRESS(450, '3 - Carts &amp; Stands-WUO_TRK'!A450),_xlfn.TEXTAFTER('3 - Carts &amp; Stands-WUO_ERR'!A450, ":"))))</f>
        <v/>
      </c>
    </row>
    <row r="451">
      <c r="A451" s="39">
        <f>IF('3 - Carts &amp; Stands'!B451 = "", "", IF('3 - Carts &amp; Stands-WUO_ERR'!A451 = "", "Validated", HYPERLINK("#" &amp; ADDRESS(451, '3 - Carts &amp; Stands-WUO_TRK'!A451),_xlfn.TEXTAFTER('3 - Carts &amp; Stands-WUO_ERR'!A451, ":"))))</f>
        <v/>
      </c>
    </row>
    <row r="452">
      <c r="A452" s="39">
        <f>IF('3 - Carts &amp; Stands'!B452 = "", "", IF('3 - Carts &amp; Stands-WUO_ERR'!A452 = "", "Validated", HYPERLINK("#" &amp; ADDRESS(452, '3 - Carts &amp; Stands-WUO_TRK'!A452),_xlfn.TEXTAFTER('3 - Carts &amp; Stands-WUO_ERR'!A452, ":"))))</f>
        <v/>
      </c>
    </row>
    <row r="453">
      <c r="A453" s="39">
        <f>IF('3 - Carts &amp; Stands'!B453 = "", "", IF('3 - Carts &amp; Stands-WUO_ERR'!A453 = "", "Validated", HYPERLINK("#" &amp; ADDRESS(453, '3 - Carts &amp; Stands-WUO_TRK'!A453),_xlfn.TEXTAFTER('3 - Carts &amp; Stands-WUO_ERR'!A453, ":"))))</f>
        <v/>
      </c>
    </row>
    <row r="454">
      <c r="A454" s="39">
        <f>IF('3 - Carts &amp; Stands'!B454 = "", "", IF('3 - Carts &amp; Stands-WUO_ERR'!A454 = "", "Validated", HYPERLINK("#" &amp; ADDRESS(454, '3 - Carts &amp; Stands-WUO_TRK'!A454),_xlfn.TEXTAFTER('3 - Carts &amp; Stands-WUO_ERR'!A454, ":"))))</f>
        <v/>
      </c>
    </row>
    <row r="455">
      <c r="A455" s="39">
        <f>IF('3 - Carts &amp; Stands'!B455 = "", "", IF('3 - Carts &amp; Stands-WUO_ERR'!A455 = "", "Validated", HYPERLINK("#" &amp; ADDRESS(455, '3 - Carts &amp; Stands-WUO_TRK'!A455),_xlfn.TEXTAFTER('3 - Carts &amp; Stands-WUO_ERR'!A455, ":"))))</f>
        <v/>
      </c>
    </row>
    <row r="456">
      <c r="A456" s="39">
        <f>IF('3 - Carts &amp; Stands'!B456 = "", "", IF('3 - Carts &amp; Stands-WUO_ERR'!A456 = "", "Validated", HYPERLINK("#" &amp; ADDRESS(456, '3 - Carts &amp; Stands-WUO_TRK'!A456),_xlfn.TEXTAFTER('3 - Carts &amp; Stands-WUO_ERR'!A456, ":"))))</f>
        <v/>
      </c>
    </row>
    <row r="457">
      <c r="A457" s="39">
        <f>IF('3 - Carts &amp; Stands'!B457 = "", "", IF('3 - Carts &amp; Stands-WUO_ERR'!A457 = "", "Validated", HYPERLINK("#" &amp; ADDRESS(457, '3 - Carts &amp; Stands-WUO_TRK'!A457),_xlfn.TEXTAFTER('3 - Carts &amp; Stands-WUO_ERR'!A457, ":"))))</f>
        <v/>
      </c>
    </row>
    <row r="458">
      <c r="A458" s="39">
        <f>IF('3 - Carts &amp; Stands'!B458 = "", "", IF('3 - Carts &amp; Stands-WUO_ERR'!A458 = "", "Validated", HYPERLINK("#" &amp; ADDRESS(458, '3 - Carts &amp; Stands-WUO_TRK'!A458),_xlfn.TEXTAFTER('3 - Carts &amp; Stands-WUO_ERR'!A458, ":"))))</f>
        <v/>
      </c>
    </row>
    <row r="459">
      <c r="A459" s="39">
        <f>IF('3 - Carts &amp; Stands'!B459 = "", "", IF('3 - Carts &amp; Stands-WUO_ERR'!A459 = "", "Validated", HYPERLINK("#" &amp; ADDRESS(459, '3 - Carts &amp; Stands-WUO_TRK'!A459),_xlfn.TEXTAFTER('3 - Carts &amp; Stands-WUO_ERR'!A459, ":"))))</f>
        <v/>
      </c>
    </row>
    <row r="460">
      <c r="A460" s="39">
        <f>IF('3 - Carts &amp; Stands'!B460 = "", "", IF('3 - Carts &amp; Stands-WUO_ERR'!A460 = "", "Validated", HYPERLINK("#" &amp; ADDRESS(460, '3 - Carts &amp; Stands-WUO_TRK'!A460),_xlfn.TEXTAFTER('3 - Carts &amp; Stands-WUO_ERR'!A460, ":"))))</f>
        <v/>
      </c>
    </row>
    <row r="461">
      <c r="A461" s="39">
        <f>IF('3 - Carts &amp; Stands'!B461 = "", "", IF('3 - Carts &amp; Stands-WUO_ERR'!A461 = "", "Validated", HYPERLINK("#" &amp; ADDRESS(461, '3 - Carts &amp; Stands-WUO_TRK'!A461),_xlfn.TEXTAFTER('3 - Carts &amp; Stands-WUO_ERR'!A461, ":"))))</f>
        <v/>
      </c>
    </row>
    <row r="462">
      <c r="A462" s="39">
        <f>IF('3 - Carts &amp; Stands'!B462 = "", "", IF('3 - Carts &amp; Stands-WUO_ERR'!A462 = "", "Validated", HYPERLINK("#" &amp; ADDRESS(462, '3 - Carts &amp; Stands-WUO_TRK'!A462),_xlfn.TEXTAFTER('3 - Carts &amp; Stands-WUO_ERR'!A462, ":"))))</f>
        <v/>
      </c>
    </row>
    <row r="463">
      <c r="A463" s="39">
        <f>IF('3 - Carts &amp; Stands'!B463 = "", "", IF('3 - Carts &amp; Stands-WUO_ERR'!A463 = "", "Validated", HYPERLINK("#" &amp; ADDRESS(463, '3 - Carts &amp; Stands-WUO_TRK'!A463),_xlfn.TEXTAFTER('3 - Carts &amp; Stands-WUO_ERR'!A463, ":"))))</f>
        <v/>
      </c>
    </row>
    <row r="464">
      <c r="A464" s="39">
        <f>IF('3 - Carts &amp; Stands'!B464 = "", "", IF('3 - Carts &amp; Stands-WUO_ERR'!A464 = "", "Validated", HYPERLINK("#" &amp; ADDRESS(464, '3 - Carts &amp; Stands-WUO_TRK'!A464),_xlfn.TEXTAFTER('3 - Carts &amp; Stands-WUO_ERR'!A464, ":"))))</f>
        <v/>
      </c>
    </row>
    <row r="465">
      <c r="A465" s="39">
        <f>IF('3 - Carts &amp; Stands'!B465 = "", "", IF('3 - Carts &amp; Stands-WUO_ERR'!A465 = "", "Validated", HYPERLINK("#" &amp; ADDRESS(465, '3 - Carts &amp; Stands-WUO_TRK'!A465),_xlfn.TEXTAFTER('3 - Carts &amp; Stands-WUO_ERR'!A465, ":"))))</f>
        <v/>
      </c>
    </row>
    <row r="466">
      <c r="A466" s="39">
        <f>IF('3 - Carts &amp; Stands'!B466 = "", "", IF('3 - Carts &amp; Stands-WUO_ERR'!A466 = "", "Validated", HYPERLINK("#" &amp; ADDRESS(466, '3 - Carts &amp; Stands-WUO_TRK'!A466),_xlfn.TEXTAFTER('3 - Carts &amp; Stands-WUO_ERR'!A466, ":"))))</f>
        <v/>
      </c>
    </row>
    <row r="467">
      <c r="A467" s="39">
        <f>IF('3 - Carts &amp; Stands'!B467 = "", "", IF('3 - Carts &amp; Stands-WUO_ERR'!A467 = "", "Validated", HYPERLINK("#" &amp; ADDRESS(467, '3 - Carts &amp; Stands-WUO_TRK'!A467),_xlfn.TEXTAFTER('3 - Carts &amp; Stands-WUO_ERR'!A467, ":"))))</f>
        <v/>
      </c>
    </row>
    <row r="468">
      <c r="A468" s="39">
        <f>IF('3 - Carts &amp; Stands'!B468 = "", "", IF('3 - Carts &amp; Stands-WUO_ERR'!A468 = "", "Validated", HYPERLINK("#" &amp; ADDRESS(468, '3 - Carts &amp; Stands-WUO_TRK'!A468),_xlfn.TEXTAFTER('3 - Carts &amp; Stands-WUO_ERR'!A468, ":"))))</f>
        <v/>
      </c>
    </row>
    <row r="469">
      <c r="A469" s="39">
        <f>IF('3 - Carts &amp; Stands'!B469 = "", "", IF('3 - Carts &amp; Stands-WUO_ERR'!A469 = "", "Validated", HYPERLINK("#" &amp; ADDRESS(469, '3 - Carts &amp; Stands-WUO_TRK'!A469),_xlfn.TEXTAFTER('3 - Carts &amp; Stands-WUO_ERR'!A469, ":"))))</f>
        <v/>
      </c>
    </row>
    <row r="470">
      <c r="A470" s="39">
        <f>IF('3 - Carts &amp; Stands'!B470 = "", "", IF('3 - Carts &amp; Stands-WUO_ERR'!A470 = "", "Validated", HYPERLINK("#" &amp; ADDRESS(470, '3 - Carts &amp; Stands-WUO_TRK'!A470),_xlfn.TEXTAFTER('3 - Carts &amp; Stands-WUO_ERR'!A470, ":"))))</f>
        <v/>
      </c>
    </row>
    <row r="471">
      <c r="A471" s="39">
        <f>IF('3 - Carts &amp; Stands'!B471 = "", "", IF('3 - Carts &amp; Stands-WUO_ERR'!A471 = "", "Validated", HYPERLINK("#" &amp; ADDRESS(471, '3 - Carts &amp; Stands-WUO_TRK'!A471),_xlfn.TEXTAFTER('3 - Carts &amp; Stands-WUO_ERR'!A471, ":"))))</f>
        <v/>
      </c>
    </row>
    <row r="472">
      <c r="A472" s="39">
        <f>IF('3 - Carts &amp; Stands'!B472 = "", "", IF('3 - Carts &amp; Stands-WUO_ERR'!A472 = "", "Validated", HYPERLINK("#" &amp; ADDRESS(472, '3 - Carts &amp; Stands-WUO_TRK'!A472),_xlfn.TEXTAFTER('3 - Carts &amp; Stands-WUO_ERR'!A472, ":"))))</f>
        <v/>
      </c>
    </row>
    <row r="473">
      <c r="A473" s="39">
        <f>IF('3 - Carts &amp; Stands'!B473 = "", "", IF('3 - Carts &amp; Stands-WUO_ERR'!A473 = "", "Validated", HYPERLINK("#" &amp; ADDRESS(473, '3 - Carts &amp; Stands-WUO_TRK'!A473),_xlfn.TEXTAFTER('3 - Carts &amp; Stands-WUO_ERR'!A473, ":"))))</f>
        <v/>
      </c>
    </row>
    <row r="474">
      <c r="A474" s="39">
        <f>IF('3 - Carts &amp; Stands'!B474 = "", "", IF('3 - Carts &amp; Stands-WUO_ERR'!A474 = "", "Validated", HYPERLINK("#" &amp; ADDRESS(474, '3 - Carts &amp; Stands-WUO_TRK'!A474),_xlfn.TEXTAFTER('3 - Carts &amp; Stands-WUO_ERR'!A474, ":"))))</f>
        <v/>
      </c>
    </row>
    <row r="475">
      <c r="A475" s="39">
        <f>IF('3 - Carts &amp; Stands'!B475 = "", "", IF('3 - Carts &amp; Stands-WUO_ERR'!A475 = "", "Validated", HYPERLINK("#" &amp; ADDRESS(475, '3 - Carts &amp; Stands-WUO_TRK'!A475),_xlfn.TEXTAFTER('3 - Carts &amp; Stands-WUO_ERR'!A475, ":"))))</f>
        <v/>
      </c>
    </row>
    <row r="476">
      <c r="A476" s="39">
        <f>IF('3 - Carts &amp; Stands'!B476 = "", "", IF('3 - Carts &amp; Stands-WUO_ERR'!A476 = "", "Validated", HYPERLINK("#" &amp; ADDRESS(476, '3 - Carts &amp; Stands-WUO_TRK'!A476),_xlfn.TEXTAFTER('3 - Carts &amp; Stands-WUO_ERR'!A476, ":"))))</f>
        <v/>
      </c>
    </row>
    <row r="477">
      <c r="A477" s="39">
        <f>IF('3 - Carts &amp; Stands'!B477 = "", "", IF('3 - Carts &amp; Stands-WUO_ERR'!A477 = "", "Validated", HYPERLINK("#" &amp; ADDRESS(477, '3 - Carts &amp; Stands-WUO_TRK'!A477),_xlfn.TEXTAFTER('3 - Carts &amp; Stands-WUO_ERR'!A477, ":"))))</f>
        <v/>
      </c>
    </row>
    <row r="478">
      <c r="A478" s="39">
        <f>IF('3 - Carts &amp; Stands'!B478 = "", "", IF('3 - Carts &amp; Stands-WUO_ERR'!A478 = "", "Validated", HYPERLINK("#" &amp; ADDRESS(478, '3 - Carts &amp; Stands-WUO_TRK'!A478),_xlfn.TEXTAFTER('3 - Carts &amp; Stands-WUO_ERR'!A478, ":"))))</f>
        <v/>
      </c>
    </row>
    <row r="479">
      <c r="A479" s="39">
        <f>IF('3 - Carts &amp; Stands'!B479 = "", "", IF('3 - Carts &amp; Stands-WUO_ERR'!A479 = "", "Validated", HYPERLINK("#" &amp; ADDRESS(479, '3 - Carts &amp; Stands-WUO_TRK'!A479),_xlfn.TEXTAFTER('3 - Carts &amp; Stands-WUO_ERR'!A479, ":"))))</f>
        <v/>
      </c>
    </row>
    <row r="480">
      <c r="A480" s="39">
        <f>IF('3 - Carts &amp; Stands'!B480 = "", "", IF('3 - Carts &amp; Stands-WUO_ERR'!A480 = "", "Validated", HYPERLINK("#" &amp; ADDRESS(480, '3 - Carts &amp; Stands-WUO_TRK'!A480),_xlfn.TEXTAFTER('3 - Carts &amp; Stands-WUO_ERR'!A480, ":"))))</f>
        <v/>
      </c>
    </row>
    <row r="481">
      <c r="A481" s="39">
        <f>IF('3 - Carts &amp; Stands'!B481 = "", "", IF('3 - Carts &amp; Stands-WUO_ERR'!A481 = "", "Validated", HYPERLINK("#" &amp; ADDRESS(481, '3 - Carts &amp; Stands-WUO_TRK'!A481),_xlfn.TEXTAFTER('3 - Carts &amp; Stands-WUO_ERR'!A481, ":"))))</f>
        <v/>
      </c>
    </row>
    <row r="482">
      <c r="A482" s="39">
        <f>IF('3 - Carts &amp; Stands'!B482 = "", "", IF('3 - Carts &amp; Stands-WUO_ERR'!A482 = "", "Validated", HYPERLINK("#" &amp; ADDRESS(482, '3 - Carts &amp; Stands-WUO_TRK'!A482),_xlfn.TEXTAFTER('3 - Carts &amp; Stands-WUO_ERR'!A482, ":"))))</f>
        <v/>
      </c>
    </row>
    <row r="483">
      <c r="A483" s="39">
        <f>IF('3 - Carts &amp; Stands'!B483 = "", "", IF('3 - Carts &amp; Stands-WUO_ERR'!A483 = "", "Validated", HYPERLINK("#" &amp; ADDRESS(483, '3 - Carts &amp; Stands-WUO_TRK'!A483),_xlfn.TEXTAFTER('3 - Carts &amp; Stands-WUO_ERR'!A483, ":"))))</f>
        <v/>
      </c>
    </row>
    <row r="484">
      <c r="A484" s="39">
        <f>IF('3 - Carts &amp; Stands'!B484 = "", "", IF('3 - Carts &amp; Stands-WUO_ERR'!A484 = "", "Validated", HYPERLINK("#" &amp; ADDRESS(484, '3 - Carts &amp; Stands-WUO_TRK'!A484),_xlfn.TEXTAFTER('3 - Carts &amp; Stands-WUO_ERR'!A484, ":"))))</f>
        <v/>
      </c>
    </row>
    <row r="485">
      <c r="A485" s="39">
        <f>IF('3 - Carts &amp; Stands'!B485 = "", "", IF('3 - Carts &amp; Stands-WUO_ERR'!A485 = "", "Validated", HYPERLINK("#" &amp; ADDRESS(485, '3 - Carts &amp; Stands-WUO_TRK'!A485),_xlfn.TEXTAFTER('3 - Carts &amp; Stands-WUO_ERR'!A485, ":"))))</f>
        <v/>
      </c>
    </row>
    <row r="486">
      <c r="A486" s="39">
        <f>IF('3 - Carts &amp; Stands'!B486 = "", "", IF('3 - Carts &amp; Stands-WUO_ERR'!A486 = "", "Validated", HYPERLINK("#" &amp; ADDRESS(486, '3 - Carts &amp; Stands-WUO_TRK'!A486),_xlfn.TEXTAFTER('3 - Carts &amp; Stands-WUO_ERR'!A486, ":"))))</f>
        <v/>
      </c>
    </row>
    <row r="487">
      <c r="A487" s="39">
        <f>IF('3 - Carts &amp; Stands'!B487 = "", "", IF('3 - Carts &amp; Stands-WUO_ERR'!A487 = "", "Validated", HYPERLINK("#" &amp; ADDRESS(487, '3 - Carts &amp; Stands-WUO_TRK'!A487),_xlfn.TEXTAFTER('3 - Carts &amp; Stands-WUO_ERR'!A487, ":"))))</f>
        <v/>
      </c>
    </row>
    <row r="488">
      <c r="A488" s="39">
        <f>IF('3 - Carts &amp; Stands'!B488 = "", "", IF('3 - Carts &amp; Stands-WUO_ERR'!A488 = "", "Validated", HYPERLINK("#" &amp; ADDRESS(488, '3 - Carts &amp; Stands-WUO_TRK'!A488),_xlfn.TEXTAFTER('3 - Carts &amp; Stands-WUO_ERR'!A488, ":"))))</f>
        <v/>
      </c>
    </row>
    <row r="489">
      <c r="A489" s="39">
        <f>IF('3 - Carts &amp; Stands'!B489 = "", "", IF('3 - Carts &amp; Stands-WUO_ERR'!A489 = "", "Validated", HYPERLINK("#" &amp; ADDRESS(489, '3 - Carts &amp; Stands-WUO_TRK'!A489),_xlfn.TEXTAFTER('3 - Carts &amp; Stands-WUO_ERR'!A489, ":"))))</f>
        <v/>
      </c>
    </row>
    <row r="490">
      <c r="A490" s="39">
        <f>IF('3 - Carts &amp; Stands'!B490 = "", "", IF('3 - Carts &amp; Stands-WUO_ERR'!A490 = "", "Validated", HYPERLINK("#" &amp; ADDRESS(490, '3 - Carts &amp; Stands-WUO_TRK'!A490),_xlfn.TEXTAFTER('3 - Carts &amp; Stands-WUO_ERR'!A490, ":"))))</f>
        <v/>
      </c>
    </row>
    <row r="491">
      <c r="A491" s="39">
        <f>IF('3 - Carts &amp; Stands'!B491 = "", "", IF('3 - Carts &amp; Stands-WUO_ERR'!A491 = "", "Validated", HYPERLINK("#" &amp; ADDRESS(491, '3 - Carts &amp; Stands-WUO_TRK'!A491),_xlfn.TEXTAFTER('3 - Carts &amp; Stands-WUO_ERR'!A491, ":"))))</f>
        <v/>
      </c>
    </row>
    <row r="492">
      <c r="A492" s="39">
        <f>IF('3 - Carts &amp; Stands'!B492 = "", "", IF('3 - Carts &amp; Stands-WUO_ERR'!A492 = "", "Validated", HYPERLINK("#" &amp; ADDRESS(492, '3 - Carts &amp; Stands-WUO_TRK'!A492),_xlfn.TEXTAFTER('3 - Carts &amp; Stands-WUO_ERR'!A492, ":"))))</f>
        <v/>
      </c>
    </row>
    <row r="493">
      <c r="A493" s="39">
        <f>IF('3 - Carts &amp; Stands'!B493 = "", "", IF('3 - Carts &amp; Stands-WUO_ERR'!A493 = "", "Validated", HYPERLINK("#" &amp; ADDRESS(493, '3 - Carts &amp; Stands-WUO_TRK'!A493),_xlfn.TEXTAFTER('3 - Carts &amp; Stands-WUO_ERR'!A493, ":"))))</f>
        <v/>
      </c>
    </row>
    <row r="494">
      <c r="A494" s="39">
        <f>IF('3 - Carts &amp; Stands'!B494 = "", "", IF('3 - Carts &amp; Stands-WUO_ERR'!A494 = "", "Validated", HYPERLINK("#" &amp; ADDRESS(494, '3 - Carts &amp; Stands-WUO_TRK'!A494),_xlfn.TEXTAFTER('3 - Carts &amp; Stands-WUO_ERR'!A494, ":"))))</f>
        <v/>
      </c>
    </row>
    <row r="495">
      <c r="A495" s="39">
        <f>IF('3 - Carts &amp; Stands'!B495 = "", "", IF('3 - Carts &amp; Stands-WUO_ERR'!A495 = "", "Validated", HYPERLINK("#" &amp; ADDRESS(495, '3 - Carts &amp; Stands-WUO_TRK'!A495),_xlfn.TEXTAFTER('3 - Carts &amp; Stands-WUO_ERR'!A495, ":"))))</f>
        <v/>
      </c>
    </row>
    <row r="496">
      <c r="A496" s="39">
        <f>IF('3 - Carts &amp; Stands'!B496 = "", "", IF('3 - Carts &amp; Stands-WUO_ERR'!A496 = "", "Validated", HYPERLINK("#" &amp; ADDRESS(496, '3 - Carts &amp; Stands-WUO_TRK'!A496),_xlfn.TEXTAFTER('3 - Carts &amp; Stands-WUO_ERR'!A496, ":"))))</f>
        <v/>
      </c>
    </row>
    <row r="497">
      <c r="A497" s="39">
        <f>IF('3 - Carts &amp; Stands'!B497 = "", "", IF('3 - Carts &amp; Stands-WUO_ERR'!A497 = "", "Validated", HYPERLINK("#" &amp; ADDRESS(497, '3 - Carts &amp; Stands-WUO_TRK'!A497),_xlfn.TEXTAFTER('3 - Carts &amp; Stands-WUO_ERR'!A497, ":"))))</f>
        <v/>
      </c>
    </row>
    <row r="498">
      <c r="A498" s="39">
        <f>IF('3 - Carts &amp; Stands'!B498 = "", "", IF('3 - Carts &amp; Stands-WUO_ERR'!A498 = "", "Validated", HYPERLINK("#" &amp; ADDRESS(498, '3 - Carts &amp; Stands-WUO_TRK'!A498),_xlfn.TEXTAFTER('3 - Carts &amp; Stands-WUO_ERR'!A498, ":"))))</f>
        <v/>
      </c>
    </row>
    <row r="499">
      <c r="A499" s="39">
        <f>IF('3 - Carts &amp; Stands'!B499 = "", "", IF('3 - Carts &amp; Stands-WUO_ERR'!A499 = "", "Validated", HYPERLINK("#" &amp; ADDRESS(499, '3 - Carts &amp; Stands-WUO_TRK'!A499),_xlfn.TEXTAFTER('3 - Carts &amp; Stands-WUO_ERR'!A499, ":"))))</f>
        <v/>
      </c>
    </row>
    <row r="500">
      <c r="A500" s="39">
        <f>IF('3 - Carts &amp; Stands'!B500 = "", "", IF('3 - Carts &amp; Stands-WUO_ERR'!A500 = "", "Validated", HYPERLINK("#" &amp; ADDRESS(500, '3 - Carts &amp; Stands-WUO_TRK'!A500),_xlfn.TEXTAFTER('3 - Carts &amp; Stands-WUO_ERR'!A500, ":"))))</f>
        <v/>
      </c>
    </row>
    <row r="501">
      <c r="A501" s="39">
        <f>IF('3 - Carts &amp; Stands'!B501 = "", "", IF('3 - Carts &amp; Stands-WUO_ERR'!A501 = "", "Validated", HYPERLINK("#" &amp; ADDRESS(501, '3 - Carts &amp; Stands-WUO_TRK'!A501),_xlfn.TEXTAFTER('3 - Carts &amp; Stands-WUO_ERR'!A501, ":"))))</f>
        <v/>
      </c>
    </row>
    <row r="502">
      <c r="A502" s="39">
        <f>IF('3 - Carts &amp; Stands'!B502 = "", "", IF('3 - Carts &amp; Stands-WUO_ERR'!A502 = "", "Validated", HYPERLINK("#" &amp; ADDRESS(502, '3 - Carts &amp; Stands-WUO_TRK'!A502),_xlfn.TEXTAFTER('3 - Carts &amp; Stands-WUO_ERR'!A502, ":"))))</f>
        <v/>
      </c>
    </row>
    <row r="503">
      <c r="A503" s="39">
        <f>IF('3 - Carts &amp; Stands'!B503 = "", "", IF('3 - Carts &amp; Stands-WUO_ERR'!A503 = "", "Validated", HYPERLINK("#" &amp; ADDRESS(503, '3 - Carts &amp; Stands-WUO_TRK'!A503),_xlfn.TEXTAFTER('3 - Carts &amp; Stands-WUO_ERR'!A503, ":"))))</f>
        <v/>
      </c>
    </row>
    <row r="504">
      <c r="A504" s="39">
        <f>IF('3 - Carts &amp; Stands'!B504 = "", "", IF('3 - Carts &amp; Stands-WUO_ERR'!A504 = "", "Validated", HYPERLINK("#" &amp; ADDRESS(504, '3 - Carts &amp; Stands-WUO_TRK'!A504),_xlfn.TEXTAFTER('3 - Carts &amp; Stands-WUO_ERR'!A504, ":"))))</f>
        <v/>
      </c>
    </row>
    <row r="505">
      <c r="A505" s="39">
        <f>IF('3 - Carts &amp; Stands'!B505 = "", "", IF('3 - Carts &amp; Stands-WUO_ERR'!A505 = "", "Validated", HYPERLINK("#" &amp; ADDRESS(505, '3 - Carts &amp; Stands-WUO_TRK'!A505),_xlfn.TEXTAFTER('3 - Carts &amp; Stands-WUO_ERR'!A505, ":"))))</f>
        <v/>
      </c>
    </row>
    <row r="506">
      <c r="A506" s="39">
        <f>IF('3 - Carts &amp; Stands'!B506 = "", "", IF('3 - Carts &amp; Stands-WUO_ERR'!A506 = "", "Validated", HYPERLINK("#" &amp; ADDRESS(506, '3 - Carts &amp; Stands-WUO_TRK'!A506),_xlfn.TEXTAFTER('3 - Carts &amp; Stands-WUO_ERR'!A506, ":"))))</f>
        <v/>
      </c>
    </row>
    <row r="507">
      <c r="A507" s="39">
        <f>IF('3 - Carts &amp; Stands'!B507 = "", "", IF('3 - Carts &amp; Stands-WUO_ERR'!A507 = "", "Validated", HYPERLINK("#" &amp; ADDRESS(507, '3 - Carts &amp; Stands-WUO_TRK'!A507),_xlfn.TEXTAFTER('3 - Carts &amp; Stands-WUO_ERR'!A507, ":"))))</f>
        <v/>
      </c>
    </row>
  </sheetData>
  <sheetProtection selectLockedCells="0" selectUnlockedCells="0" sheet="1" objects="1" insertRows="1" insertHyperlinks="1" autoFilter="1" scenarios="1" formatColumns="0" deleteColumns="1" insertColumns="1" pivotTables="1" deleteRows="1" formatCells="1" formatRows="0" sort="1" password="A46A"/>
  <mergeCells count="9">
    <mergeCell ref="AL2:AO2"/>
    <mergeCell ref="AP2:AS2"/>
    <mergeCell ref="U2:Z2"/>
    <mergeCell ref="R2:T2"/>
    <mergeCell ref="B2:I2"/>
    <mergeCell ref="AA2:AK2"/>
    <mergeCell ref="AT2:BN2"/>
    <mergeCell ref="J2:Q2"/>
    <mergeCell ref="BO2:DX2"/>
  </mergeCells>
  <conditionalFormatting sqref="A8:A507">
    <cfRule type="expression" priority="5" dxfId="4">
      <formula>A8="Validated"</formula>
    </cfRule>
    <cfRule type="expression" priority="6" dxfId="5">
      <formula>OR(COUNTIF('3 - Carts &amp; Stands-WUO_TRK'!B8:DY8,"Error"),COUNTIF('3 - Carts &amp; Stands-WUO_TRK'!B8:DY8,"Required"))</formula>
    </cfRule>
    <cfRule type="expression" priority="7" dxfId="6">
      <formula>COUNTIF('3 - Carts &amp; Stands-WUO_TRK'!B8:DY8,"Warning")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DY507">
    <cfRule type="expression" priority="1" dxfId="0">
      <formula>'3 - Carts &amp; Stands-WUO_TRK'!B8="Error"</formula>
    </cfRule>
    <cfRule type="expression" priority="2" dxfId="1">
      <formula>'3 - Carts &amp; Stands-WUO_TRK'!B8="Required"</formula>
    </cfRule>
    <cfRule type="expression" priority="3" dxfId="2">
      <formula>'3 - Carts &amp; Stands-WUO_TRK'!B8="Warning"</formula>
    </cfRule>
    <cfRule type="expression" priority="4" dxfId="3">
      <formula>'3 - Carts &amp; Stands-WUO_TRK'!B8="Disabled"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31">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'WAYFAIR_USE_ONLY'!$B$7:$B15</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Adjustable Height" error="The value provided is not a valid Adjustable Height." promptTitle="Adjustable Height" prompt="Please select a valid Adjustable Height" type="list">
      <formula1>'WAYFAIR_USE_ONLY'!$C$7:$C10</formula1>
    </dataValidation>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0" errorTitle="Invalid Number" error="The value provided is not a valid Number." promptTitle="Shelf Weight Capacity" prompt="Please enter Number" type="textLength" errorStyle="warning" operator="lessThanOrEqual">
      <formula1>32767</formula1>
    </dataValidation>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8:BT2500" showDropDown="0" showInputMessage="1" showErrorMessage="1" allowBlank="1" errorTitle="Invalid Tilting" error="The value provided is not a valid Tilting." promptTitle="Tilting" prompt="Please select a valid Tilting" type="list">
      <formula1>'WAYFAIR_USE_ONLY'!$D$7:$D10</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8:BU250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8:BV2500" showDropDown="0" showInputMessage="1" showErrorMessage="1" allowBlank="1" errorTitle="Invalid Drawers Included" error="The value provided is not a valid Drawers Included." promptTitle="Drawers Included" prompt="Please select a valid Drawers Included" type="list">
      <formula1>'WAYFAIR_USE_ONLY'!$F$7:$F9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8:BW2500" showDropDown="0" showInputMessage="1" showErrorMessage="1" allowBlank="1" errorTitle="Invalid Legs Included" error="The value provided is not a valid Legs Included." promptTitle="Legs Included" prompt="Please select a valid Legs Included" type="list">
      <formula1>'WAYFAIR_USE_ONLY'!$G$7:$G10</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8:BX250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'WAYFAIR_USE_ONLY'!$H$7:$H9</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8:BY2500" showDropDown="0" showInputMessage="1" showErrorMessage="1" allowBlank="0" errorTitle="Invalid Number" error="The value provided is not a valid Number." promptTitle="Overall Weight Capacity" prompt="Please enter Number" type="textLength" errorStyle="warning" operator="lessThanOrEqual">
      <formula1>32767</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'WAYFAIR_USE_ONLY'!$P$7:$P10</formula1>
    </dataValidation>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8:CC2500" showDropDown="0" showInputMessage="1" showErrorMessage="1" allowBlank="1" errorTitle="Invalid Battery Type" error="The value provided is not a valid Battery Type." promptTitle="Battery Type" prompt="Please select a valid Battery Type" type="list">
      <formula1>'WAYFAIR_USE_ONLY'!$J$7:$J11</formula1>
    </dataValidation>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8:CD2500" showDropDown="0" showInputMessage="1" showErrorMessage="1" allowBlank="1" errorTitle="Invalid Battery Composition" error="The value provided is not a valid Battery Composition." promptTitle="Battery Composition" prompt="Please select a valid Battery Composition" type="list">
      <formula1>'WAYFAIR_USE_ONLY'!$I$7:$I17</formula1>
    </dataValidation>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8:CE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'WAYFAIR_USE_ONLY'!$K$7:$K19</formula1>
    </dataValidation>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8:CF2500" showDropDown="0" showInputMessage="1" showErrorMessage="1" allowBlank="1" errorTitle="Invalid Battery Shipment" error="The value provided is not a valid Battery Shipment." promptTitle="Battery Shipment" prompt="Please select a valid Battery Shipment" type="list">
      <formula1>'WAYFAIR_USE_ONLY'!$L$7:$L11</formula1>
    </dataValidation>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8:CG2500" showDropDown="0" showInputMessage="1" showErrorMessage="1" allowBlank="1" errorTitle="Invalid Lithium Content" error="The value provided is not a valid Lithium Content." promptTitle="Lithium Content" prompt="Please select a valid Lithium Content" type="list">
      <formula1>'WAYFAIR_USE_ONLY'!$M$7:$M14</formula1>
    </dataValidation>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8:CH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'WAYFAIR_USE_ONLY'!$N$7:$N14</formula1>
    </dataValidation>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8:CI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'WAYFAIR_USE_ONLY'!$O$7:$O12</formula1>
    </dataValidation>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8:CK2500" showDropDown="0" showInputMessage="1" showErrorMessage="1" allowBlank="1" errorTitle="Invalid Adjustable Shelves" error="The value provided is not a valid Adjustable Shelves." promptTitle="Adjustable Shelves" prompt="Please select a valid Adjustable Shelves" type="list">
      <formula1>'WAYFAIR_USE_ONLY'!$Q$7:$Q11</formula1>
    </dataValidation>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8:CL2500" showDropDown="0" showInputMessage="1" showErrorMessage="1" allowBlank="1" errorTitle="Invalid Locking Wheels" error="The value provided is not a valid Locking Wheels." promptTitle="Locking Wheels" prompt="Please select a valid Locking Wheels" type="list">
      <formula1>'WAYFAIR_USE_ONLY'!$R$7:$R10</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8:CM2500" showDropDown="0" showInputMessage="1" showErrorMessage="1" allowBlank="1" errorTitle="Invalid Mount Type" error="The value provided is not a valid Mount Type. Would you like to provide a custom answer?" promptTitle="Mount Type" prompt="Please select a valid Mount Type" type="list" errorStyle="warning">
      <formula1>'WAYFAIR_USE_ONLY'!$S$7:$S15</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8:CO2500" showDropDown="0" showInputMessage="1" showErrorMessage="1" allowBlank="0" errorTitle="Invalid Whole Number" error="The value provided is not a valid Whole Number." promptTitle="Number of Shelves" prompt="Please enter Whole Number" type="textLength" errorStyle="warning" operator="lessThanOrEqual">
      <formula1>32767</formula1>
    </dataValidation>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8:CP2500" showDropDown="0" showInputMessage="1" showErrorMessage="1" allowBlank="1" errorTitle="Invalid Storage Included" error="The value provided is not a valid Storage Included." promptTitle="Storage Included" prompt="Please select a valid Storage Included" type="list">
      <formula1>'WAYFAIR_USE_ONLY'!$T$7:$T10</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8:CT2500" showDropDown="0" showInputMessage="1" showErrorMessage="1" allowBlank="0" errorTitle="Invalid Whole Number" error="The value provided is not a valid Whole Number." promptTitle="Number of Wheels / Casters Inclu" prompt="Please enter Whole Number"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8:CU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'WAYFAIR_USE_ONLY'!$U$7:$U10</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8:CV2500" showDropDown="0" showInputMessage="1" showErrorMessage="1" allowBlank="1" errorTitle="Invalid ADA Compliant" error="The value provided is not a valid ADA Compliant." promptTitle="ADA Compliant" prompt="Please select a valid ADA Compliant" type="list">
      <formula1>'WAYFAIR_USE_ONLY'!$V$7:$V10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8:CW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'WAYFAIR_USE_ONLY'!$Z$7:$Z10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8:CX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'WAYFAIR_USE_ONLY'!$W$7:$W11</formula1>
    </dataValidation>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8:CY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'WAYFAIR_USE_ONLY'!$X$7:$X11</formula1>
    </dataValidation>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8:CZ2500" showDropDown="0" showInputMessage="1" showErrorMessage="1" allowBlank="1" errorTitle="Invalid CANFER Compliant" error="The value provided is not a valid CANFER Compliant." promptTitle="CANFER Compliant" prompt="Please select a valid CANFER Compliant" type="list">
      <formula1>'WAYFAIR_USE_ONLY'!$Y$7:$Y11</formula1>
    </dataValidation>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8:DA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'WAYFAIR_USE_ONLY'!$AA$7:$AA10</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8:DB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'WAYFAIR_USE_ONLY'!$AB$7:$AB9</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8:DD2500" showDropDown="0" showInputMessage="1" showErrorMessage="1" allowBlank="1" errorTitle="Invalid Lacey Act Compliant" error="The value provided is not a valid Lacey Act Compliant." promptTitle="Lacey Act Compliant" prompt="Please select a valid Lacey Act Compliant" type="list">
      <formula1>'WAYFAIR_USE_ONLY'!$AC$7:$AC11</formula1>
    </dataValidation>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8:DE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'WAYFAIR_USE_ONLY'!$AD$7:$AD11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8:DF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'WAYFAIR_USE_ONLY'!$AH$7:$AH9</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8:DH2500" showDropDown="0" showInputMessage="1" showErrorMessage="1" allowBlank="1" errorTitle="Invalid Hazard Class(es)" error="The value provided is not a valid Hazard Class(es)." promptTitle="Hazard Class(es)" prompt="Please select a valid Hazard Class(es)" type="list">
      <formula1>'WAYFAIR_USE_ONLY'!$AE$7:$AE23</formula1>
    </dataValidation>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8:DI2500" showDropDown="0" showInputMessage="1" showErrorMessage="1" allowBlank="1" errorTitle="Invalid Packing Group" error="The value provided is not a valid Packing Group." promptTitle="Packing Group" prompt="Please select a valid Packing Group" type="list">
      <formula1>'WAYFAIR_USE_ONLY'!$AF$7:$AF12</formula1>
    </dataValidation>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8:DJ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'WAYFAIR_USE_ONLY'!$AG$7:$AG19</formula1>
    </dataValidation>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8:DK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'WAYFAIR_USE_ONLY'!$AI$7:$AI12</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8:DM250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8:DN2500" showDropDown="0" showInputMessage="1" showErrorMessage="1" allowBlank="1" errorTitle="Invalid ISTA Certified" error="The value provided is not a valid ISTA Certified." promptTitle="ISTA Certified" prompt="Please select a valid ISTA Certified" type="list">
      <formula1>'WAYFAIR_USE_ONLY'!$AJ$7:$AJ10</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8:DO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'WAYFAIR_USE_ONLY'!$AK$7:$AK10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8:DP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8:DQ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8:DR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8:DS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8:DT2500" showDropDown="0" showInputMessage="1" showErrorMessage="1" allowBlank="1" errorTitle="Invalid Assembly Required" error="The value provided is not a valid Assembly Required." promptTitle="Assembly Required" prompt="Please select a valid Assembly Required" type="list">
      <formula1>'WAYFAIR_USE_ONLY'!$AL$7:$AL9</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8:DU2500" showDropDown="0" showInputMessage="1" showErrorMessage="1" allowBlank="1" errorTitle="Invalid Commercial Warranty" error="The value provided is not a valid Commercial Warranty." promptTitle="Commercial Warranty" prompt="Please select a valid Commercial Warranty" type="list">
      <formula1>'WAYFAIR_USE_ONLY'!$AN$7:$AN10</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8:DV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'WAYFAIR_USE_ONLY'!$AM$7:$AM32</formula1>
    </dataValidation>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8:DW2500" showDropDown="0" showInputMessage="1" showErrorMessage="1" allowBlank="1" errorTitle="Invalid Product Warranty" error="The value provided is not a valid Product Warranty." promptTitle="Product Warranty" prompt="Please select a valid Product Warranty" type="list">
      <formula1>'WAYFAIR_USE_ONLY'!$AO$7:$AO9</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X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f t="array" ref="A8">_xlfn.BYROW(B8:DY507,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_xlfn.MAP('3 - Carts &amp; Stands'!B8:B507, '3 - Carts &amp; Stands'!B8:B507,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IF(OR('3 - Carts &amp; Stands'!B$7 = "", '3 - Carts &amp; Stands'!B$7 = "N/A"), "3:Supplier Part Number - Value is required", ""), ""))))))))</f>
        <v/>
      </c>
      <c r="C8" s="22">
        <f t="array" ref="C8">_xlfn.MAP('3 - Carts &amp; Stands'!B8:B507, '3 - Carts &amp; Stands'!C8:C507, _xlfn.LAMBDA(_xlpm.part, _xlpm.val, IF(_xlpm.part = "", "", IF(AND(_xlpm.val = "", C$3="Required"), IF(OR('3 - Carts &amp; Stands'!C$7 = "", '3 - Carts &amp; Stands'!C$7 = "N/A"), "3:ASIN or Amazon Seller SKU - Value is required", ""), ""))))</f>
        <v/>
      </c>
      <c r="D8" s="22">
        <f t="array" ref="D8">_xlfn.MAP('3 - Carts &amp; Stands'!B8:B507, '3 - Carts &amp; Stands'!D8:D507, '3 - Carts &amp; Stands'!J8:J507, _xlfn.LAMBDA(_xlpm.part, _xlpm.val, _xlpm.dep1, IF(_xlpm.part = "", "", _xlfn.LET(_xlpm.check1, IF(AND(_xlpm.val = "", _xlpm.dep1 = "NON-PRIMARY VARIANT"), "2:Autofill", ""), IF(LEN(_xlpm.check1) &gt; 0, _xlpm.check1, IF(AND(_xlpm.val = "", D$3="Required"), IF(OR('3 - Carts &amp; Stands'!D$7 = "", '3 - Carts &amp; Stands'!D$7 = "N/A"), "3:Brand - Value is required", ""), ""))))))</f>
        <v/>
      </c>
      <c r="E8" s="22">
        <f t="array" ref="E8">_xlfn.MAP('3 - Carts &amp; Stands'!B8:B507, '3 - Carts &amp; Stands'!E8:E507,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IF(OR('3 - Carts &amp; Stands'!E$7 = "", '3 - Carts &amp; Stands'!E$7 = "N/A"), "3:Manufacturer Part Number - Value is required", ""), ""))))))))))</f>
        <v/>
      </c>
      <c r="F8" s="22">
        <f t="array" ref="F8">_xlfn.MAP('3 - Carts &amp; Stands'!B8:B507, '3 - Carts &amp; Stands'!F8:F507,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IF(OR('3 - Carts &amp; Stands'!F$7 = "", '3 - Carts &amp; Stands'!F$7 = "N/A"), "3:Universal Product Code - Value is required", ""), ""))))))))</f>
        <v/>
      </c>
      <c r="G8" s="22">
        <f t="array" ref="G8">_xlfn.MAP('3 - Carts &amp; Stands'!B8:B507, '3 - Carts &amp; Stands'!G8:G507, _xlfn.LAMBDA(_xlpm.part, _xlpm.val, IF(_xlpm.part = "", "", _xlfn.LET(_xlpm.check1, IF(OR(ISNUMBER(SEARCH({"&lt;","&gt;","^","Ø","•","‣","⁃","⁌","™","∙","⌀","◦"}, _xlpm.val))), "1:Product name cannot contain special characters ([™Ø⌀•‣◦⁃⁌⁍∙&lt;&gt;])", ""), IF(LEN(_xlpm.check1) &gt; 0, _xlpm.check1, IF(AND(_xlpm.val = "", G$3="Required"), IF(OR('3 - Carts &amp; Stands'!G$7 = "", '3 - Carts &amp; Stands'!G$7 = "N/A"), "3:Product Name - Value is required", ""), ""))))))</f>
        <v/>
      </c>
      <c r="H8" s="22">
        <f t="array" ref="H8">_xlfn.MAP('3 - Carts &amp; Stands'!B8:B507, '3 - Carts &amp; Stands'!H8:H507, '3 - Carts &amp; Stands'!J8:J507, _xlfn.LAMBDA(_xlpm.part, _xlpm.val, _xlpm.dep1, IF(_xlpm.part = "", "", _xlfn.LET(_xlpm.check1, IF(AND(_xlpm.val = "", _xlpm.dep1 = "NON-PRIMARY VARIANT"), "2:Autofill", ""), IF(LEN(_xlpm.check1) &gt; 0, _xlpm.check1, IF(AND(_xlpm.val = "", H$3="Required"), IF(OR('3 - Carts &amp; Stands'!H$7 = "", '3 - Carts &amp; Stands'!H$7 = "N/A"), "3:Collection Name - Value is required", ""), ""))))))</f>
        <v/>
      </c>
      <c r="I8" s="22">
        <f t="array" ref="I8">_xlfn.MAP('3 - Carts &amp; Stands'!B8:B507, '3 - Carts &amp; Stands'!I8:I507, _xlfn.LAMBDA(_xlpm.part, _xlpm.val, IF(_xlpm.part = "", "", IF(AND(_xlpm.val = "", I$3="Required"), IF(OR('3 - Carts &amp; Stands'!I$7 = "", '3 - Carts &amp; Stands'!I$7 = "N/A"), "3:Manufacturer Product URL - Value is required", ""), ""))))</f>
        <v/>
      </c>
      <c r="J8" s="22">
        <f t="array" ref="J8">_xlfn.MAP('3 - Carts &amp; Stands'!B8:B507, '3 - Carts &amp; Stands'!J8:J507, _xlfn.LAMBDA(_xlpm.part, _xlpm.val, IF(_xlpm.part = "", "", IF(AND(_xlpm.val = "", J$3="Required"), IF(OR('3 - Carts &amp; Stands'!J$7 = "", '3 - Carts &amp; Stands'!J$7 = "N/A"), "3:Variant Type - Value is required", ""), ""))))</f>
        <v/>
      </c>
      <c r="K8" s="22">
        <f t="array" ref="K8">_xlfn.MAP('3 - Carts &amp; Stands'!B8:B507, '3 - Carts &amp; Stands'!K8:K507, '3 - Carts &amp; Stands'!J8:J507,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IF(OR('3 - Carts &amp; Stands'!K$7 = "", '3 - Carts &amp; Stands'!K$7 = "N/A"), "3:Group Reference ID - Value is required", ""), ""), IF(LEN(_xlpm.check2) &gt; 0, _xlpm.check2, _xlfn.LET(_xlpm.check3, IF(_xlpm.dep1 = "PRIMARY VARIANT", IF(_xlpm.val = "", IF(OR('3 - Carts &amp; Stands'!K$7 = "", '3 - Carts &amp; Stands'!K$7 = "N/A"), "3:Variant Group Reference Id is required for primary-variant", ""), ""), ""), IF(LEN(_xlpm.check3) &gt; 0, _xlpm.check3, IF(_xlpm.dep1 = "NON-PRIMARY VARIANT", IF(_xlpm.val = "", IF(OR('3 - Carts &amp; Stands'!K$7 = "", '3 - Carts &amp; Stands'!K$7 = "N/A"), "3:Variant Group Reference Id is required for non-primary variant", ""), ""), ""))))))))))</f>
        <v/>
      </c>
      <c r="L8" s="22">
        <f t="array" ref="L8">_xlfn.MAP('3 - Carts &amp; Stands'!B8:B507, '3 - Carts &amp; Stands'!L8:L507,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IF(OR('3 - Carts &amp; Stands'!L$7 = "", '3 - Carts &amp; Stands'!L$7 = "N/A"), "3:Variant Grouping - Value is required", ""), ""), IF(LEN(_xlpm.check5) &gt; 0, _xlpm.check5, IF(_xlpm.dep1 = "PRIMARY VARIANT", IF(_xlpm.val = "", IF(OR('3 - Carts &amp; Stands'!L$7 = "", '3 - Carts &amp; Stands'!L$7 = "N/A"), "3:Variant grouping value must be specified for primary variant", ""), ""), ""))))))))))))))</f>
        <v/>
      </c>
      <c r="M8" s="22">
        <f t="array" ref="M8">_xlfn.MAP('3 - Carts &amp; Stands'!B8:B507, '3 - Carts &amp; Stands'!M8:M507, '3 - Carts &amp; Stands'!J8:J507, '3 - Carts &amp; Stands'!L8:L507,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IF(OR('3 - Carts &amp; Stands'!M$7 = "", '3 - Carts &amp; Stands'!M$7 = "N/A"), "3:Variant Attribute Name On Site - Value is required", ""), ""), IF(LEN(_xlpm.check3) &gt; 0, _xlpm.check3, _xlfn.LET(_xlpm.check4, IF(AND(_xlpm.dep2 &lt;&gt; "", _xlpm.dep2 &lt;&gt; "Finish", _xlpm.dep2 &lt;&gt; "Assembly"), IF(_xlpm.val = "", IF(OR('3 - Carts &amp; Stands'!M$7 = "", '3 - Carts &amp; Stands'!M$7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Stands'!M$7 = "", '3 - Carts &amp; Stands'!M$7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Stands'!M$7 = "", '3 - Carts &amp; Stands'!M$7 = "N/A"), "3:Name on site is required when variant grouping value is provided", ""), ""), ""), IF(LEN(_xlpm.check6) &gt; 0, _xlpm.check6, _xlfn.LET(_xlpm.check7, IF(AND(_xlpm.dep2 &lt;&gt; "", _xlpm.dep2 &lt;&gt; "Color"), IF(_xlpm.val = "", IF(OR('3 - Carts &amp; Stands'!M$7 = "", '3 - Carts &amp; Stands'!M$7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Stands'!M$7 = "", '3 - Carts &amp; Stands'!M$7 = "N/A"), "3:Name on site is required when variant grouping value is provided", ""), ""), ""))))))))))))))))))</f>
        <v/>
      </c>
      <c r="N8" s="22">
        <f t="array" ref="N8">_xlfn.MAP('3 - Carts &amp; Stands'!B8:B507, '3 - Carts &amp; Stands'!N8:N507,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IF(OR('3 - Carts &amp; Stands'!N$7 = "", '3 - Carts &amp; Stands'!N$7 = "N/A"), "3:Variant Grouping - Value is required", ""), ""))))))))))))</f>
        <v/>
      </c>
      <c r="O8" s="22">
        <f t="array" ref="O8">_xlfn.MAP('3 - Carts &amp; Stands'!B8:B507, '3 - Carts &amp; Stands'!O8:O507, '3 - Carts &amp; Stands'!J8:J507, '3 - Carts &amp; Stands'!N8:N507,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IF(OR('3 - Carts &amp; Stands'!O$7 = "", '3 - Carts &amp; Stands'!O$7 = "N/A"), "3:Variant Attribute Name On Site - Value is required", ""), ""), IF(LEN(_xlpm.check3) &gt; 0, _xlpm.check3, _xlfn.LET(_xlpm.check4, IF(AND(_xlpm.dep2 &lt;&gt; "", _xlpm.dep2 &lt;&gt; "Finish", _xlpm.dep2 &lt;&gt; "Assembly"), IF(_xlpm.val = "", IF(OR('3 - Carts &amp; Stands'!O$7 = "", '3 - Carts &amp; Stands'!O$7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Stands'!O$7 = "", '3 - Carts &amp; Stands'!O$7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Stands'!O$7 = "", '3 - Carts &amp; Stands'!O$7 = "N/A"), "3:Name on site is required when variant grouping value is provided", ""), ""), ""), IF(LEN(_xlpm.check6) &gt; 0, _xlpm.check6, _xlfn.LET(_xlpm.check7, IF(AND(_xlpm.dep2 &lt;&gt; "", _xlpm.dep2 &lt;&gt; "Color"), IF(_xlpm.val = "", IF(OR('3 - Carts &amp; Stands'!O$7 = "", '3 - Carts &amp; Stands'!O$7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Stands'!O$7 = "", '3 - Carts &amp; Stands'!O$7 = "N/A"), "3:Name on site is required when variant grouping value is provided", ""), ""), ""))))))))))))))))))</f>
        <v/>
      </c>
      <c r="P8" s="22">
        <f t="array" ref="P8">_xlfn.MAP('3 - Carts &amp; Stands'!B8:B507, '3 - Carts &amp; Stands'!P8:P507,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IF(OR('3 - Carts &amp; Stands'!P$7 = "", '3 - Carts &amp; Stands'!P$7 = "N/A"), "3:Variant Grouping - Value is required", ""), ""))))))))))))</f>
        <v/>
      </c>
      <c r="Q8" s="22">
        <f t="array" ref="Q8">_xlfn.MAP('3 - Carts &amp; Stands'!B8:B507, '3 - Carts &amp; Stands'!Q8:Q507, '3 - Carts &amp; Stands'!J8:J507, '3 - Carts &amp; Stands'!P8:P507,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IF(OR('3 - Carts &amp; Stands'!Q$7 = "", '3 - Carts &amp; Stands'!Q$7 = "N/A"), "3:Variant Attribute Name On Site - Value is required", ""), ""), IF(LEN(_xlpm.check3) &gt; 0, _xlpm.check3, _xlfn.LET(_xlpm.check4, IF(AND(_xlpm.dep2 &lt;&gt; "", _xlpm.dep2 &lt;&gt; "Finish", _xlpm.dep2 &lt;&gt; "Assembly"), IF(_xlpm.val = "", IF(OR('3 - Carts &amp; Stands'!Q$7 = "", '3 - Carts &amp; Stands'!Q$7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Stands'!Q$7 = "", '3 - Carts &amp; Stands'!Q$7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Stands'!Q$7 = "", '3 - Carts &amp; Stands'!Q$7 = "N/A"), "3:Name on site is required when variant grouping value is provided", ""), ""), ""), IF(LEN(_xlpm.check6) &gt; 0, _xlpm.check6, _xlfn.LET(_xlpm.check7, IF(AND(_xlpm.dep2 &lt;&gt; "", _xlpm.dep2 &lt;&gt; "Color"), IF(_xlpm.val = "", IF(OR('3 - Carts &amp; Stands'!Q$7 = "", '3 - Carts &amp; Stands'!Q$7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Stands'!Q$7 = "", '3 - Carts &amp; Stands'!Q$7 = "N/A"), "3:Name on site is required when variant grouping value is provided", ""), ""), ""))))))))))))))))))</f>
        <v/>
      </c>
      <c r="R8" s="22">
        <f t="array" ref="R8">_xlfn.MAP('3 - Carts &amp; Stands'!B8:B507, '3 - Carts &amp; Stands'!R8:R507, _xlfn.LAMBDA(_xlpm.part, _xlpm.val, IF(_xlpm.part = "", "", _xlfn.LET(_xlpm.check1, IF(AND(NOT(ISBLANK(_xlpm.val)),OR(NOT(ISNUMBER(IFERROR(VALUE(_xlpm.val), ""))), IFERROR(VALUE(_xlpm.val), -1) &lt; 0)), "1:Base Cost - Value should be numeric", ""), IF(LEN(_xlpm.check1) &gt; 0, _xlpm.check1, IF(AND(_xlpm.val = "", R$3="Required"), IF(OR('3 - Carts &amp; Stands'!R$7 = "", '3 - Carts &amp; Stands'!R$7 = "N/A"), "3:Base Cost - Value is required", ""), ""))))))</f>
        <v/>
      </c>
      <c r="S8" s="22">
        <f t="array" ref="S8">_xlfn.MAP('3 - Carts &amp; Stands'!B8:B507, '3 - Carts &amp; Stands'!S8:S507, _xlfn.LAMBDA(_xlpm.part, _xlpm.val, IF(_xlpm.part = "", "", _xlfn.LET(_xlpm.check1, IF(AND(NOT(ISBLANK(_xlpm.val)),OR(NOT(ISNUMBER(IFERROR(VALUE(_xlpm.val), ""))), IFERROR(VALUE(_xlpm.val), -1) &lt; 0)), "1:Minimum Advertised Price - Value should be numeric", ""), IF(LEN(_xlpm.check1) &gt; 0, _xlpm.check1, IF(AND(_xlpm.val = "", S$3="Required"), IF(OR('3 - Carts &amp; Stands'!S$7 = "", '3 - Carts &amp; Stands'!S$7 = "N/A"), "3:Minimum Advertised Price - Value is required", ""), ""))))))</f>
        <v/>
      </c>
      <c r="T8" s="22">
        <f t="array" ref="T8">_xlfn.MAP('3 - Carts &amp; Stands'!B8:B507, '3 - Carts &amp; Stands'!T8:T507,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IF(OR('3 - Carts &amp; Stands'!T$7 = "", '3 - Carts &amp; Stands'!T$7 = "N/A"), "3:Manufacturer Suggested Retail Price - Value is required", ""), ""))))))</f>
        <v/>
      </c>
      <c r="U8" s="22">
        <f t="array" ref="U8">_xlfn.MAP('3 - Carts &amp; Stands'!B8:B507, '3 - Carts &amp; Stands'!U8:U507, '3 - Carts &amp; Stands'!J8:J507, '3 - Carts &amp; Stands'!V8:V507, '3 - Carts &amp; Stands'!W8:W507, '3 - Carts &amp; Stands'!X8:X507,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IF(OR('3 - Carts &amp; Stands'!U$7 = "", '3 - Carts &amp; Stands'!U$7 = "N/A"), "3:Marketing Copy - Value is required", ""), ""), IF(LEN(_xlpm.check4) &gt; 0, _xlpm.check4, IF(OR(_xlpm.dep2 = "", _xlpm.dep3 = "", _xlpm.dep4 = ""), IF(_xlpm.val = "", IF(OR('3 - Carts &amp; Stands'!U$7 = "", '3 - Carts &amp; Stands'!U$7 = "N/A"), "3:Either the Marketing Copy or at least three Feature Bullets are required for this part.", ""), ""), ""))))))))))))</f>
        <v/>
      </c>
      <c r="V8" s="22">
        <f t="array" ref="V8">_xlfn.MAP('3 - Carts &amp; Stands'!B8:B507, '3 - Carts &amp; Stands'!V8:V507, '3 - Carts &amp; Stands'!J8:J507, '3 - Carts &amp; Stands'!W8:W507, '3 - Carts &amp; Stands'!X8:X507,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IF(OR('3 - Carts &amp; Stands'!V$7 = "", '3 - Carts &amp; Stands'!V$7 = "N/A"), "3:Feature Bullet - Value is required", ""), ""), IF(LEN(_xlpm.check3) &gt; 0, _xlpm.check3, _xlfn.LET(_xlpm.check4, IF(AND(AND(_xlpm.dep2 = "", _xlpm.dep3 = ""), _xlpm.dep4 = ""), IF(_xlpm.val = "", IF(OR('3 - Carts &amp; Stands'!V$7 = "", '3 - Carts &amp; Stands'!V$7 = "N/A"), "3:Either the Marketing Copy or at least three Feature Bullets are required for this part.", ""), ""), ""), IF(LEN(_xlpm.check4) &gt; 0, _xlpm.check4, IF(_xlpm.dep4 = "", IF(_xlpm.val = "", IF(OR('3 - Carts &amp; Stands'!V$7 = "", '3 - Carts &amp; Stands'!V$7 = "N/A"), "3:Three feature bullets must be filled", ""), ""), ""))))))))))))</f>
        <v/>
      </c>
      <c r="W8" s="22">
        <f t="array" ref="W8">_xlfn.MAP('3 - Carts &amp; Stands'!B8:B507, '3 - Carts &amp; Stands'!W8:W507, '3 - Carts &amp; Stands'!J8:J507, '3 - Carts &amp; Stands'!V8:V507, '3 - Carts &amp; Stands'!X8:X507,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IF(OR('3 - Carts &amp; Stands'!W$7 = "", '3 - Carts &amp; Stands'!W$7 = "N/A"), "3:Feature Bullet - Value is required", ""), ""), IF(LEN(_xlpm.check3) &gt; 0, _xlpm.check3, _xlfn.LET(_xlpm.check4, IF(AND(AND(_xlpm.dep2 = "", _xlpm.dep3 = ""), _xlpm.dep4 = ""), IF(_xlpm.val = "", IF(OR('3 - Carts &amp; Stands'!W$7 = "", '3 - Carts &amp; Stands'!W$7 = "N/A"), "3:Either the Marketing Copy or at least three Feature Bullets are required for this part.", ""), ""), ""), IF(LEN(_xlpm.check4) &gt; 0, _xlpm.check4, IF(_xlpm.dep4 = "", IF(_xlpm.val = "", IF(OR('3 - Carts &amp; Stands'!W$7 = "", '3 - Carts &amp; Stands'!W$7 = "N/A"), "3:Three feature bullets must be filled", ""), ""), ""))))))))))))</f>
        <v/>
      </c>
      <c r="X8" s="22">
        <f t="array" ref="X8">_xlfn.MAP('3 - Carts &amp; Stands'!B8:B507, '3 - Carts &amp; Stands'!X8:X507, '3 - Carts &amp; Stands'!J8:J507, '3 - Carts &amp; Stands'!V8:V507, '3 - Carts &amp; Stands'!W8:W507,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IF(OR('3 - Carts &amp; Stands'!X$7 = "", '3 - Carts &amp; Stands'!X$7 = "N/A"), "3:Feature Bullet - Value is required", ""), ""), IF(LEN(_xlpm.check3) &gt; 0, _xlpm.check3, _xlfn.LET(_xlpm.check4, IF(AND(AND(_xlpm.dep2 = "", _xlpm.dep3 = ""), _xlpm.dep4 = ""), IF(_xlpm.val = "", IF(OR('3 - Carts &amp; Stands'!X$7 = "", '3 - Carts &amp; Stands'!X$7 = "N/A"), "3:Either the Marketing Copy or at least three Feature Bullets are required for this part.", ""), ""), ""), IF(LEN(_xlpm.check4) &gt; 0, _xlpm.check4, IF(_xlpm.dep4 = "", IF(_xlpm.val = "", IF(OR('3 - Carts &amp; Stands'!X$7 = "", '3 - Carts &amp; Stands'!X$7 = "N/A"), "3:Three feature bullets must be filled", ""), ""), ""))))))))))))</f>
        <v/>
      </c>
      <c r="Y8" s="22">
        <f t="array" ref="Y8">_xlfn.MAP('3 - Carts &amp; Stands'!B8:B507, '3 - Carts &amp; Stands'!Y8:Y507, '3 - Carts &amp; Stands'!J8:J507,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IF(OR('3 - Carts &amp; Stands'!Y$7 = "", '3 - Carts &amp; Stands'!Y$7 = "N/A"), "3:Feature Bullet - Value is required", ""), ""))))))))</f>
        <v/>
      </c>
      <c r="Z8" s="22">
        <f t="array" ref="Z8">_xlfn.MAP('3 - Carts &amp; Stands'!B8:B507, '3 - Carts &amp; Stands'!Z8:Z507, '3 - Carts &amp; Stands'!J8:J507,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IF(OR('3 - Carts &amp; Stands'!Z$7 = "", '3 - Carts &amp; Stands'!Z$7 = "N/A"), "3:Feature Bullet - Value is required", ""), ""))))))))</f>
        <v/>
      </c>
      <c r="AA8" s="22">
        <f t="array" ref="AA8">_xlfn.MAP('3 - Carts &amp; Stands'!B8:B507, '3 - Carts &amp; Stands'!AA8:AA507,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IF(OR('3 - Carts &amp; Stands'!AA$7 = "", '3 - Carts &amp; Stands'!AA$7 = "N/A"), "3:Minimum Order Quantity - Value is required", ""), ""))))))))))))</f>
        <v/>
      </c>
      <c r="AB8" s="22">
        <f t="array" ref="AB8">_xlfn.MAP('3 - Carts &amp; Stands'!B8:B507, '3 - Carts &amp; Stands'!AB8:AB507,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IF(OR('3 - Carts &amp; Stands'!AB$7 = "", '3 - Carts &amp; Stands'!AB$7 = "N/A"), "3:Force Quantity Multiplier - Value is required", ""), ""))))))))))))</f>
        <v/>
      </c>
      <c r="AC8" s="22">
        <f t="array" ref="AC8">_xlfn.MAP('3 - Carts &amp; Stands'!B8:B507, '3 - Carts &amp; Stands'!AC8:AC507,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IF(OR('3 - Carts &amp; Stands'!AC$7 = "", '3 - Carts &amp; Stands'!AC$7 = "N/A"), "3:Display Set Quantity - Value is required", ""), ""))))))))))))</f>
        <v/>
      </c>
      <c r="AD8" s="22">
        <f t="array" ref="AD8">_xlfn.MAP('3 - Carts &amp; Stands'!B8:B507, '3 - Carts &amp; Stands'!AD8:AD507,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IF(OR('3 - Carts &amp; Stands'!AD$7 = "", '3 - Carts &amp; Stands'!AD$7 = "N/A"), "3:Product Weight - Value is required", ""), ""))))))))))</f>
        <v/>
      </c>
      <c r="AE8" s="22">
        <f t="array" ref="AE8">_xlfn.MAP('3 - Carts &amp; Stands'!B8:B507, '3 - Carts &amp; Stands'!AE8:AE507, '3 - Carts &amp; Stands'!J8:J507, _xlfn.LAMBDA(_xlpm.part, _xlpm.val, _xlpm.dep1, IF(_xlpm.part = "", "", _xlfn.LET(_xlpm.check1, IF(AND(_xlpm.val = "", _xlpm.dep1 = "NON-PRIMARY VARIANT"), "2:Autofill", ""), IF(LEN(_xlpm.check1) &gt; 0, _xlpm.check1, IF(AND(_xlpm.val = "", AE$3="Required"), IF(OR('3 - Carts &amp; Stands'!AE$7 = "", '3 - Carts &amp; Stands'!AE$7 = "N/A"), "3:Ship Type - Value is required", ""), ""))))))</f>
        <v/>
      </c>
      <c r="AF8" s="22">
        <f t="array" ref="AF8">_xlfn.MAP('3 - Carts &amp; Stands'!B8:B507, '3 - Carts &amp; Stands'!AF8:AF507, '3 - Carts &amp; Stands'!J8:J507, _xlfn.LAMBDA(_xlpm.part, _xlpm.val, _xlpm.dep1, IF(_xlpm.part = "", "", _xlfn.LET(_xlpm.check1, IF(AND(_xlpm.val = "", _xlpm.dep1 = "NON-PRIMARY VARIANT"), "2:Autofill", ""), IF(LEN(_xlpm.check1) &gt; 0, _xlpm.check1, IF(AND(_xlpm.val = "", AF$3="Required"), IF(OR('3 - Carts &amp; Stands'!AF$7 = "", '3 - Carts &amp; Stands'!AF$7 = "N/A"), "3:Freight Class - Value is required", ""), ""))))))</f>
        <v/>
      </c>
      <c r="AG8" s="22">
        <f t="array" ref="AG8">_xlfn.MAP('3 - Carts &amp; Stands'!B8:B507, '3 - Carts &amp; Stands'!AG8:AG507, '3 - Carts &amp; Stands'!J8:J507, _xlfn.LAMBDA(_xlpm.part, _xlpm.val, _xlpm.dep1, IF(_xlpm.part = "", "", _xlfn.LET(_xlpm.check1, IF(AND(_xlpm.val = "", _xlpm.dep1 = "NON-PRIMARY VARIANT"), "2:Autofill", ""), IF(LEN(_xlpm.check1) &gt; 0, _xlpm.check1, IF(AND(_xlpm.val = "", AG$3="Required"), IF(OR('3 - Carts &amp; Stands'!AG$7 = "", '3 - Carts &amp; Stands'!AG$7 = "N/A"), "3:Lead Time - Value is required", ""), ""))))))</f>
        <v/>
      </c>
      <c r="AH8" s="22">
        <f t="array" ref="AH8">_xlfn.MAP('3 - Carts &amp; Stands'!B8:B507, '3 - Carts &amp; Stands'!AH8:AH507, '3 - Carts &amp; Stands'!J8:J507, _xlfn.LAMBDA(_xlpm.part, _xlpm.val, _xlpm.dep1, IF(_xlpm.part = "", "", _xlfn.LET(_xlpm.check1, IF(AND(_xlpm.val = "", _xlpm.dep1 = "NON-PRIMARY VARIANT"), "2:Autofill", ""), IF(LEN(_xlpm.check1) &gt; 0, _xlpm.check1, IF(AND(_xlpm.val = "", AH$3="Required"), IF(OR('3 - Carts &amp; Stands'!AH$7 = "", '3 - Carts &amp; Stands'!AH$7 = "N/A"), "3:Replacement Lead Time - Value is required", ""), ""))))))</f>
        <v/>
      </c>
      <c r="AI8" s="22">
        <f t="array" ref="AI8">_xlfn.MAP('3 - Carts &amp; Stands'!B8:B507, '3 - Carts &amp; Stands'!AI8:AI507, '3 - Carts &amp; Stands'!J8:J507,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IF(OR('3 - Carts &amp; Stands'!AI$7 = "", '3 - Carts &amp; Stands'!AI$7 = "N/A"), "3:National Motor Freight Class - Value is required", ""), ""))))))))</f>
        <v/>
      </c>
      <c r="AJ8" s="22">
        <f t="array" ref="AJ8">_xlfn.MAP('3 - Carts &amp; Stands'!B8:B507, '3 - Carts &amp; Stands'!AJ8:AJ507, '3 - Carts &amp; Stands'!J8:J507, _xlfn.LAMBDA(_xlpm.part, _xlpm.val, _xlpm.dep1, IF(_xlpm.part = "", "", _xlfn.LET(_xlpm.check1, IF(AND(_xlpm.val = "", _xlpm.dep1 = "NON-PRIMARY VARIANT"), "2:Autofill", ""), IF(LEN(_xlpm.check1) &gt; 0, _xlpm.check1, IF(AND(_xlpm.val = "", AJ$3="Required"), IF(OR('3 - Carts &amp; Stands'!AJ$7 = "", '3 - Carts &amp; Stands'!AJ$7 = "N/A"), "3:Flat Pack - Value is required", ""), ""))))))</f>
        <v/>
      </c>
      <c r="AK8" s="22">
        <f t="array" ref="AK8">_xlfn.MAP('3 - Carts &amp; Stands'!B8:B507, '3 - Carts &amp; Stands'!AK8:AK507, '3 - Carts &amp; Stands'!J8:J507, _xlfn.LAMBDA(_xlpm.part, _xlpm.val, _xlpm.dep1, IF(_xlpm.part = "", "", _xlfn.LET(_xlpm.check1, IF(AND(_xlpm.val = "", _xlpm.dep1 = "NON-PRIMARY VARIANT"), "2:Autofill", ""), IF(LEN(_xlpm.check1) &gt; 0, _xlpm.check1, IF(AND(_xlpm.val = "", AK$3="Required"), IF(OR('3 - Carts &amp; Stands'!AK$7 = "", '3 - Carts &amp; Stands'!AK$7 = "N/A"), "3:Ship Palletized - Value is required", ""), ""))))))</f>
        <v/>
      </c>
      <c r="AL8" s="22">
        <f t="array" ref="AL8">_xlfn.MAP('3 - Carts &amp; Stands'!B8:B507, '3 - Carts &amp; Stands'!AL8:AL507, '3 - Carts &amp; Stands'!AM8:AM507, '3 - Carts &amp; Stands'!AN8:AN507, '3 - Carts &amp; Stands'!AO8:AO507,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IF(OR('3 - Carts &amp; Stands'!AL$7 = "", '3 - Carts &amp; Stands'!AL$7 = "N/A"), "3:Carton Weight - Value is required", ""), ""), IF(LEN(_xlpm.check3) &gt; 0, _xlpm.check3, _xlfn.LET(_xlpm.check4, IF(OR(_xlpm.dep1 &lt;&gt; "", _xlpm.dep2 &lt;&gt; "", _xlpm.dep3 &lt;&gt; ""), IF(_xlpm.val = "", IF(OR('3 - Carts &amp; Stands'!AL$7 = "", '3 - Carts &amp; Stands'!AL$7 = "N/A"), "3:Shipping weight is required", ""), ""), ""), IF(LEN(_xlpm.check4) &gt; 0, _xlpm.check4, IF(AND(_xlpm.dep3 = "", _xlpm.dep1 = "", _xlpm.dep2 = ""), IF(_xlpm.val = "", IF(OR('3 - Carts &amp; Stands'!AL$7 = "", '3 - Carts &amp; Stands'!AL$7 = "N/A"), "3:Shipping weight is required", ""), ""), ""))))))))))))</f>
        <v/>
      </c>
      <c r="AM8" s="22">
        <f t="array" ref="AM8">_xlfn.MAP('3 - Carts &amp; Stands'!B8:B507, '3 - Carts &amp; Stands'!AM8:AM507, '3 - Carts &amp; Stands'!AL8:AL507, '3 - Carts &amp; Stands'!AN8:AN507, '3 - Carts &amp; Stands'!AO8:AO507,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IF(OR('3 - Carts &amp; Stands'!AM$7 = "", '3 - Carts &amp; Stands'!AM$7 = "N/A"), "3:Carton Height - Value is required", ""), ""), IF(LEN(_xlpm.check3) &gt; 0, _xlpm.check3, _xlfn.LET(_xlpm.check4, IF(OR(_xlpm.dep1 &lt;&gt; "", _xlpm.dep2 &lt;&gt; "", _xlpm.dep3 &lt;&gt; ""), IF(_xlpm.val = "", IF(OR('3 - Carts &amp; Stands'!AM$7 = "", '3 - Carts &amp; Stands'!AM$7 = "N/A"), "3:Carton height is required", ""), ""), ""), IF(LEN(_xlpm.check4) &gt; 0, _xlpm.check4, IF(AND(_xlpm.dep1 = "", _xlpm.dep3 = "", _xlpm.dep2 = ""), IF(_xlpm.val = "", IF(OR('3 - Carts &amp; Stands'!AM$7 = "", '3 - Carts &amp; Stands'!AM$7 = "N/A"), "3:Carton height is required", ""), ""), ""))))))))))))</f>
        <v/>
      </c>
      <c r="AN8" s="22">
        <f t="array" ref="AN8">_xlfn.MAP('3 - Carts &amp; Stands'!B8:B507, '3 - Carts &amp; Stands'!AN8:AN507, '3 - Carts &amp; Stands'!AL8:AL507, '3 - Carts &amp; Stands'!AM8:AM507, '3 - Carts &amp; Stands'!AO8:AO507,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IF(OR('3 - Carts &amp; Stands'!AN$7 = "", '3 - Carts &amp; Stands'!AN$7 = "N/A"), "3:Carton Width - Value is required", ""), ""), IF(LEN(_xlpm.check3) &gt; 0, _xlpm.check3, _xlfn.LET(_xlpm.check4, IF(OR(_xlpm.dep1 &lt;&gt; "", _xlpm.dep2 &lt;&gt; "", _xlpm.dep3 &lt;&gt; ""), IF(_xlpm.val = "", IF(OR('3 - Carts &amp; Stands'!AN$7 = "", '3 - Carts &amp; Stands'!AN$7 = "N/A"), "3:Carton width is required", ""), ""), ""), IF(LEN(_xlpm.check4) &gt; 0, _xlpm.check4, IF(AND(_xlpm.dep1 = "", _xlpm.dep2 = "", _xlpm.dep3 = ""), IF(_xlpm.val = "", IF(OR('3 - Carts &amp; Stands'!AN$7 = "", '3 - Carts &amp; Stands'!AN$7 = "N/A"), "3:Carton width is required", ""), ""), ""))))))))))))</f>
        <v/>
      </c>
      <c r="AO8" s="22">
        <f t="array" ref="AO8">_xlfn.MAP('3 - Carts &amp; Stands'!B8:B507, '3 - Carts &amp; Stands'!AO8:AO507, '3 - Carts &amp; Stands'!AL8:AL507, '3 - Carts &amp; Stands'!AM8:AM507, '3 - Carts &amp; Stands'!AN8:AN507,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IF(OR('3 - Carts &amp; Stands'!AO$7 = "", '3 - Carts &amp; Stands'!AO$7 = "N/A"), "3:Carton Depth - Value is required", ""), ""), IF(LEN(_xlpm.check3) &gt; 0, _xlpm.check3, _xlfn.LET(_xlpm.check4, IF(OR(_xlpm.dep1 &lt;&gt; "", _xlpm.dep2 &lt;&gt; "", _xlpm.dep3 &lt;&gt; ""), IF(_xlpm.val = "", IF(OR('3 - Carts &amp; Stands'!AO$7 = "", '3 - Carts &amp; Stands'!AO$7 = "N/A"), "3:Carton depth is required", ""), ""), ""), IF(LEN(_xlpm.check4) &gt; 0, _xlpm.check4, IF(AND(_xlpm.dep1 = "", _xlpm.dep2 = "", _xlpm.dep3 = ""), IF(_xlpm.val = "", IF(OR('3 - Carts &amp; Stands'!AO$7 = "", '3 - Carts &amp; Stands'!AO$7 = "N/A"), "3:Carton depth is required", ""), ""), ""))))))))))))</f>
        <v/>
      </c>
      <c r="AP8" s="22">
        <f t="array" ref="AP8">_xlfn.MAP('3 - Carts &amp; Stands'!B8:B507, '3 - Carts &amp; Stands'!AP8:AP507, _xlfn.LAMBDA(_xlpm.part, _xlpm.val, IF(_xlpm.part = "", "", IF(AND(_xlpm.val = "", AP$3="Required"), IF(OR('3 - Carts &amp; Stands'!AP$7 = "", '3 - Carts &amp; Stands'!AP$7 = "N/A"), "3:Warning Required - Value is required", ""), ""))))</f>
        <v/>
      </c>
      <c r="AQ8" s="22">
        <f t="array" ref="AQ8">_xlfn.MAP('3 - Carts &amp; Stands'!B8:B507, '3 - Carts &amp; Stands'!AQ8:AQ507, '3 - Carts &amp; Stands'!AR8:AR507, '3 - Carts &amp; Stands'!AP8:AP507, _xlfn.LAMBDA(_xlpm.part, _xlpm.val, _xlpm.dep1, _xlpm.dep2, IF(_xlpm.part = "", "", _xlfn.LET(_xlpm.check1, IF(AND(_xlpm.val = "", AQ$3="Required"), IF(OR('3 - Carts &amp; Stands'!AQ$7 = "", '3 - Carts &amp; Stands'!AQ$7 = "N/A"), "3:Chemical - Value is required", ""), ""), IF(LEN(_xlpm.check1) &gt; 0, _xlpm.check1, _xlfn.LET(_xlpm.check2, IF(_xlpm.dep1 &lt;&gt; "", IF(_xlpm.val = "", IF(OR('3 - Carts &amp; Stands'!AQ$7 = "", '3 - Carts &amp; Stands'!AQ$7 = "N/A"), "3:Please provide a chemical", ""), ""), ""), IF(LEN(_xlpm.check2) &gt; 0, _xlpm.check2, IF(_xlpm.dep2 = "Yes", IF(_xlpm.val = "", IF(OR('3 - Carts &amp; Stands'!AQ$7 = "", '3 - Carts &amp; Stands'!AQ$7 = "N/A"), "3:If a warning is required, then a chemical must also be provided", ""), ""), ""))))))))</f>
        <v/>
      </c>
      <c r="AR8" s="22">
        <f t="array" ref="AR8">_xlfn.MAP('3 - Carts &amp; Stands'!B8:B507, '3 - Carts &amp; Stands'!AR8:AR507, '3 - Carts &amp; Stands'!AQ8:AQ507, '3 - Carts &amp; Stands'!AP8:AP507,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IF(OR('3 - Carts &amp; Stands'!AR$7 = "", '3 - Carts &amp; Stands'!AR$7 = "N/A"), "3:Toxicity - Value is required", ""), ""), IF(LEN(_xlpm.check2) &gt; 0, _xlpm.check2, _xlfn.LET(_xlpm.check3, IF(_xlpm.dep1 &lt;&gt; "", IF(_xlpm.val = "", IF(OR('3 - Carts &amp; Stands'!AR$7 = "", '3 - Carts &amp; Stands'!AR$7 = "N/A"), "3:Please select a toxicity from the provided dropdown", ""), ""), ""), IF(LEN(_xlpm.check3) &gt; 0, _xlpm.check3, IF(_xlpm.dep2 = "Yes", IF(_xlpm.val = "", IF(OR('3 - Carts &amp; Stands'!AR$7 = "", '3 - Carts &amp; Stands'!AR$7 = "N/A"), "3:If a warning is required, then a chemical must also be provided", ""), ""), ""))))))))))</f>
        <v/>
      </c>
      <c r="AS8" s="22">
        <f t="array" ref="AS8">_xlfn.MAP('3 - Carts &amp; Stands'!B8:B507, '3 - Carts &amp; Stands'!AS8:AS507, '3 - Carts &amp; Stands'!J8:J507, _xlfn.LAMBDA(_xlpm.part, _xlpm.val, _xlpm.dep1, IF(_xlpm.part = "", "", _xlfn.LET(_xlpm.check1, IF(AND(_xlpm.val = "", _xlpm.dep1 = "NON-PRIMARY VARIANT"), "2:Autofill", ""), IF(LEN(_xlpm.check1) &gt; 0, _xlpm.check1, IF(AND(_xlpm.val = "", AS$3="Required"), IF(OR('3 - Carts &amp; Stands'!AS$7 = "", '3 - Carts &amp; Stands'!AS$7 = "N/A"), "3:Country Of Manufacturer - Value is required", ""), ""))))))</f>
        <v/>
      </c>
      <c r="AT8" s="22">
        <f t="array" ref="AT8">_xlfn.MAP('3 - Carts &amp; Stands'!B8:B507, '3 - Carts &amp; Stands'!AT8:AT507, _xlfn.LAMBDA(_xlpm.part, _xlpm.val, IF(_xlpm.part = "", "", IF(AND(_xlpm.val = "", AT$3="Required"), IF(OR('3 - Carts &amp; Stands'!AT$7 = "", '3 - Carts &amp; Stands'!AT$7 = "N/A"), "3:Image File Name or URL - Value is required", ""), ""))))</f>
        <v/>
      </c>
      <c r="AU8" s="22">
        <f t="array" ref="AU8">_xlfn.MAP('3 - Carts &amp; Stands'!B8:B507, '3 - Carts &amp; Stands'!AU8:AU507, _xlfn.LAMBDA(_xlpm.part, _xlpm.val, IF(_xlpm.part = "", "", IF(AND(_xlpm.val = "", AU$3="Required"), IF(OR('3 - Carts &amp; Stands'!AU$7 = "", '3 - Carts &amp; Stands'!AU$7 = "N/A"), "3:Image File Name or URL - Value is required", ""), ""))))</f>
        <v/>
      </c>
      <c r="AV8" s="22">
        <f t="array" ref="AV8">_xlfn.MAP('3 - Carts &amp; Stands'!B8:B507, '3 - Carts &amp; Stands'!AV8:AV507, _xlfn.LAMBDA(_xlpm.part, _xlpm.val, IF(_xlpm.part = "", "", IF(AND(_xlpm.val = "", AV$3="Required"), IF(OR('3 - Carts &amp; Stands'!AV$7 = "", '3 - Carts &amp; Stands'!AV$7 = "N/A"), "3:Image File Name or URL - Value is required", ""), ""))))</f>
        <v/>
      </c>
      <c r="AW8" s="22">
        <f t="array" ref="AW8">_xlfn.MAP('3 - Carts &amp; Stands'!B8:B507, '3 - Carts &amp; Stands'!AW8:AW507, _xlfn.LAMBDA(_xlpm.part, _xlpm.val, IF(_xlpm.part = "", "", IF(AND(_xlpm.val = "", AW$3="Required"), IF(OR('3 - Carts &amp; Stands'!AW$7 = "", '3 - Carts &amp; Stands'!AW$7 = "N/A"), "3:Image File Name or URL - Value is required", ""), ""))))</f>
        <v/>
      </c>
      <c r="AX8" s="22">
        <f t="array" ref="AX8">_xlfn.MAP('3 - Carts &amp; Stands'!B8:B507, '3 - Carts &amp; Stands'!AX8:AX507, _xlfn.LAMBDA(_xlpm.part, _xlpm.val, IF(_xlpm.part = "", "", IF(AND(_xlpm.val = "", AX$3="Required"), IF(OR('3 - Carts &amp; Stands'!AX$7 = "", '3 - Carts &amp; Stands'!AX$7 = "N/A"), "3:Image File Name or URL - Value is required", ""), ""))))</f>
        <v/>
      </c>
      <c r="AY8" s="22">
        <f t="array" ref="AY8">_xlfn.MAP('3 - Carts &amp; Stands'!B8:B507, '3 - Carts &amp; Stands'!AY8:AY507, _xlfn.LAMBDA(_xlpm.part, _xlpm.val, IF(_xlpm.part = "", "", IF(AND(_xlpm.val = "", AY$3="Required"), IF(OR('3 - Carts &amp; Stands'!AY$7 = "", '3 - Carts &amp; Stands'!AY$7 = "N/A"), "3:Video File Name or URL - Value is required", ""), ""))))</f>
        <v/>
      </c>
      <c r="AZ8" s="22">
        <f t="array" ref="AZ8">_xlfn.MAP('3 - Carts &amp; Stands'!B8:B507, '3 - Carts &amp; Stands'!AZ8:AZ507, '3 - Carts &amp; Stands'!BA8:BA507, '3 - Carts &amp; Stands'!BB8:BB507, '3 - Carts &amp; Stands'!BC8:BC507, '3 - Carts &amp; Stands'!BD8:BD507, _xlfn.LAMBDA(_xlpm.part, _xlpm.val, _xlpm.dep1, _xlpm.dep2, _xlpm.dep3, _xlpm.dep4, IF(_xlpm.part = "", "", _xlfn.LET(_xlpm.check1, IF(AND(_xlpm.val = "", AZ$3="Required"), IF(OR('3 - Carts &amp; Stands'!AZ$7 = "", '3 - Carts &amp; Stands'!AZ$7 = "N/A"), "3:Document File Name or URL - Value is required", ""), ""), IF(LEN(_xlpm.check1) &gt; 0, _xlpm.check1, IF(OR(_xlpm.dep1 &lt;&gt; "", _xlpm.dep2 &lt;&gt; "", _xlpm.dep3 &lt;&gt; "", _xlpm.dep4 &lt;&gt; ""), IF(_xlpm.val = "", IF(OR('3 - Carts &amp; Stands'!AZ$7 = "", '3 - Carts &amp; Stands'!AZ$7 = "N/A"), "3:Document value is required", ""), ""), ""))))))</f>
        <v/>
      </c>
      <c r="BA8" s="22">
        <f t="array" ref="BA8">_xlfn.MAP('3 - Carts &amp; Stands'!B8:B507, '3 - Carts &amp; Stands'!BA8:BA507,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IF(OR('3 - Carts &amp; Stands'!BA$7 = "", '3 - Carts &amp; Stands'!BA$7 = "N/A"), "3:Document Type - Value is required", ""), ""))))))</f>
        <v/>
      </c>
      <c r="BB8" s="22">
        <f t="array" ref="BB8">_xlfn.MAP('3 - Carts &amp; Stands'!B8:B507, '3 - Carts &amp; Stands'!BB8:BB507,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IF(OR('3 - Carts &amp; Stands'!BB$7 = "", '3 - Carts &amp; Stands'!BB$7 = "N/A"), "3:Legal Document Type - Value is required", ""), ""))))))</f>
        <v/>
      </c>
      <c r="BC8" s="22">
        <f t="array" ref="BC8">_xlfn.MAP('3 - Carts &amp; Stands'!B8:B507, '3 - Carts &amp; Stands'!BC8:BC507, _xlfn.LAMBDA(_xlpm.part, _xlpm.val, IF(_xlpm.part = "", "", IF(AND(_xlpm.val = "", BC$3="Required"), IF(OR('3 - Carts &amp; Stands'!BC$7 = "", '3 - Carts &amp; Stands'!BC$7 = "N/A"), "3:Document Region - Value is required", ""), ""))))</f>
        <v/>
      </c>
      <c r="BD8" s="22">
        <f t="array" ref="BD8">_xlfn.MAP('3 - Carts &amp; Stands'!B8:B507, '3 - Carts &amp; Stands'!BD8:BD507, _xlfn.LAMBDA(_xlpm.part, _xlpm.val, IF(_xlpm.part = "", "", IF(AND(_xlpm.val = "", BD$3="Required"), IF(OR('3 - Carts &amp; Stands'!BD$7 = "", '3 - Carts &amp; Stands'!BD$7 = "N/A"), "3:Document Language - Value is required", ""), ""))))</f>
        <v/>
      </c>
      <c r="BE8" s="22">
        <f t="array" ref="BE8">_xlfn.MAP('3 - Carts &amp; Stands'!B8:B507, '3 - Carts &amp; Stands'!BE8:BE507, '3 - Carts &amp; Stands'!BF8:BF507, '3 - Carts &amp; Stands'!BG8:BG507, '3 - Carts &amp; Stands'!BH8:BH507, '3 - Carts &amp; Stands'!BI8:BI507, _xlfn.LAMBDA(_xlpm.part, _xlpm.val, _xlpm.dep1, _xlpm.dep2, _xlpm.dep3, _xlpm.dep4, IF(_xlpm.part = "", "", _xlfn.LET(_xlpm.check1, IF(AND(_xlpm.val = "", BE$3="Required"), IF(OR('3 - Carts &amp; Stands'!BE$7 = "", '3 - Carts &amp; Stands'!BE$7 = "N/A"), "3:Document File Name or URL - Value is required", ""), ""), IF(LEN(_xlpm.check1) &gt; 0, _xlpm.check1, IF(OR(_xlpm.dep1 &lt;&gt; "", _xlpm.dep2 &lt;&gt; "", _xlpm.dep3 &lt;&gt; "", _xlpm.dep4 &lt;&gt; ""), IF(_xlpm.val = "", IF(OR('3 - Carts &amp; Stands'!BE$7 = "", '3 - Carts &amp; Stands'!BE$7 = "N/A"), "3:Document value is required", ""), ""), ""))))))</f>
        <v/>
      </c>
      <c r="BF8" s="22">
        <f t="array" ref="BF8">_xlfn.MAP('3 - Carts &amp; Stands'!B8:B507, '3 - Carts &amp; Stands'!BF8:BF507,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IF(OR('3 - Carts &amp; Stands'!BF$7 = "", '3 - Carts &amp; Stands'!BF$7 = "N/A"), "3:Document Type - Value is required", ""), ""))))))</f>
        <v/>
      </c>
      <c r="BG8" s="22">
        <f t="array" ref="BG8">_xlfn.MAP('3 - Carts &amp; Stands'!B8:B507, '3 - Carts &amp; Stands'!BG8:BG507,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IF(OR('3 - Carts &amp; Stands'!BG$7 = "", '3 - Carts &amp; Stands'!BG$7 = "N/A"), "3:Legal Document Type - Value is required", ""), ""))))))</f>
        <v/>
      </c>
      <c r="BH8" s="22">
        <f t="array" ref="BH8">_xlfn.MAP('3 - Carts &amp; Stands'!B8:B507, '3 - Carts &amp; Stands'!BH8:BH507, _xlfn.LAMBDA(_xlpm.part, _xlpm.val, IF(_xlpm.part = "", "", IF(AND(_xlpm.val = "", BH$3="Required"), IF(OR('3 - Carts &amp; Stands'!BH$7 = "", '3 - Carts &amp; Stands'!BH$7 = "N/A"), "3:Document Region - Value is required", ""), ""))))</f>
        <v/>
      </c>
      <c r="BI8" s="22">
        <f t="array" ref="BI8">_xlfn.MAP('3 - Carts &amp; Stands'!B8:B507, '3 - Carts &amp; Stands'!BI8:BI507, _xlfn.LAMBDA(_xlpm.part, _xlpm.val, IF(_xlpm.part = "", "", IF(AND(_xlpm.val = "", BI$3="Required"), IF(OR('3 - Carts &amp; Stands'!BI$7 = "", '3 - Carts &amp; Stands'!BI$7 = "N/A"), "3:Document Language - Value is required", ""), ""))))</f>
        <v/>
      </c>
      <c r="BJ8" s="22">
        <f t="array" ref="BJ8">_xlfn.MAP('3 - Carts &amp; Stands'!B8:B507, '3 - Carts &amp; Stands'!BJ8:BJ507, '3 - Carts &amp; Stands'!BK8:BK507, '3 - Carts &amp; Stands'!BL8:BL507, '3 - Carts &amp; Stands'!BM8:BM507, '3 - Carts &amp; Stands'!BN8:BN507, _xlfn.LAMBDA(_xlpm.part, _xlpm.val, _xlpm.dep1, _xlpm.dep2, _xlpm.dep3, _xlpm.dep4, IF(_xlpm.part = "", "", _xlfn.LET(_xlpm.check1, IF(AND(_xlpm.val = "", BJ$3="Required"), IF(OR('3 - Carts &amp; Stands'!BJ$7 = "", '3 - Carts &amp; Stands'!BJ$7 = "N/A"), "3:Document File Name or URL - Value is required", ""), ""), IF(LEN(_xlpm.check1) &gt; 0, _xlpm.check1, IF(OR(_xlpm.dep1 &lt;&gt; "", _xlpm.dep2 &lt;&gt; "", _xlpm.dep3 &lt;&gt; "", _xlpm.dep4 &lt;&gt; ""), IF(_xlpm.val = "", IF(OR('3 - Carts &amp; Stands'!BJ$7 = "", '3 - Carts &amp; Stands'!BJ$7 = "N/A"), "3:Document value is required", ""), ""), ""))))))</f>
        <v/>
      </c>
      <c r="BK8" s="22">
        <f t="array" ref="BK8">_xlfn.MAP('3 - Carts &amp; Stands'!B8:B507, '3 - Carts &amp; Stands'!BK8:BK507,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IF(OR('3 - Carts &amp; Stands'!BK$7 = "", '3 - Carts &amp; Stands'!BK$7 = "N/A"), "3:Document Type - Value is required", ""), ""))))))</f>
        <v/>
      </c>
      <c r="BL8" s="22">
        <f t="array" ref="BL8">_xlfn.MAP('3 - Carts &amp; Stands'!B8:B507, '3 - Carts &amp; Stands'!BL8:BL507,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IF(OR('3 - Carts &amp; Stands'!BL$7 = "", '3 - Carts &amp; Stands'!BL$7 = "N/A"), "3:Legal Document Type - Value is required", ""), ""))))))</f>
        <v/>
      </c>
      <c r="BM8" s="22">
        <f t="array" ref="BM8">_xlfn.MAP('3 - Carts &amp; Stands'!B8:B507, '3 - Carts &amp; Stands'!BM8:BM507, _xlfn.LAMBDA(_xlpm.part, _xlpm.val, IF(_xlpm.part = "", "", IF(AND(_xlpm.val = "", BM$3="Required"), IF(OR('3 - Carts &amp; Stands'!BM$7 = "", '3 - Carts &amp; Stands'!BM$7 = "N/A"), "3:Document Region - Value is required", ""), ""))))</f>
        <v/>
      </c>
      <c r="BN8" s="22">
        <f t="array" ref="BN8">_xlfn.MAP('3 - Carts &amp; Stands'!B8:B507, '3 - Carts &amp; Stands'!BN8:BN507, _xlfn.LAMBDA(_xlpm.part, _xlpm.val, IF(_xlpm.part = "", "", IF(AND(_xlpm.val = "", BN$3="Required"), IF(OR('3 - Carts &amp; Stands'!BN$7 = "", '3 - Carts &amp; Stands'!BN$7 = "N/A"), "3:Document Language - Value is required", ""), ""))))</f>
        <v/>
      </c>
      <c r="BO8" s="22">
        <f t="array" ref="BO8">_xlfn.MAP('3 - Carts &amp; Stands'!B8:B507, '3 - Carts &amp; Stands'!BO8:BO507, _xlfn.LAMBDA(_xlpm.part, _xlpm.val, IF(_xlpm.part = "", "", IF(AND(_xlpm.val = "", BO$3="Required"), IF(OR('3 - Carts &amp; Stands'!BO$7 = "", '3 - Carts &amp; Stands'!BO$7 = "N/A"), "3:Product Type - Value is required", ""), ""))))</f>
        <v/>
      </c>
      <c r="BP8" s="22">
        <f t="array" ref="BP8">_xlfn.MAP('3 - Carts &amp; Stands'!B8:B507, '3 - Carts &amp; Stands'!BP8:BP507, _xlfn.LAMBDA(_xlpm.part, _xlpm.val, IF(_xlpm.part = "", "", IF(AND(_xlpm.val = "", BP$3="Required"), IF(OR('3 - Carts &amp; Stands'!BP$7 = "", '3 - Carts &amp; Stands'!BP$7 = "N/A"), "3:Material - Value is required", ""), ""))))</f>
        <v/>
      </c>
      <c r="BQ8" s="22">
        <f t="array" ref="BQ8">_xlfn.MAP('3 - Carts &amp; Stands'!B8:B507, '3 - Carts &amp; Stands'!BQ8:BQ507, _xlfn.LAMBDA(_xlpm.part, _xlpm.val, IF(_xlpm.part = "", "", IF(AND(_xlpm.val = "", BQ$3="Required"), IF(OR('3 - Carts &amp; Stands'!BQ$7 = "", '3 - Carts &amp; Stands'!BQ$7 = "N/A"), "3:Adjustable Height - Value is required", ""), ""))))</f>
        <v/>
      </c>
      <c r="BR8" s="22">
        <f t="array" ref="BR8">_xlfn.MAP('3 - Carts &amp; Stands'!B8:B507, '3 - Carts &amp; Stands'!BR8:BR507, _xlfn.LAMBDA(_xlpm.part, _xlpm.val, IF(_xlpm.part = "", "", IF(AND(_xlpm.val = "", BR$3="Required"), IF(OR('3 - Carts &amp; Stands'!BR$7 = "", '3 - Carts &amp; Stands'!BR$7 = "N/A"), "3:Wood Species - Value is required", ""), ""))))</f>
        <v/>
      </c>
      <c r="BS8" s="22">
        <f t="array" ref="BS8">_xlfn.MAP('3 - Carts &amp; Stands'!B8:B507, '3 - Carts &amp; Stands'!BS8:BS507, _xlfn.LAMBDA(_xlpm.part, _xlpm.val, IF(_xlpm.part = "", "", IF(AND(_xlpm.val = "", BS$3="Required"), IF(OR('3 - Carts &amp; Stands'!BS$7 = "", '3 - Carts &amp; Stands'!BS$7 = "N/A"), "3:Shelf Weight Capacity - Value is required", ""), ""))))</f>
        <v/>
      </c>
      <c r="BT8" s="22">
        <f t="array" ref="BT8">_xlfn.MAP('3 - Carts &amp; Stands'!B8:B507, '3 - Carts &amp; Stands'!BT8:BT507, _xlfn.LAMBDA(_xlpm.part, _xlpm.val, IF(_xlpm.part = "", "", IF(AND(_xlpm.val = "", BT$3="Required"), IF(OR('3 - Carts &amp; Stands'!BT$7 = "", '3 - Carts &amp; Stands'!BT$7 = "N/A"), "3:Tilting - Value is required", ""), ""))))</f>
        <v/>
      </c>
      <c r="BU8" s="22">
        <f t="array" ref="BU8">_xlfn.MAP('3 - Carts &amp; Stands'!B8:B507, '3 - Carts &amp; Stands'!BU8:BU507, _xlfn.LAMBDA(_xlpm.part, _xlpm.val, IF(_xlpm.part = "", "", IF(AND(_xlpm.val = "", BU$3="Required"), IF(OR('3 - Carts &amp; Stands'!BU$7 = "", '3 - Carts &amp; Stands'!BU$7 = "N/A"), "3:Cabinets Included - Value is required", ""), ""))))</f>
        <v/>
      </c>
      <c r="BV8" s="22">
        <f t="array" ref="BV8">_xlfn.MAP('3 - Carts &amp; Stands'!B8:B507, '3 - Carts &amp; Stands'!BV8:BV507, _xlfn.LAMBDA(_xlpm.part, _xlpm.val, IF(_xlpm.part = "", "", IF(AND(_xlpm.val = "", BV$3="Required"), IF(OR('3 - Carts &amp; Stands'!BV$7 = "", '3 - Carts &amp; Stands'!BV$7 = "N/A"), "3:Drawers Included - Value is required", ""), ""))))</f>
        <v/>
      </c>
      <c r="BW8" s="22">
        <f t="array" ref="BW8">_xlfn.MAP('3 - Carts &amp; Stands'!B8:B507, '3 - Carts &amp; Stands'!BW8:BW507, _xlfn.LAMBDA(_xlpm.part, _xlpm.val, IF(_xlpm.part = "", "", IF(AND(_xlpm.val = "", BW$3="Required"), IF(OR('3 - Carts &amp; Stands'!BW$7 = "", '3 - Carts &amp; Stands'!BW$7 = "N/A"), "3:Legs Included - Value is required", ""), ""))))</f>
        <v/>
      </c>
      <c r="BX8" s="22">
        <f t="array" ref="BX8">_xlfn.MAP('3 - Carts &amp; Stands'!B8:B507, '3 - Carts &amp; Stands'!BX8:BX507, _xlfn.LAMBDA(_xlpm.part, _xlpm.val, IF(_xlpm.part = "", "", IF(AND(_xlpm.val = "", BX$3="Required"), IF(OR('3 - Carts &amp; Stands'!BX$7 = "", '3 - Carts &amp; Stands'!BX$7 = "N/A"), "3:Wheels / Casters Included - Value is required", ""), ""))))</f>
        <v/>
      </c>
      <c r="BY8" s="22">
        <f t="array" ref="BY8">_xlfn.MAP('3 - Carts &amp; Stands'!B8:B507, '3 - Carts &amp; Stands'!BY8:BY507, _xlfn.LAMBDA(_xlpm.part, _xlpm.val, IF(_xlpm.part = "", "", IF(AND(_xlpm.val = "", BY$3="Required"), IF(OR('3 - Carts &amp; Stands'!BY$7 = "", '3 - Carts &amp; Stands'!BY$7 = "N/A"), "3:Overall Weight Capacity - Value is required", ""), ""))))</f>
        <v/>
      </c>
      <c r="BZ8" s="22">
        <f t="array" ref="BZ8">_xlfn.MAP('3 - Carts &amp; Stands'!B8:B507, '3 - Carts &amp; Stands'!BZ8:BZ507, _xlfn.LAMBDA(_xlpm.part, _xlpm.val, IF(_xlpm.part = "", "", _xlfn.LET(_xlpm.check1, IF(NOT(ISBLANK(_xlpm.val)),_xlfn.LET(_xlpm.items, _xlfn.TEXTSPLIT(_xlpm.val, ";"),_xlpm.trimmed, _xlfn.MAP(_xlpm.items, _xlfn.LAMBDA(_xlpm.x, TRIM(_xlpm.x))),_xlpm.invalid, _xlfn._xlws.FILTER(_xlpm.trimmed, ISNA(MATCH(_xlpm.trimmed, allowed229333, 0)), ""),IF(AND(_xlpm.invalid&lt;&gt;"", COUNTA(_xlpm.invalid)&gt;0),"1:Please select valid values from the provided list. Answers are case-sensitive and must be separated by a semicolon.","")), ""), IF(LEN(_xlpm.check1) &gt; 0, _xlpm.check1, IF(AND(_xlpm.val = "", BZ$3="Required"), IF(OR('3 - Carts &amp; Stands'!BZ$7 = "", '3 - Carts &amp; Stands'!BZ$7 = "N/A"), "3:Supplier Intended and Approved Use - Value is required", ""), ""))))))</f>
        <v/>
      </c>
      <c r="CA8" s="22">
        <f t="array" ref="CA8">_xlfn.MAP('3 - Carts &amp; Stands'!B8:B507, '3 - Carts &amp; Stands'!CA8:CA507, _xlfn.LAMBDA(_xlpm.part, _xlpm.val, IF(_xlpm.part = "", "", IF(AND(_xlpm.val = "", CA$3="Required"), IF(OR('3 - Carts &amp; Stands'!CA$7 = "", '3 - Carts &amp; Stands'!CA$7 = "N/A"), "3:Country of Origin - Additional Details - Value is required", ""), ""))))</f>
        <v/>
      </c>
      <c r="CB8" s="22">
        <f t="array" ref="CB8">_xlfn.MAP('3 - Carts &amp; Stands'!B8:B507, '3 - Carts &amp; Stands'!CB8:CB507, _xlfn.LAMBDA(_xlpm.part, _xlpm.val, IF(_xlpm.part = "", "", IF(AND(_xlpm.val = "", CB$3="Required"), IF(OR('3 - Carts &amp; Stands'!CB$7 = "", '3 - Carts &amp; Stands'!CB$7 = "N/A"), "3:Battery or Batteries Included - Value is required", ""), ""))))</f>
        <v/>
      </c>
      <c r="CC8" s="22">
        <f t="array" ref="CC8">_xlfn.MAP('3 - Carts &amp; Stands'!B8:B507, '3 - Carts &amp; Stands'!CC8:CC507,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Stands'!CC$7 = "", '3 - Carts &amp; Stands'!CC$7 = "N/A"), "3:Since Battery or Batteries Included equals 'Yes', this field is required", ""), ""), ""), IF(LEN(_xlpm.check3) &gt; 0, _xlpm.check3, IF(AND(_xlpm.val = "", CC$3="Required"), IF(OR('3 - Carts &amp; Stands'!CC$7 = "", '3 - Carts &amp; Stands'!CC$7 = "N/A"), "3:Battery Type - Value is required", ""), ""))))))))))</f>
        <v/>
      </c>
      <c r="CD8" s="22">
        <f t="array" ref="CD8">_xlfn.MAP('3 - Carts &amp; Stands'!B8:B507, '3 - Carts &amp; Stands'!CD8:CD507,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Stands'!CD$7 = "", '3 - Carts &amp; Stands'!CD$7 = "N/A"), "3:Since Battery or Batteries Included equals 'Yes', this field is required", ""), ""), ""), IF(LEN(_xlpm.check3) &gt; 0, _xlpm.check3, IF(AND(_xlpm.val = "", CD$3="Required"), IF(OR('3 - Carts &amp; Stands'!CD$7 = "", '3 - Carts &amp; Stands'!CD$7 = "N/A"), "3:Battery Composition - Value is required", ""), ""))))))))))</f>
        <v/>
      </c>
      <c r="CE8" s="22">
        <f t="array" ref="CE8">_xlfn.MAP('3 - Carts &amp; Stands'!B8:B507, '3 - Carts &amp; Stands'!CE8:CE507,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Stands'!CE$7 = "", '3 - Carts &amp; Stands'!CE$7 = "N/A"), "3:Since Battery or Batteries Included equals 'Yes', this field is required", ""), ""), ""), IF(LEN(_xlpm.check3) &gt; 0, _xlpm.check3, IF(AND(_xlpm.val = "", CE$3="Required"), IF(OR('3 - Carts &amp; Stands'!CE$7 = "", '3 - Carts &amp; Stands'!CE$7 = "N/A"), "3:Number of Batteries - Value is required", ""), ""))))))))))</f>
        <v/>
      </c>
      <c r="CF8" s="22">
        <f t="array" ref="CF8">_xlfn.MAP('3 - Carts &amp; Stands'!B8:B507, '3 - Carts &amp; Stands'!CF8:CF507, '3 - Carts &amp; Stands'!CB8:CB507, '3 - Carts &amp; Stands'!CD8:CD507,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IF(OR('3 - Carts &amp; Stands'!CF$7 = "", '3 - Carts &amp; Stands'!CF$7 = "N/A"), "3:Since Battery or Batteries Included equals 'Yes', this field is required", ""), ""), ""), IF(LEN(_xlpm.check4) &gt; 0, _xlpm.check4, IF(AND(_xlpm.val = "", CF$3="Required"), IF(OR('3 - Carts &amp; Stands'!CF$7 = "", '3 - Carts &amp; Stands'!CF$7 = "N/A"), "3:Battery Shipment - Value is required", ""), ""))))))))))))</f>
        <v/>
      </c>
      <c r="CG8" s="22">
        <f t="array" ref="CG8">_xlfn.MAP('3 - Carts &amp; Stands'!B8:B507, '3 - Carts &amp; Stands'!CG8:CG507, '3 - Carts &amp; Stands'!CB8:CB507, '3 - Carts &amp; Stands'!CD8:CD507,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IF(OR('3 - Carts &amp; Stands'!CG$7 = "", '3 - Carts &amp; Stands'!CG$7 = "N/A"), "3:Since Battery or Batteries Included equals 'Yes', this field is required", ""), ""), ""), IF(LEN(_xlpm.check5) &gt; 0, _xlpm.check5, IF(AND(_xlpm.val = "", CG$3="Required"), IF(OR('3 - Carts &amp; Stands'!CG$7 = "", '3 - Carts &amp; Stands'!CG$7 = "N/A"), "3:Lithium Content - Value is required", ""), ""))))))))))))))</f>
        <v/>
      </c>
      <c r="CH8" s="22">
        <f t="array" ref="CH8">_xlfn.MAP('3 - Carts &amp; Stands'!B8:B507, '3 - Carts &amp; Stands'!CH8:CH507, '3 - Carts &amp; Stands'!CB8:CB507, '3 - Carts &amp; Stands'!CD8:CD507, '3 - Carts &amp; Stands'!CC8:CC507, _xlfn.LAMBDA(_xlpm.part, _xlpm.val, _xlpm.dep1, _xlpm.dep2, _xlpm.dep3, IF(_xlpm.part = "", "", _xlfn.LET(_xlpm.check1, IF(AND(_xlpm.val = "", OR(_xlpm.dep1 = "No", _xlpm.dep2 = "Lithium Metal",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Metal",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IF(OR(ISNUMBER(SEARCH("Cell", _xlpm.dep3)), ISNUMBER(SEARCH("Button Cell", _xlpm.dep3))), IF(OR(_xlpm.val = "Batteries exceeding 300w/h", _xlpm.val = "Batteries of between 100w/h and 300 w/h", _xlpm.val = "Batteries of 100w/h or less"), "1:Based on Battery Type, value should not be Batteries exceeding 300w/h, Batteries of between 100w/h and 300 w/h, Batteries of 100w/h or less", ""), ""), IF(LEN(_xlpm.check5) &gt; 0, _xlpm.check5, _xlfn.LET(_xlpm.check6, IF(ISNUMBER(SEARCH("Battery", _xlpm.dep3)), IF(OR(_xlpm.val = "Cells of between 20w/h and 60w/h", _xlpm.val = "Cells exceeding 60w/h", _xlpm.val = "Cells of 20w/h or less"), "1:Based on Battery Type, value should not be Cells of between 20w/h and 60w/h, Cells exceeding 60w/h, Cells of 20w/h or less", ""), ""), IF(LEN(_xlpm.check6) &gt; 0, _xlpm.check6, _xlfn.LET(_xlpm.check7, IF(_xlpm.dep1 = "Yes", IF(_xlpm.val = "", IF(OR('3 - Carts &amp; Stands'!CH$7 = "", '3 - Carts &amp; Stands'!CH$7 = "N/A"), "3:Since Battery or Batteries Included equals 'Yes', this field is required", ""), ""), ""), IF(LEN(_xlpm.check7) &gt; 0, _xlpm.check7, IF(AND(_xlpm.val = "", CH$3="Required"), IF(OR('3 - Carts &amp; Stands'!CH$7 = "", '3 - Carts &amp; Stands'!CH$7 = "N/A"), "3:Watt Rating of Cells / Battery - Value is required", ""), ""))))))))))))))))))</f>
        <v/>
      </c>
      <c r="CI8" s="22">
        <f t="array" ref="CI8">_xlfn.MAP('3 - Carts &amp; Stands'!B8:B507, '3 - Carts &amp; Stands'!CI8:CI507, '3 - Carts &amp; Stands'!CB8:CB507, '3 - Carts &amp; Stands'!CD8:CD507,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IF(OR('3 - Carts &amp; Stands'!CI$7 = "", '3 - Carts &amp; Stands'!CI$7 = "N/A"), "3:Since Battery or Batteries Included equals 'Yes', this field is required", ""), ""), ""), IF(LEN(_xlpm.check4) &gt; 0, _xlpm.check4, IF(AND(_xlpm.val = "", CI$3="Required"), IF(OR('3 - Carts &amp; Stands'!CI$7 = "", '3 - Carts &amp; Stands'!CI$7 = "N/A"), "3:Weight of Cells / Battery - Value is required", ""), ""))))))))))))</f>
        <v/>
      </c>
      <c r="CJ8" s="22">
        <f t="array" ref="CJ8">_xlfn.MAP('3 - Carts &amp; Stands'!B8:B507, '3 - Carts &amp; Stands'!CJ8:CJ507, _xlfn.LAMBDA(_xlpm.part, _xlpm.val, IF(_xlpm.part = "", "", IF(AND(_xlpm.val = "", CJ$3="Required"), IF(OR('3 - Carts &amp; Stands'!CJ$7 = "", '3 - Carts &amp; Stands'!CJ$7 = "N/A"), "3:Removable Components - Value is required", ""), ""))))</f>
        <v/>
      </c>
      <c r="CK8" s="22">
        <f t="array" ref="CK8">_xlfn.MAP('3 - Carts &amp; Stands'!B8:B507, '3 - Carts &amp; Stands'!CK8:CK507, _xlfn.LAMBDA(_xlpm.part, _xlpm.val, IF(_xlpm.part = "", "", IF(AND(_xlpm.val = "", CK$3="Required"), IF(OR('3 - Carts &amp; Stands'!CK$7 = "", '3 - Carts &amp; Stands'!CK$7 = "N/A"), "3:Adjustable Shelves - Value is required", ""), ""))))</f>
        <v/>
      </c>
      <c r="CL8" s="22">
        <f t="array" ref="CL8">_xlfn.MAP('3 - Carts &amp; Stands'!B8:B507, '3 - Carts &amp; Stands'!CL8:CL507, _xlfn.LAMBDA(_xlpm.part, _xlpm.val, IF(_xlpm.part = "", "", IF(AND(_xlpm.val = "", CL$3="Required"), IF(OR('3 - Carts &amp; Stands'!CL$7 = "", '3 - Carts &amp; Stands'!CL$7 = "N/A"), "3:Locking Wheels - Value is required", ""), ""))))</f>
        <v/>
      </c>
      <c r="CM8" s="22">
        <f t="array" ref="CM8">_xlfn.MAP('3 - Carts &amp; Stands'!B8:B507, '3 - Carts &amp; Stands'!CM8:CM507, _xlfn.LAMBDA(_xlpm.part, _xlpm.val, IF(_xlpm.part = "", "", IF(AND(_xlpm.val = "", CM$3="Required"), IF(OR('3 - Carts &amp; Stands'!CM$7 = "", '3 - Carts &amp; Stands'!CM$7 = "N/A"), "3:Mount Type - Value is required", ""), ""))))</f>
        <v/>
      </c>
      <c r="CN8" s="22">
        <f t="array" ref="CN8">_xlfn.MAP('3 - Carts &amp; Stands'!B8:B507, '3 - Carts &amp; Stands'!CN8:CN507, _xlfn.LAMBDA(_xlpm.part, _xlpm.val, IF(_xlpm.part = "", "", IF(AND(_xlpm.val = "", CN$3="Required"), IF(OR('3 - Carts &amp; Stands'!CN$7 = "", '3 - Carts &amp; Stands'!CN$7 = "N/A"), "3:Color / Finish - Value is required", ""), ""))))</f>
        <v/>
      </c>
      <c r="CO8" s="22">
        <f t="array" ref="CO8">_xlfn.MAP('3 - Carts &amp; Stands'!B8:B507, '3 - Carts &amp; Stands'!CO8:CO507, _xlfn.LAMBDA(_xlpm.part, _xlpm.val, IF(_xlpm.part = "", "", IF(AND(_xlpm.val = "", CO$3="Required"), IF(OR('3 - Carts &amp; Stands'!CO$7 = "", '3 - Carts &amp; Stands'!CO$7 = "N/A"), "3:Number of Shelves - Value is required", ""), ""))))</f>
        <v/>
      </c>
      <c r="CP8" s="22">
        <f t="array" ref="CP8">_xlfn.MAP('3 - Carts &amp; Stands'!B8:B507, '3 - Carts &amp; Stands'!CP8:CP507, _xlfn.LAMBDA(_xlpm.part, _xlpm.val, IF(_xlpm.part = "", "", IF(AND(_xlpm.val = "", CP$3="Required"), IF(OR('3 - Carts &amp; Stands'!CP$7 = "", '3 - Carts &amp; Stands'!CP$7 = "N/A"), "3:Storage Included - Value is required", ""), ""))))</f>
        <v/>
      </c>
      <c r="CQ8" s="22">
        <f t="array" ref="CQ8">_xlfn.MAP('3 - Carts &amp; Stands'!B8:B507, '3 - Carts &amp; Stands'!CQ8:CQ507, _xlfn.LAMBDA(_xlpm.part, _xlpm.val, IF(_xlpm.part = "", "", IF(AND(_xlpm.val = "", CQ$3="Required"), IF(OR('3 - Carts &amp; Stands'!CQ$7 = "", '3 - Carts &amp; Stands'!CQ$7 = "N/A"), "3:Shelf Type - Value is required", ""), ""))))</f>
        <v/>
      </c>
      <c r="CR8" s="22">
        <f t="array" ref="CR8">_xlfn.MAP('3 - Carts &amp; Stands'!B8:B507, '3 - Carts &amp; Stands'!CR8:CR507, _xlfn.LAMBDA(_xlpm.part, _xlpm.val, IF(_xlpm.part = "", "", _xlfn.LET(_xlpm.check1, IF(NOT(ISBLANK(_xlpm.val)),_xlfn.LET(_xlpm.items, _xlfn.TEXTSPLIT(_xlpm.val, ";"),_xlpm.trimmed, _xlfn.MAP(_xlpm.items, _xlfn.LAMBDA(_xlpm.x, TRIM(_xlpm.x))),_xlpm.invalid, _xlfn._xlws.FILTER(_xlpm.trimmed, ISNA(MATCH(_xlpm.trimmed, allowed419944, 0)), ""),IF(AND(_xlpm.invalid&lt;&gt;"", COUNTA(_xlpm.invalid)&gt;0),"1:Please select valid values from the provided list. Answers are case-sensitive and must be separated by a semicolon.","")), ""), IF(LEN(_xlpm.check1) &gt; 0, _xlpm.check1, IF(AND(_xlpm.val = "", CR$3="Required"), IF(OR('3 - Carts &amp; Stands'!CR$7 = "", '3 - Carts &amp; Stands'!CR$7 = "N/A"), "3:Pieces Included - Value is required", ""), ""))))))</f>
        <v/>
      </c>
      <c r="CS8" s="22">
        <f t="array" ref="CS8">_xlfn.MAP('3 - Carts &amp; Stands'!B8:B507, '3 - Carts &amp; Stands'!CS8:CS507, _xlfn.LAMBDA(_xlpm.part, _xlpm.val, IF(_xlpm.part = "", "", IF(AND(_xlpm.val = "", CS$3="Required"), IF(OR('3 - Carts &amp; Stands'!CS$7 = "", '3 - Carts &amp; Stands'!CS$7 = "N/A"), "3:Number of Cabinets - Value is required", ""), ""))))</f>
        <v/>
      </c>
      <c r="CT8" s="22">
        <f t="array" ref="CT8">_xlfn.MAP('3 - Carts &amp; Stands'!B8:B507, '3 - Carts &amp; Stands'!CT8:CT507, _xlfn.LAMBDA(_xlpm.part, _xlpm.val, IF(_xlpm.part = "", "", IF(AND(_xlpm.val = "", CT$3="Required"), IF(OR('3 - Carts &amp; Stands'!CT$7 = "", '3 - Carts &amp; Stands'!CT$7 = "N/A"), "3:Number of Wheels / Casters Included - Value is required", ""), ""))))</f>
        <v/>
      </c>
      <c r="CU8" s="22">
        <f t="array" ref="CU8">_xlfn.MAP('3 - Carts &amp; Stands'!B8:B507, '3 - Carts &amp; Stands'!CU8:CU507, _xlfn.LAMBDA(_xlpm.part, _xlpm.val, IF(_xlpm.part = "", "", IF(AND(_xlpm.val = "", CU$3="Required"), IF(OR('3 - Carts &amp; Stands'!CU$7 = "", '3 - Carts &amp; Stands'!CU$7 = "N/A"), "3:CPSC - 16 CFR 1303 Compliant - Value is required", ""), ""))))</f>
        <v/>
      </c>
      <c r="CV8" s="22">
        <f t="array" ref="CV8">_xlfn.MAP('3 - Carts &amp; Stands'!B8:B507, '3 - Carts &amp; Stands'!CV8:CV507, _xlfn.LAMBDA(_xlpm.part, _xlpm.val, IF(_xlpm.part = "", "", IF(AND(_xlpm.val = "", CV$3="Required"), IF(OR('3 - Carts &amp; Stands'!CV$7 = "", '3 - Carts &amp; Stands'!CV$7 = "N/A"), "3:ADA Compliant - Value is required", ""), ""))))</f>
        <v/>
      </c>
      <c r="CW8" s="22">
        <f t="array" ref="CW8">_xlfn.MAP('3 - Carts &amp; Stands'!B8:B507, '3 - Carts &amp; Stands'!CW8:CW507, '3 - Carts &amp; Stands'!BP8:BP507, _xlfn.LAMBDA(_xlpm.part, _xlpm.val, _xlpm.dep1, IF(_xlpm.part = "", "", _xlfn.LET(_xlpm.check1, IF(AND(_xlpm.val = "", OR(AND(NOT(ISNUMBER(SEARCH("Manufactured Wood", _xlpm.dep1))), _xlpm.dep1 &lt;&gt; ""), AND(NOT(ISNUMBER(SEARCH("Engineered Wood", _xlpm.dep1))), _xlpm.dep1 &lt;&gt; ""), AND(NOT(ISNUMBER(SEARCH("Laminate", _xlpm.dep1))), _xlpm.dep1 &lt;&gt; ""), AND(NOT(ISNUMBER(SEARCH("Medium Density Fiberboard (MDF)", _xlpm.dep1))), _xlpm.dep1 &lt;&gt; ""), AND(NOT(ISNUMBER(SEARCH("Plywood", _xlpm.dep1))), _xlpm.dep1 &lt;&gt; ""), AND(NOT(ISNUMBER(SEARCH("Solid + Manufactured Wood", _xlpm.dep1))), _xlpm.dep1 &lt;&gt; ""), AND(NOT(ISNUMBER(SEARCH("Solid Wood", _xlpm.dep1))), _xlpm.dep1 &lt;&gt; ""), AND(NOT(ISNUMBER(SEARCH("Wood", _xlpm.dep1))), _xlpm.dep1 &lt;&gt; ""))), "2:Autofill", ""), IF(LEN(_xlpm.check1) &gt; 0, _xlpm.check1, IF(AND(_xlpm.val = "", CW$3="Required"), IF(OR('3 - Carts &amp; Stands'!CW$7 = "", '3 - Carts &amp; Stands'!CW$7 = "N/A"), "3:Composite Wood Product (CWP) - Value is required", ""), ""))))))</f>
        <v/>
      </c>
      <c r="CX8" s="22">
        <f t="array" ref="CX8">_xlfn.MAP('3 - Carts &amp; Stands'!B8:B507, '3 - Carts &amp; Stands'!CX8:CX507,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Stands'!CX$7 = "", '3 - Carts &amp; Stands'!CX$7 = "N/A"), "3:Since Composite Wood Product (CWP) equals 'Yes', this field is required", ""), ""), ""), IF(LEN(_xlpm.check4) &gt; 0, _xlpm.check4, IF(AND(_xlpm.val = "", CX$3="Required"), IF(OR('3 - Carts &amp; Stands'!CX$7 = "", '3 - Carts &amp; Stands'!CX$7 = "N/A"), "3:CARB Phase II Compliant (formaldehyde emissions) - Value is required", ""), ""))))))))))))</f>
        <v/>
      </c>
      <c r="CY8" s="22">
        <f t="array" ref="CY8">_xlfn.MAP('3 - Carts &amp; Stands'!B8:B507, '3 - Carts &amp; Stands'!CY8:CY507,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Stands'!CY$7 = "", '3 - Carts &amp; Stands'!CY$7 = "N/A"), "3:Since Composite Wood Product (CWP) equals 'Yes', this field is required", ""), ""), ""), IF(LEN(_xlpm.check4) &gt; 0, _xlpm.check4, IF(AND(_xlpm.val = "", CY$3="Required"), IF(OR('3 - Carts &amp; Stands'!CY$7 = "", '3 - Carts &amp; Stands'!CY$7 = "N/A"), "3:TSCA Title VI Compliant (formaldehyde emissions) - Value is required", ""), ""))))))))))))</f>
        <v/>
      </c>
      <c r="CZ8" s="22">
        <f t="array" ref="CZ8">_xlfn.MAP('3 - Carts &amp; Stands'!B8:B507, '3 - Carts &amp; Stands'!CZ8:CZ507,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Stands'!CZ$7 = "", '3 - Carts &amp; Stands'!CZ$7 = "N/A"), "3:Since Composite Wood Product (CWP) equals 'Yes', this field is required", ""), ""), ""), IF(LEN(_xlpm.check4) &gt; 0, _xlpm.check4, IF(AND(_xlpm.val = "", CZ$3="Required"), IF(OR('3 - Carts &amp; Stands'!CZ$7 = "", '3 - Carts &amp; Stands'!CZ$7 = "N/A"), "3:CANFER Compliant - Value is required", ""), ""))))))))))))</f>
        <v/>
      </c>
      <c r="DA8" s="22">
        <f t="array" ref="DA8">_xlfn.MAP('3 - Carts &amp; Stands'!B8:B507, '3 - Carts &amp; Stands'!DA8:DA507, _xlfn.LAMBDA(_xlpm.part, _xlpm.val, IF(_xlpm.part = "", "", IF(AND(_xlpm.val = "", DA$3="Required"), IF(OR('3 - Carts &amp; Stands'!DA$7 = "", '3 - Carts &amp; Stands'!DA$7 = "N/A"), "3:Uniform Packaging and Labeling Regulations (UPLR) Compliant - Value is required", ""), ""))))</f>
        <v/>
      </c>
      <c r="DB8" s="22">
        <f t="array" ref="DB8">_xlfn.MAP('3 - Carts &amp; Stands'!B8:B507, '3 - Carts &amp; Stands'!DB8:DB507, _xlfn.LAMBDA(_xlpm.part, _xlpm.val, IF(_xlpm.part = "", "", IF(AND(_xlpm.val = "", DB$3="Required"), IF(OR('3 - Carts &amp; Stands'!DB$7 = "", '3 - Carts &amp; Stands'!DB$7 = "N/A"), "3:Canada Product Restriction - Value is required", ""), ""))))</f>
        <v/>
      </c>
      <c r="DC8" s="22">
        <f t="array" ref="DC8">_xlfn.MAP('3 - Carts &amp; Stands'!B8:B507, '3 - Carts &amp; Stands'!DC8:DC507, '3 - Carts &amp; Stands'!DB8:DB507,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allowed251061, 0)), ""),IF(AND(_xlpm.invalid&lt;&gt;"", COUNTA(_xlpm.invalid)&gt;0),"1:Please select valid values from the provided list. Answers are case-sensitive and must be separated by a semicolon.","")), ""), IF(LEN(_xlpm.check3) &gt; 0, _xlpm.check3, _xlfn.LET(_xlpm.check4, IF(_xlpm.dep1 = "Yes", IF(_xlpm.val = "", IF(OR('3 - Carts &amp; Stands'!DC$7 = "", '3 - Carts &amp; Stands'!DC$7 = "N/A"), "3:Since Canada Product Restriction equals 'Yes', this field is required", ""), ""), ""), IF(LEN(_xlpm.check4) &gt; 0, _xlpm.check4, IF(AND(_xlpm.val = "", DC$3="Required"), IF(OR('3 - Carts &amp; Stands'!DC$7 = "", '3 - Carts &amp; Stands'!DC$7 = "N/A"), "3:Reason for Restriction - Value is required", ""), ""))))))))))))</f>
        <v/>
      </c>
      <c r="DD8" s="22">
        <f t="array" ref="DD8">_xlfn.MAP('3 - Carts &amp; Stands'!B8:B507, '3 - Carts &amp; Stands'!DD8:DD507, _xlfn.LAMBDA(_xlpm.part, _xlpm.val, IF(_xlpm.part = "", "", IF(AND(_xlpm.val = "", DD$3="Required"), IF(OR('3 - Carts &amp; Stands'!DD$7 = "", '3 - Carts &amp; Stands'!DD$7 = "N/A"), "3:Lacey Act Compliant - Value is required", ""), ""))))</f>
        <v/>
      </c>
      <c r="DE8" s="22">
        <f t="array" ref="DE8">_xlfn.MAP('3 - Carts &amp; Stands'!B8:B507, '3 - Carts &amp; Stands'!DE8:DE507, _xlfn.LAMBDA(_xlpm.part, _xlpm.val, IF(_xlpm.part = "", "", IF(AND(_xlpm.val = "", DE$3="Required"), IF(OR('3 - Carts &amp; Stands'!DE$7 = "", '3 - Carts &amp; Stands'!DE$7 = "N/A"), "3:General Certificate of Conformity (GCC) - Value is required", ""), ""))))</f>
        <v/>
      </c>
      <c r="DF8" s="22">
        <f t="array" ref="DF8">_xlfn.MAP('3 - Carts &amp; Stands'!B8:B507, '3 - Carts &amp; Stands'!DF8:DF507, '3 - Carts &amp; Stands'!CD8:CD507,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DF$3="Required"), IF(OR('3 - Carts &amp; Stands'!DF$7 = "", '3 - Carts &amp; Stands'!DF$7 = "N/A"), "3:Hazardous Material / Dangerous Goods - Value is required", ""), ""))))))))))))</f>
        <v/>
      </c>
      <c r="DG8" s="22">
        <f t="array" ref="DG8">_xlfn.MAP('3 - Carts &amp; Stands'!B8:B507, '3 - Carts &amp; Stands'!DG8:DG507, '3 - Carts &amp; Stands'!DF8:DF507,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allowed373554, 0)), ""),IF(AND(_xlpm.invalid&lt;&gt;"", COUNTA(_xlpm.invalid)&gt;0),"1:Please select valid values from the provided list. Answers are case-sensitive and must be separated by a semicolon.","")), ""), IF(LEN(_xlpm.check3) &gt; 0, _xlpm.check3, _xlfn.LET(_xlpm.check4, IF(_xlpm.dep1 = "Yes", IF(_xlpm.val = "", IF(OR('3 - Carts &amp; Stands'!DG$7 = "", '3 - Carts &amp; Stands'!DG$7 = "N/A"), "3:Since Hazardous Material / Dangerous Goods equals 'Yes', this field is required", ""), ""), ""), IF(LEN(_xlpm.check4) &gt; 0, _xlpm.check4, IF(AND(_xlpm.val = "", DG$3="Required"), IF(OR('3 - Carts &amp; Stands'!DG$7 = "", '3 - Carts &amp; Stands'!DG$7 = "N/A"), "3:UN or ID number - Value is required", ""), ""))))))))))))</f>
        <v/>
      </c>
      <c r="DH8" s="22">
        <f t="array" ref="DH8">_xlfn.MAP('3 - Carts &amp; Stands'!B8:B507, '3 - Carts &amp; Stands'!DH8:DH507, '3 - Carts &amp; Stands'!DF8:DF507, '3 - Carts &amp; Stands'!DG8:DG507, _xlfn.LAMBDA(_xlpm.part, _xlpm.val, _xlpm.dep1, _xlpm.dep2, IF(_xlpm.part = "", "", _xlfn.LET(_xlpm.check1, IF(AND(_xlpm.val = "", OR(_xlpm.dep1 = "No", _xlpm.dep2 = "UN3091", _xlpm.dep2 = "UN3481", _xlpm.dep2 = "UN2800", _xlpm.dep2 = "ID8000", _xlpm.dep2 = "UN1013", _xlpm.dep2 = "UN3082", _xlpm.dep2 = "UN3077", _xlpm.dep2 = "UN3480", _xlpm.dep2 = "UN2857", _xlpm.dep2 = "UN3358", _xlpm.dep2 = "UN3090",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"UN3091", IF(_xlpm.val &lt;&gt; "9", "1:Based on UN or ID number, value should be 9", ""), ""), IF(LEN(_xlpm.check3) &gt; 0, _xlpm.check3, _xlfn.LET(_xlpm.check4, IF(_xlpm.dep2 = "UN3481", IF(_xlpm.val &lt;&gt; "9", "1:Based on UN or ID number, value should be 9", ""), ""), IF(LEN(_xlpm.check4) &gt; 0, _xlpm.check4, _xlfn.LET(_xlpm.check5, IF(_xlpm.dep2 = "UN2800", IF(_xlpm.val &lt;&gt; "8", "1:Based on UN or ID number, value should be 8", ""), ""), IF(LEN(_xlpm.check5) &gt; 0, _xlpm.check5, _xlfn.LET(_xlpm.check6, IF(_xlpm.dep2 = "UN1950", IF(OR(_xlpm.val = "1", _xlpm.val = "7", _xlpm.val = "5.2", _xlpm.val = "6.1", _xlpm.val = "3", _xlpm.val = "4.1", _xlpm.val = "4.3", _xlpm.val = "4.2", _xlpm.val = "5.1", _xlpm.val = "2.3", _xlpm.val = "6.2", _xlpm.val = "9", _xlpm.val = "8"), "1:Based on UN or ID number, value should not be 1, 7, 5.2, 6.1, 3, 4.1, 4.3, 4.2, 5.1, 2.3, 6.2, 9, 8", ""), ""), IF(LEN(_xlpm.check6) &gt; 0, _xlpm.check6, _xlfn.LET(_xlpm.check7, IF(_xlpm.dep2 = "ID8000", IF(_xlpm.val &lt;&gt; "9", "1:Based on UN or ID number, value should be 9", ""), ""), IF(LEN(_xlpm.check7) &gt; 0, _xlpm.check7, _xlfn.LET(_xlpm.check8, IF(_xlpm.dep2 = "UN1013", IF(_xlpm.val &lt;&gt; "2.2", "1:Based on UN or ID number, value should be 2.2", ""), ""), IF(LEN(_xlpm.check8) &gt; 0, _xlpm.check8, _xlfn.LET(_xlpm.check9, IF(_xlpm.dep2 = "UN3082", IF(_xlpm.val &lt;&gt; "9", "1:Based on UN or ID number, value should be 9", ""), ""), IF(LEN(_xlpm.check9) &gt; 0, _xlpm.check9, _xlfn.LET(_xlpm.check10, IF(_xlpm.dep2 = "UN3077", IF(_xlpm.val &lt;&gt; "9", "1:Based on UN or ID number, value should be 9", ""), ""), IF(LEN(_xlpm.check10) &gt; 0, _xlpm.check10, _xlfn.LET(_xlpm.check11, IF(_xlpm.dep2 = "UN3480", IF(_xlpm.val &lt;&gt; "9", "1:Based on UN or ID number, value should be 9", ""), ""), IF(LEN(_xlpm.check11) &gt; 0, _xlpm.check11, _xlfn.LET(_xlpm.check12, IF(_xlpm.dep2 = "UN2857", IF(_xlpm.val &lt;&gt; "2.2", "1:Based on UN or ID number, value should be 2.2", ""), ""), IF(LEN(_xlpm.check12) &gt; 0, _xlpm.check12, _xlfn.LET(_xlpm.check13, IF(_xlpm.dep2 = "UN3358", IF(_xlpm.val &lt;&gt; "2.1", "1:Based on UN or ID number, value should be 2.1", ""), ""), IF(LEN(_xlpm.check13) &gt; 0, _xlpm.check13, _xlfn.LET(_xlpm.check14, IF(_xlpm.dep2 = "UN3090", IF(_xlpm.val &lt;&gt; "9", "1:Based on UN or ID number, value should be 9", ""), ""), IF(LEN(_xlpm.check14) &gt; 0, _xlpm.check14, _xlfn.LET(_xlpm.check15, IF(_xlpm.dep2 = "UN1266", IF(_xlpm.val &lt;&gt; "3", "1:Based on UN or ID number, value should be 3", ""), ""), IF(LEN(_xlpm.check15) &gt; 0, _xlpm.check15, _xlfn.LET(_xlpm.check16, IF(_xlpm.dep2 = "UN1993", IF(_xlpm.val &lt;&gt; "3", "1:Based on UN or ID number, value should be 3", ""), ""), IF(LEN(_xlpm.check16) &gt; 0, _xlpm.check16, _xlfn.LET(_xlpm.check17, IF(_xlpm.dep2 = "UN1944", IF(_xlpm.val &lt;&gt; "4.1", "1:Based on UN or ID number, value should be 4.1", ""), ""), IF(LEN(_xlpm.check17) &gt; 0, _xlpm.check17, _xlfn.LET(_xlpm.check18, IF(_xlpm.dep2 = "UN1070", IF(_xlpm.val &lt;&gt; "2.2", "1:Based on UN or ID number, value should be 2.2", ""), ""), IF(LEN(_xlpm.check18) &gt; 0, _xlpm.check18, _xlfn.LET(_xlpm.check19, IF(_xlpm.dep2 = "UN1044", IF(_xlpm.val &lt;&gt; "2.2", "1:Based on UN or ID number, value should be 2.2", ""), ""), IF(LEN(_xlpm.check19) &gt; 0, _xlpm.check19, _xlfn.LET(_xlpm.check20, IF(_xlpm.dep2 = "UN3163", IF(_xlpm.val &lt;&gt; "2.2", "1:Based on UN or ID number, value should be 2.2", ""), ""), IF(LEN(_xlpm.check20) &gt; 0, _xlpm.check20, _xlfn.LET(_xlpm.check21, IF(_xlpm.dep2 = "UN1268", IF(_xlpm.val &lt;&gt; "3", "1:Based on UN or ID number, value should be 3", ""), ""), IF(LEN(_xlpm.check21) &gt; 0, _xlpm.check21, _xlfn.LET(_xlpm.check22, IF(_xlpm.dep2 = "UN1760", IF(_xlpm.val &lt;&gt; "8", "1:Based on UN or ID number, value should be 8", ""), ""), IF(LEN(_xlpm.check22) &gt; 0, _xlpm.check22, _xlfn.LET(_xlpm.check23, IF(_xlpm.dep2 = "UN1011", IF(_xlpm.val &lt;&gt; "2.1", "1:Based on UN or ID number, value should be 2.1", ""), ""), IF(LEN(_xlpm.check23) &gt; 0, _xlpm.check23, _xlfn.LET(_xlpm.check24, IF(_xlpm.dep2 = "UN2794", IF(_xlpm.val &lt;&gt; "8", "1:Based on UN or ID number, value should be 8", ""), ""), IF(LEN(_xlpm.check24) &gt; 0, _xlpm.check24, _xlfn.LET(_xlpm.check25, IF(_xlpm.dep2 = "UN1759", IF(_xlpm.val &lt;&gt; "8", "1:Based on UN or ID number, value should be 8", ""), ""), IF(LEN(_xlpm.check25) &gt; 0, _xlpm.check25, _xlfn.LET(_xlpm.check26, IF(_xlpm.dep2 = "UN3171", IF(_xlpm.val &lt;&gt; "9", "1:Based on UN or ID number, value should be 9", ""), ""), IF(LEN(_xlpm.check26) &gt; 0, _xlpm.check26, _xlfn.LET(_xlpm.check27, IF(_xlpm.dep1 = "Yes", IF(_xlpm.val = "", IF(OR('3 - Carts &amp; Stands'!DH$7 = "", '3 - Carts &amp; Stands'!DH$7 = "N/A"), "3:Since Hazardous Material / Dangerous Goods equals 'Yes', this field is required", ""), ""), ""), IF(LEN(_xlpm.check27) &gt; 0, _xlpm.check27, IF(AND(_xlpm.val = "", DH$3="Required"), IF(OR('3 - Carts &amp; Stands'!DH$7 = "", '3 - Carts &amp; Stands'!DH$7 = "N/A"), "3:Hazard Class(es) - Value is required", ""), ""))))))))))))))))))))))))))))))))))))))))))))))))))))))))))</f>
        <v/>
      </c>
      <c r="DI8" s="22">
        <f t="array" ref="DI8">_xlfn.MAP('3 - Carts &amp; Stands'!B8:B507, '3 - Carts &amp; Stands'!DI8:DI507, '3 - Carts &amp; Stands'!DF8:DF507, '3 - Carts &amp; Stands'!DG8:DG507, _xlfn.LAMBDA(_xlpm.part, _xlpm.val, _xlpm.dep1, _xlpm.dep2, IF(_xlpm.part = "", "", _xlfn.LET(_xlpm.check1, IF(AND(_xlpm.val = "", OR(_xlpm.dep1 = "No", _xlpm.dep2 = "UN3091", _xlpm.dep2 = "UN3481", _xlpm.dep2 = "UN2800", _xlpm.dep2 = "UN1950", _xlpm.dep2 = "ID8000", _xlpm.dep2 = "UN1013", _xlpm.dep2 = "UN3082", _xlpm.dep2 = "UN3077", _xlpm.dep2 = "UN3480", _xlpm.dep2 = "UN2857", _xlpm.dep2 = "UN3358", _xlpm.dep2 = "UN3090",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"UN3091", IF(_xlpm.val &lt;&gt; "No Packing Group", "1:Based on UN or ID number, value should be No Packing Group", ""), ""), IF(LEN(_xlpm.check3) &gt; 0, _xlpm.check3, _xlfn.LET(_xlpm.check4, IF(_xlpm.dep2 = "UN3481", IF(_xlpm.val &lt;&gt; "No Packing Group", "1:Based on UN or ID number, value should be No Packing Group", ""), ""), IF(LEN(_xlpm.check4) &gt; 0, _xlpm.check4, _xlfn.LET(_xlpm.check5, IF(_xlpm.dep2 = "UN2800", IF(_xlpm.val &lt;&gt; "No Packing Group", "1:Based on UN or ID number, value should be No Packing Group", ""), ""), IF(LEN(_xlpm.check5) &gt; 0, _xlpm.check5, _xlfn.LET(_xlpm.check6, IF(_xlpm.dep2 = "UN1950", IF(_xlpm.val &lt;&gt; "No Packing Group", "1:Based on UN or ID number, value should be No Packing Group", ""), ""), IF(LEN(_xlpm.check6) &gt; 0, _xlpm.check6, _xlfn.LET(_xlpm.check7, IF(_xlpm.dep2 = "ID8000", IF(_xlpm.val &lt;&gt; "No Packing Group", "1:Based on UN or ID number, value should be No Packing Group", ""), ""), IF(LEN(_xlpm.check7) &gt; 0, _xlpm.check7, _xlfn.LET(_xlpm.check8, IF(_xlpm.dep2 = "UN1013", IF(_xlpm.val &lt;&gt; "No Packing Group", "1:Based on UN or ID number, value should be No Packing Group", ""), ""), IF(LEN(_xlpm.check8) &gt; 0, _xlpm.check8, _xlfn.LET(_xlpm.check9, IF(_xlpm.dep2 = "UN3082", IF(_xlpm.val &lt;&gt; "III", "1:Based on UN or ID number, value should be III", ""), ""), IF(LEN(_xlpm.check9) &gt; 0, _xlpm.check9, _xlfn.LET(_xlpm.check10, IF(_xlpm.dep2 = "UN3077", IF(_xlpm.val &lt;&gt; "III", "1:Based on UN or ID number, value should be III", ""), ""), IF(LEN(_xlpm.check10) &gt; 0, _xlpm.check10, _xlfn.LET(_xlpm.check11, IF(_xlpm.dep2 = "UN3480", IF(_xlpm.val &lt;&gt; "No Packing Group", "1:Based on UN or ID number, value should be No Packing Group", ""), ""), IF(LEN(_xlpm.check11) &gt; 0, _xlpm.check11, _xlfn.LET(_xlpm.check12, IF(_xlpm.dep2 = "UN2857", IF(_xlpm.val &lt;&gt; "No Packing Group", "1:Based on UN or ID number, value should be No Packing Group", ""), ""), IF(LEN(_xlpm.check12) &gt; 0, _xlpm.check12, _xlfn.LET(_xlpm.check13, IF(_xlpm.dep2 = "UN3358", IF(_xlpm.val &lt;&gt; "No Packing Group", "1:Based on UN or ID number, value should be No Packing Group", ""), ""), IF(LEN(_xlpm.check13) &gt; 0, _xlpm.check13, _xlfn.LET(_xlpm.check14, IF(_xlpm.dep2 = "UN3090", IF(_xlpm.val &lt;&gt; "No Packing Group", "1:Based on UN or ID number, value should be No Packing Group", ""), ""), IF(LEN(_xlpm.check14) &gt; 0, _xlpm.check14, _xlfn.LET(_xlpm.check15, IF(_xlpm.dep2 = "UN1944", IF(_xlpm.val &lt;&gt; "III", "1:Based on UN or ID number, value should be III", ""), ""), IF(LEN(_xlpm.check15) &gt; 0, _xlpm.check15, _xlfn.LET(_xlpm.check16, IF(_xlpm.dep2 = "UN1070", IF(_xlpm.val &lt;&gt; "No Packing Group", "1:Based on UN or ID number, value should be No Packing Group", ""), ""), IF(LEN(_xlpm.check16) &gt; 0, _xlpm.check16, _xlfn.LET(_xlpm.check17, IF(_xlpm.dep2 = "UN1044", IF(_xlpm.val &lt;&gt; "No Packing Group", "1:Based on UN or ID number, value should be No Packing Group", ""), ""), IF(LEN(_xlpm.check17) &gt; 0, _xlpm.check17, _xlfn.LET(_xlpm.check18, IF(_xlpm.dep2 = "UN3163", IF(_xlpm.val &lt;&gt; "No Packing Group", "1:Based on UN or ID number, value should be No Packing Group", ""), ""), IF(LEN(_xlpm.check18) &gt; 0, _xlpm.check18, _xlfn.LET(_xlpm.check19, IF(_xlpm.dep2 = "UN1760", IF(_xlpm.val = "No Packing Group", "1:Based on UN or ID number, value should not be No Packing Group", ""), ""), IF(LEN(_xlpm.check19) &gt; 0, _xlpm.check19, _xlfn.LET(_xlpm.check20, IF(_xlpm.dep2 = "UN1011", IF(_xlpm.val &lt;&gt; "No Packing Group", "1:Based on UN or ID number, value should be No Packing Group", ""), ""), IF(LEN(_xlpm.check20) &gt; 0, _xlpm.check20, _xlfn.LET(_xlpm.check21, IF(_xlpm.dep2 = "UN2794", IF(_xlpm.val &lt;&gt; "No Packing Group", "1:Based on UN or ID number, value should be No Packing Group", ""), ""), IF(LEN(_xlpm.check21) &gt; 0, _xlpm.check21, _xlfn.LET(_xlpm.check22, IF(_xlpm.dep2 = "UN1759", IF(_xlpm.val = "No Packing Group", "1:Based on UN or ID number, value should not be No Packing Group", ""), ""), IF(LEN(_xlpm.check22) &gt; 0, _xlpm.check22, _xlfn.LET(_xlpm.check23, IF(_xlpm.dep2 = "UN3171", IF(_xlpm.val &lt;&gt; "No Packing Group", "1:Based on UN or ID number, value should be No Packing Group", ""), ""), IF(LEN(_xlpm.check23) &gt; 0, _xlpm.check23, _xlfn.LET(_xlpm.check24, IF(_xlpm.dep1 = "Yes", IF(_xlpm.val = "", IF(OR('3 - Carts &amp; Stands'!DI$7 = "", '3 - Carts &amp; Stands'!DI$7 = "N/A"), "3:Since Hazardous Material / Dangerous Goods equals 'Yes', this field is required", ""), ""), ""), IF(LEN(_xlpm.check24) &gt; 0, _xlpm.check24, IF(AND(_xlpm.val = "", DI$3="Required"), IF(OR('3 - Carts &amp; Stands'!DI$7 = "", '3 - Carts &amp; Stands'!DI$7 = "N/A"), "3:Packing Group - Value is required", ""), ""))))))))))))))))))))))))))))))))))))))))))))))))))))</f>
        <v/>
      </c>
      <c r="DJ8" s="22">
        <f t="array" ref="DJ8">_xlfn.MAP('3 - Carts &amp; Stands'!B8:B507, '3 - Carts &amp; Stands'!DJ8:DJ507, '3 - Carts &amp; Stands'!DF8:DF507,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IF(OR('3 - Carts &amp; Stands'!DJ$7 = "", '3 - Carts &amp; Stands'!DJ$7 = "N/A"), "3:Since Hazardous Material / Dangerous Goods equals 'Yes', this field is required", ""), ""), ""), IF(LEN(_xlpm.check3) &gt; 0, _xlpm.check3, IF(AND(_xlpm.val = "", DJ$3="Required"), IF(OR('3 - Carts &amp; Stands'!DJ$7 = "", '3 - Carts &amp; Stands'!DJ$7 = "N/A"), "3:Hazardous Material Weight - Value is required", ""), ""))))))))))</f>
        <v/>
      </c>
      <c r="DK8" s="22">
        <f t="array" ref="DK8">_xlfn.MAP('3 - Carts &amp; Stands'!B8:B507, '3 - Carts &amp; Stands'!DK8:DK507, _xlfn.LAMBDA(_xlpm.part, _xlpm.val, IF(_xlpm.part = "", "", IF(AND(_xlpm.val = "", DK$3="Required"), IF(OR('3 - Carts &amp; Stands'!DK$7 = "", '3 - Carts &amp; Stands'!DK$7 = "N/A"), "3:Energy Efficiency Regulations Compliant - Value is required", ""), ""))))</f>
        <v/>
      </c>
      <c r="DL8" s="22">
        <f t="array" ref="DL8">_xlfn.MAP('3 - Carts &amp; Stands'!B8:B507, '3 - Carts &amp; Stands'!DL8:DL507, _xlfn.LAMBDA(_xlpm.part, _xlpm.val, IF(_xlpm.part = "", "", IF(AND(_xlpm.val = "", DL$3="Required"), IF(OR('3 - Carts &amp; Stands'!DL$7 = "", '3 - Carts &amp; Stands'!DL$7 = "N/A"), "3:Safety Listing(s) - Value is required", ""), ""))))</f>
        <v/>
      </c>
      <c r="DM8" s="22">
        <f t="array" ref="DM8">_xlfn.MAP('3 - Carts &amp; Stands'!B8:B507, '3 - Carts &amp; Stands'!DM8:DM507, _xlfn.LAMBDA(_xlpm.part, _xlpm.val, IF(_xlpm.part = "", "", IF(AND(_xlpm.val = "", DM$3="Required"), IF(OR('3 - Carts &amp; Stands'!DM$7 = "", '3 - Carts &amp; Stands'!DM$7 = "N/A"), "3:Safety Listing(s) Registration Number - Value is required", ""), ""))))</f>
        <v/>
      </c>
      <c r="DN8" s="22">
        <f t="array" ref="DN8">_xlfn.MAP('3 - Carts &amp; Stands'!B8:B507, '3 - Carts &amp; Stands'!DN8:DN507, _xlfn.LAMBDA(_xlpm.part, _xlpm.val, IF(_xlpm.part = "", "", IF(AND(_xlpm.val = "", DN$3="Required"), IF(OR('3 - Carts &amp; Stands'!DN$7 = "", '3 - Carts &amp; Stands'!DN$7 = "N/A"), "3:ISTA Certified - Value is required", ""), ""))))</f>
        <v/>
      </c>
      <c r="DO8" s="22">
        <f t="array" ref="DO8">_xlfn.MAP('3 - Carts &amp; Stands'!B8:B507, '3 - Carts &amp; Stands'!DO8:DO507, _xlfn.LAMBDA(_xlpm.part, _xlpm.val, IF(_xlpm.part = "", "", IF(AND(_xlpm.val = "", DO$3="Required"), IF(OR('3 - Carts &amp; Stands'!DO$7 = "", '3 - Carts &amp; Stands'!DO$7 = "N/A"), "3:Sustainability &amp; Social Responsibility Certifications (North America Only) - Value is required", ""), ""))))</f>
        <v/>
      </c>
      <c r="DP8" s="22">
        <f t="array" ref="DP8">_xlfn.MAP('3 - Carts &amp; Stands'!B8:B507, '3 - Carts &amp; Stands'!DP8:DP507, _xlfn.LAMBDA(_xlpm.part, _xlpm.val, IF(_xlpm.part = "", "", IF(AND(_xlpm.val = "", DP$3="Required"), IF(OR('3 - Carts &amp; Stands'!DP$7 = "", '3 - Carts &amp; Stands'!DP$7 = "N/A"), "3:Overall Height - Top to Bottom - Value is required", ""), ""))))</f>
        <v/>
      </c>
      <c r="DQ8" s="22">
        <f t="array" ref="DQ8">_xlfn.MAP('3 - Carts &amp; Stands'!B8:B507, '3 - Carts &amp; Stands'!DQ8:DQ507, _xlfn.LAMBDA(_xlpm.part, _xlpm.val, IF(_xlpm.part = "", "", _xlfn.LET(_xlpm.check1, IF(AND(NOT(ISBLANK(_xlpm.val)),OR(NOT(ISNUMBER(IFERROR(VALUE(_xlpm.val), ""))), IFERROR(VALUE(_xlpm.val), -1) &lt; 0)), "1:Overall Width - Side to Side - Value should be numeric", ""), IF(LEN(_xlpm.check1) &gt; 0, _xlpm.check1, IF(AND(_xlpm.val = "", DQ$3="Required"), IF(OR('3 - Carts &amp; Stands'!DQ$7 = "", '3 - Carts &amp; Stands'!DQ$7 = "N/A"), "3:Overall Width - Side to Side - Value is required", ""), ""))))))</f>
        <v/>
      </c>
      <c r="DR8" s="22">
        <f t="array" ref="DR8">_xlfn.MAP('3 - Carts &amp; Stands'!B8:B507, '3 - Carts &amp; Stands'!DR8:DR507, _xlfn.LAMBDA(_xlpm.part, _xlpm.val, IF(_xlpm.part = "", "", _xlfn.LET(_xlpm.check1, IF(AND(NOT(ISBLANK(_xlpm.val)),OR(NOT(ISNUMBER(IFERROR(VALUE(_xlpm.val), ""))), IFERROR(VALUE(_xlpm.val), -1) &lt; 0)), "1:Overall Depth - Front to Back - Value should be numeric", ""), IF(LEN(_xlpm.check1) &gt; 0, _xlpm.check1, IF(AND(_xlpm.val = "", DR$3="Required"), IF(OR('3 - Carts &amp; Stands'!DR$7 = "", '3 - Carts &amp; Stands'!DR$7 = "N/A"), "3:Overall Depth - Front to Back - Value is required", ""), ""))))))</f>
        <v/>
      </c>
      <c r="DS8" s="22">
        <f t="array" ref="DS8">_xlfn.MAP('3 - Carts &amp; Stands'!B8:B507, '3 - Carts &amp; Stands'!DS8:DS507, _xlfn.LAMBDA(_xlpm.part, _xlpm.val, IF(_xlpm.part = "", "", IF(AND(_xlpm.val = "", DS$3="Required"), IF(OR('3 - Carts &amp; Stands'!DS$7 = "", '3 - Carts &amp; Stands'!DS$7 = "N/A"), "3:Overall Product Weight - Value is required", ""), ""))))</f>
        <v/>
      </c>
      <c r="DT8" s="22">
        <f t="array" ref="DT8">_xlfn.MAP('3 - Carts &amp; Stands'!B8:B507, '3 - Carts &amp; Stands'!DT8:DT507, _xlfn.LAMBDA(_xlpm.part, _xlpm.val, IF(_xlpm.part = "", "", IF(AND(_xlpm.val = "", DT$3="Required"), IF(OR('3 - Carts &amp; Stands'!DT$7 = "", '3 - Carts &amp; Stands'!DT$7 = "N/A"), "3:Assembly Required - Value is required", ""), ""))))</f>
        <v/>
      </c>
      <c r="DU8" s="22">
        <f t="array" ref="DU8">_xlfn.MAP('3 - Carts &amp; Stands'!B8:B507, '3 - Carts &amp; Stands'!DU8:DU507, _xlfn.LAMBDA(_xlpm.part, _xlpm.val, IF(_xlpm.part = "", "", IF(AND(_xlpm.val = "", DU$3="Required"), IF(OR('3 - Carts &amp; Stands'!DU$7 = "", '3 - Carts &amp; Stands'!DU$7 = "N/A"), "3:Commercial Warranty - Value is required", ""), ""))))</f>
        <v/>
      </c>
      <c r="DV8" s="22">
        <f t="array" ref="DV8">_xlfn.MAP('3 - Carts &amp; Stands'!B8:B507, '3 - Carts &amp; Stands'!DV8:DV507, '3 - Carts &amp; Stands'!DU8:DU507,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IF(OR('3 - Carts &amp; Stands'!DV$7 = "", '3 - Carts &amp; Stands'!DV$7 = "N/A"), "3:Since Commercial Warranty equals 'Yes', this field is required", ""), ""), ""), IF(LEN(_xlpm.check3) &gt; 0, _xlpm.check3, IF(AND(_xlpm.val = "", DV$3="Required"), IF(OR('3 - Carts &amp; Stands'!DV$7 = "", '3 - Carts &amp; Stands'!DV$7 = "N/A"), "3:Commercial Warranty Length - Value is required", ""), ""))))))))))</f>
        <v/>
      </c>
      <c r="DW8" s="22">
        <f t="array" ref="DW8">_xlfn.MAP('3 - Carts &amp; Stands'!B8:B507, '3 - Carts &amp; Stands'!DW8:DW507, _xlfn.LAMBDA(_xlpm.part, _xlpm.val, IF(_xlpm.part = "", "", IF(AND(_xlpm.val = "", DW$3="Required"), IF(OR('3 - Carts &amp; Stands'!DW$7 = "", '3 - Carts &amp; Stands'!DW$7 = "N/A"), "3:Product Warranty - Value is required", ""), ""))))</f>
        <v/>
      </c>
      <c r="DX8" s="22">
        <f t="array" ref="DX8">_xlfn.MAP('3 - Carts &amp; Stands'!B8:B507, '3 - Carts &amp; Stands'!DX8:DX507, _xlfn.LAMBDA(_xlpm.part, _xlpm.val, IF(_xlpm.part = "", "", IF(AND(_xlpm.val = "", DX$3="Required"), IF(OR('3 - Carts &amp; Stands'!DX$7 = "", '3 - Carts &amp; Stands'!DX$7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394"/>
  <mergeCells count="9">
    <mergeCell ref="AL2:AO2"/>
    <mergeCell ref="AP2:AS2"/>
    <mergeCell ref="U2:Z2"/>
    <mergeCell ref="R2:T2"/>
    <mergeCell ref="B2:I2"/>
    <mergeCell ref="AA2:AK2"/>
    <mergeCell ref="AT2:BN2"/>
    <mergeCell ref="J2:Q2"/>
    <mergeCell ref="BO2:DX2"/>
  </mergeCells>
  <dataValidations count="12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X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f t="array" ref="A8">_xlfn.BYROW(B8:DY507, _xlfn.LAMBDA(_xlpm.r, _xlfn.LET(_xlpm.high_priority_idx, IFERROR(MATCH(TRUE, (_xlpm.r = "Error") + (_xlpm.r = "Required") &gt; 0, 0), 0), IF(_xlpm.high_priority_idx &gt; 0, _xlpm.high_priority_idx + 1, IFERROR(MATCH(1, (_xlpm.r = "Warning") * 1, 0) + 1, "")))))</f>
        <v/>
      </c>
      <c r="B8" s="22">
        <f t="array" ref="B8">_xlfn.MAP('3 - Carts &amp; Stands'!B8:B507, '3 - Carts &amp; Stands'!B8:B507, '3 - Carts &amp; Stands-WUO_ERR'!B8:B507, _xlfn.LAMBDA(_xlpm.part, _xlpm.val, _xlpm.error, IF(_xlpm.part = "", "", IF(LEN(_xlpm.error), _xlfn.SWITCH(IFERROR(_xlfn.TEXTBEFORE(_xlpm.error,":"), ""), "1", "Error", "2", "Disabled", "3", "Required", "4", "Warning", "Valid"), "Valid"))))</f>
        <v/>
      </c>
      <c r="C8" s="22">
        <f t="array" ref="C8">_xlfn.MAP('3 - Carts &amp; Stands'!B8:B507, '3 - Carts &amp; Stands'!C8:C507, '3 - Carts &amp; Stands-WUO_ERR'!C8:C507, _xlfn.LAMBDA(_xlpm.part, _xlpm.val, _xlpm.error, IF(_xlpm.part = "", "", IF(LEN(_xlpm.error), _xlfn.SWITCH(IFERROR(_xlfn.TEXTBEFORE(_xlpm.error,":"), ""), "1", "Error", "2", "Disabled", "3", "Required", "4", "Warning", "Valid"), "Valid"))))</f>
        <v/>
      </c>
      <c r="D8" s="22">
        <f t="array" ref="D8">_xlfn.MAP('3 - Carts &amp; Stands'!B8:B507, '3 - Carts &amp; Stands'!D8:D507, '3 - Carts &amp; Stands-WUO_ERR'!D8:D507, _xlfn.LAMBDA(_xlpm.part, _xlpm.val, _xlpm.error, IF(_xlpm.part = "", "", IF(LEN(_xlpm.error), _xlfn.SWITCH(IFERROR(_xlfn.TEXTBEFORE(_xlpm.error,":"), ""), "1", "Error", "2", "Disabled", "3", "Required", "4", "Warning", "Valid"), "Valid"))))</f>
        <v/>
      </c>
      <c r="E8" s="22">
        <f t="array" ref="E8">_xlfn.MAP('3 - Carts &amp; Stands'!B8:B507, '3 - Carts &amp; Stands'!E8:E507, '3 - Carts &amp; Stands-WUO_ERR'!E8:E507, _xlfn.LAMBDA(_xlpm.part, _xlpm.val, _xlpm.error, IF(_xlpm.part = "", "", IF(LEN(_xlpm.error), _xlfn.SWITCH(IFERROR(_xlfn.TEXTBEFORE(_xlpm.error,":"), ""), "1", "Error", "2", "Disabled", "3", "Required", "4", "Warning", "Valid"), "Valid"))))</f>
        <v/>
      </c>
      <c r="F8" s="22">
        <f t="array" ref="F8">_xlfn.MAP('3 - Carts &amp; Stands'!B8:B507, '3 - Carts &amp; Stands'!F8:F507, '3 - Carts &amp; Stands-WUO_ERR'!F8:F507, _xlfn.LAMBDA(_xlpm.part, _xlpm.val, _xlpm.error, IF(_xlpm.part = "", "", IF(LEN(_xlpm.error), _xlfn.SWITCH(IFERROR(_xlfn.TEXTBEFORE(_xlpm.error,":"), ""), "1", "Error", "2", "Disabled", "3", "Required", "4", "Warning", "Valid"), "Valid"))))</f>
        <v/>
      </c>
      <c r="G8" s="22">
        <f t="array" ref="G8">_xlfn.MAP('3 - Carts &amp; Stands'!B8:B507, '3 - Carts &amp; Stands'!G8:G507, '3 - Carts &amp; Stands-WUO_ERR'!G8:G507, _xlfn.LAMBDA(_xlpm.part, _xlpm.val, _xlpm.error, IF(_xlpm.part = "", "", IF(LEN(_xlpm.error), _xlfn.SWITCH(IFERROR(_xlfn.TEXTBEFORE(_xlpm.error,":"), ""), "1", "Error", "2", "Disabled", "3", "Required", "4", "Warning", "Valid"), "Valid"))))</f>
        <v/>
      </c>
      <c r="H8" s="22">
        <f t="array" ref="H8">_xlfn.MAP('3 - Carts &amp; Stands'!B8:B507, '3 - Carts &amp; Stands'!H8:H507, '3 - Carts &amp; Stands-WUO_ERR'!H8:H507, _xlfn.LAMBDA(_xlpm.part, _xlpm.val, _xlpm.error, IF(_xlpm.part = "", "", IF(LEN(_xlpm.error), _xlfn.SWITCH(IFERROR(_xlfn.TEXTBEFORE(_xlpm.error,":"), ""), "1", "Error", "2", "Disabled", "3", "Required", "4", "Warning", "Valid"), "Valid"))))</f>
        <v/>
      </c>
      <c r="I8" s="22">
        <f t="array" ref="I8">_xlfn.MAP('3 - Carts &amp; Stands'!B8:B507, '3 - Carts &amp; Stands'!I8:I507, '3 - Carts &amp; Stands-WUO_ERR'!I8:I507, _xlfn.LAMBDA(_xlpm.part, _xlpm.val, _xlpm.error, IF(_xlpm.part = "", "", IF(LEN(_xlpm.error), _xlfn.SWITCH(IFERROR(_xlfn.TEXTBEFORE(_xlpm.error,":"), ""), "1", "Error", "2", "Disabled", "3", "Required", "4", "Warning", "Valid"), "Valid"))))</f>
        <v/>
      </c>
      <c r="J8" s="22">
        <f t="array" ref="J8">_xlfn.MAP('3 - Carts &amp; Stands'!B8:B507, '3 - Carts &amp; Stands'!J8:J507, '3 - Carts &amp; Stands-WUO_ERR'!J8:J507, _xlfn.LAMBDA(_xlpm.part, _xlpm.val, _xlpm.error, IF(_xlpm.part = "", "", IF(LEN(_xlpm.error), _xlfn.SWITCH(IFERROR(_xlfn.TEXTBEFORE(_xlpm.error,":"), ""), "1", "Error", "2", "Disabled", "3", "Required", "4", "Warning", "Valid"), "Valid"))))</f>
        <v/>
      </c>
      <c r="K8" s="22">
        <f t="array" ref="K8">_xlfn.MAP('3 - Carts &amp; Stands'!B8:B507, '3 - Carts &amp; Stands'!K8:K507, '3 - Carts &amp; Stands-WUO_ERR'!K8:K507, _xlfn.LAMBDA(_xlpm.part, _xlpm.val, _xlpm.error, IF(_xlpm.part = "", "", IF(LEN(_xlpm.error), _xlfn.SWITCH(IFERROR(_xlfn.TEXTBEFORE(_xlpm.error,":"), ""), "1", "Error", "2", "Disabled", "3", "Required", "4", "Warning", "Valid"), "Valid"))))</f>
        <v/>
      </c>
      <c r="L8" s="22">
        <f t="array" ref="L8">_xlfn.MAP('3 - Carts &amp; Stands'!B8:B507, '3 - Carts &amp; Stands'!L8:L507, '3 - Carts &amp; Stands-WUO_ERR'!L8:L507, _xlfn.LAMBDA(_xlpm.part, _xlpm.val, _xlpm.error, IF(_xlpm.part = "", "", IF(LEN(_xlpm.error), _xlfn.SWITCH(IFERROR(_xlfn.TEXTBEFORE(_xlpm.error,":"), ""), "1", "Error", "2", "Disabled", "3", "Required", "4", "Warning", "Valid"), "Valid"))))</f>
        <v/>
      </c>
      <c r="M8" s="22">
        <f t="array" ref="M8">_xlfn.MAP('3 - Carts &amp; Stands'!B8:B507, '3 - Carts &amp; Stands'!M8:M507, '3 - Carts &amp; Stands-WUO_ERR'!M8:M507, _xlfn.LAMBDA(_xlpm.part, _xlpm.val, _xlpm.error, IF(_xlpm.part = "", "", IF(LEN(_xlpm.error), _xlfn.SWITCH(IFERROR(_xlfn.TEXTBEFORE(_xlpm.error,":"), ""), "1", "Error", "2", "Disabled", "3", "Required", "4", "Warning", "Valid"), "Valid"))))</f>
        <v/>
      </c>
      <c r="N8" s="22">
        <f t="array" ref="N8">_xlfn.MAP('3 - Carts &amp; Stands'!B8:B507, '3 - Carts &amp; Stands'!N8:N507, '3 - Carts &amp; Stands-WUO_ERR'!N8:N507, _xlfn.LAMBDA(_xlpm.part, _xlpm.val, _xlpm.error, IF(_xlpm.part = "", "", IF(LEN(_xlpm.error), _xlfn.SWITCH(IFERROR(_xlfn.TEXTBEFORE(_xlpm.error,":"), ""), "1", "Error", "2", "Disabled", "3", "Required", "4", "Warning", "Valid"), "Valid"))))</f>
        <v/>
      </c>
      <c r="O8" s="22">
        <f t="array" ref="O8">_xlfn.MAP('3 - Carts &amp; Stands'!B8:B507, '3 - Carts &amp; Stands'!O8:O507, '3 - Carts &amp; Stands-WUO_ERR'!O8:O507, _xlfn.LAMBDA(_xlpm.part, _xlpm.val, _xlpm.error, IF(_xlpm.part = "", "", IF(LEN(_xlpm.error), _xlfn.SWITCH(IFERROR(_xlfn.TEXTBEFORE(_xlpm.error,":"), ""), "1", "Error", "2", "Disabled", "3", "Required", "4", "Warning", "Valid"), "Valid"))))</f>
        <v/>
      </c>
      <c r="P8" s="22">
        <f t="array" ref="P8">_xlfn.MAP('3 - Carts &amp; Stands'!B8:B507, '3 - Carts &amp; Stands'!P8:P507, '3 - Carts &amp; Stands-WUO_ERR'!P8:P507, _xlfn.LAMBDA(_xlpm.part, _xlpm.val, _xlpm.error, IF(_xlpm.part = "", "", IF(LEN(_xlpm.error), _xlfn.SWITCH(IFERROR(_xlfn.TEXTBEFORE(_xlpm.error,":"), ""), "1", "Error", "2", "Disabled", "3", "Required", "4", "Warning", "Valid"), "Valid"))))</f>
        <v/>
      </c>
      <c r="Q8" s="22">
        <f t="array" ref="Q8">_xlfn.MAP('3 - Carts &amp; Stands'!B8:B507, '3 - Carts &amp; Stands'!Q8:Q507, '3 - Carts &amp; Stands-WUO_ERR'!Q8:Q507, _xlfn.LAMBDA(_xlpm.part, _xlpm.val, _xlpm.error, IF(_xlpm.part = "", "", IF(LEN(_xlpm.error), _xlfn.SWITCH(IFERROR(_xlfn.TEXTBEFORE(_xlpm.error,":"), ""), "1", "Error", "2", "Disabled", "3", "Required", "4", "Warning", "Valid"), "Valid"))))</f>
        <v/>
      </c>
      <c r="R8" s="22">
        <f t="array" ref="R8">_xlfn.MAP('3 - Carts &amp; Stands'!B8:B507, '3 - Carts &amp; Stands'!R8:R507, '3 - Carts &amp; Stands-WUO_ERR'!R8:R507, _xlfn.LAMBDA(_xlpm.part, _xlpm.val, _xlpm.error, IF(_xlpm.part = "", "", IF(LEN(_xlpm.error), _xlfn.SWITCH(IFERROR(_xlfn.TEXTBEFORE(_xlpm.error,":"), ""), "1", "Error", "2", "Disabled", "3", "Required", "4", "Warning", "Valid"), "Valid"))))</f>
        <v/>
      </c>
      <c r="S8" s="22">
        <f t="array" ref="S8">_xlfn.MAP('3 - Carts &amp; Stands'!B8:B507, '3 - Carts &amp; Stands'!S8:S507, '3 - Carts &amp; Stands-WUO_ERR'!S8:S507, _xlfn.LAMBDA(_xlpm.part, _xlpm.val, _xlpm.error, IF(_xlpm.part = "", "", IF(LEN(_xlpm.error), _xlfn.SWITCH(IFERROR(_xlfn.TEXTBEFORE(_xlpm.error,":"), ""), "1", "Error", "2", "Disabled", "3", "Required", "4", "Warning", "Valid"), "Valid"))))</f>
        <v/>
      </c>
      <c r="T8" s="22">
        <f t="array" ref="T8">_xlfn.MAP('3 - Carts &amp; Stands'!B8:B507, '3 - Carts &amp; Stands'!T8:T507, '3 - Carts &amp; Stands-WUO_ERR'!T8:T507, _xlfn.LAMBDA(_xlpm.part, _xlpm.val, _xlpm.error, IF(_xlpm.part = "", "", IF(LEN(_xlpm.error), _xlfn.SWITCH(IFERROR(_xlfn.TEXTBEFORE(_xlpm.error,":"), ""), "1", "Error", "2", "Disabled", "3", "Required", "4", "Warning", "Valid"), "Valid"))))</f>
        <v/>
      </c>
      <c r="U8" s="22">
        <f t="array" ref="U8">_xlfn.MAP('3 - Carts &amp; Stands'!B8:B507, '3 - Carts &amp; Stands'!U8:U507, '3 - Carts &amp; Stands-WUO_ERR'!U8:U507, _xlfn.LAMBDA(_xlpm.part, _xlpm.val, _xlpm.error, IF(_xlpm.part = "", "", IF(LEN(_xlpm.error), _xlfn.SWITCH(IFERROR(_xlfn.TEXTBEFORE(_xlpm.error,":"), ""), "1", "Error", "2", "Disabled", "3", "Required", "4", "Warning", "Valid"), "Valid"))))</f>
        <v/>
      </c>
      <c r="V8" s="22">
        <f t="array" ref="V8">_xlfn.MAP('3 - Carts &amp; Stands'!B8:B507, '3 - Carts &amp; Stands'!V8:V507, '3 - Carts &amp; Stands-WUO_ERR'!V8:V507, _xlfn.LAMBDA(_xlpm.part, _xlpm.val, _xlpm.error, IF(_xlpm.part = "", "", IF(LEN(_xlpm.error), _xlfn.SWITCH(IFERROR(_xlfn.TEXTBEFORE(_xlpm.error,":"), ""), "1", "Error", "2", "Disabled", "3", "Required", "4", "Warning", "Valid"), "Valid"))))</f>
        <v/>
      </c>
      <c r="W8" s="22">
        <f t="array" ref="W8">_xlfn.MAP('3 - Carts &amp; Stands'!B8:B507, '3 - Carts &amp; Stands'!W8:W507, '3 - Carts &amp; Stands-WUO_ERR'!W8:W507, _xlfn.LAMBDA(_xlpm.part, _xlpm.val, _xlpm.error, IF(_xlpm.part = "", "", IF(LEN(_xlpm.error), _xlfn.SWITCH(IFERROR(_xlfn.TEXTBEFORE(_xlpm.error,":"), ""), "1", "Error", "2", "Disabled", "3", "Required", "4", "Warning", "Valid"), "Valid"))))</f>
        <v/>
      </c>
      <c r="X8" s="22">
        <f t="array" ref="X8">_xlfn.MAP('3 - Carts &amp; Stands'!B8:B507, '3 - Carts &amp; Stands'!X8:X507, '3 - Carts &amp; Stands-WUO_ERR'!X8:X507, _xlfn.LAMBDA(_xlpm.part, _xlpm.val, _xlpm.error, IF(_xlpm.part = "", "", IF(LEN(_xlpm.error), _xlfn.SWITCH(IFERROR(_xlfn.TEXTBEFORE(_xlpm.error,":"), ""), "1", "Error", "2", "Disabled", "3", "Required", "4", "Warning", "Valid"), "Valid"))))</f>
        <v/>
      </c>
      <c r="Y8" s="22">
        <f t="array" ref="Y8">_xlfn.MAP('3 - Carts &amp; Stands'!B8:B507, '3 - Carts &amp; Stands'!Y8:Y507, '3 - Carts &amp; Stands-WUO_ERR'!Y8:Y507, _xlfn.LAMBDA(_xlpm.part, _xlpm.val, _xlpm.error, IF(_xlpm.part = "", "", IF(LEN(_xlpm.error), _xlfn.SWITCH(IFERROR(_xlfn.TEXTBEFORE(_xlpm.error,":"), ""), "1", "Error", "2", "Disabled", "3", "Required", "4", "Warning", "Valid"), "Valid"))))</f>
        <v/>
      </c>
      <c r="Z8" s="22">
        <f t="array" ref="Z8">_xlfn.MAP('3 - Carts &amp; Stands'!B8:B507, '3 - Carts &amp; Stands'!Z8:Z507, '3 - Carts &amp; Stands-WUO_ERR'!Z8:Z507, _xlfn.LAMBDA(_xlpm.part, _xlpm.val, _xlpm.error, IF(_xlpm.part = "", "", IF(LEN(_xlpm.error), _xlfn.SWITCH(IFERROR(_xlfn.TEXTBEFORE(_xlpm.error,":"), ""), "1", "Error", "2", "Disabled", "3", "Required", "4", "Warning", "Valid"), "Valid"))))</f>
        <v/>
      </c>
      <c r="AA8" s="22">
        <f t="array" ref="AA8">_xlfn.MAP('3 - Carts &amp; Stands'!B8:B507, '3 - Carts &amp; Stands'!AA8:AA507, '3 - Carts &amp; Stands-WUO_ERR'!AA8:AA507, _xlfn.LAMBDA(_xlpm.part, _xlpm.val, _xlpm.error, IF(_xlpm.part = "", "", IF(LEN(_xlpm.error), _xlfn.SWITCH(IFERROR(_xlfn.TEXTBEFORE(_xlpm.error,":"), ""), "1", "Error", "2", "Disabled", "3", "Required", "4", "Warning", "Valid"), "Valid"))))</f>
        <v/>
      </c>
      <c r="AB8" s="22">
        <f t="array" ref="AB8">_xlfn.MAP('3 - Carts &amp; Stands'!B8:B507, '3 - Carts &amp; Stands'!AB8:AB507, '3 - Carts &amp; Stands-WUO_ERR'!AB8:AB507, _xlfn.LAMBDA(_xlpm.part, _xlpm.val, _xlpm.error, IF(_xlpm.part = "", "", IF(LEN(_xlpm.error), _xlfn.SWITCH(IFERROR(_xlfn.TEXTBEFORE(_xlpm.error,":"), ""), "1", "Error", "2", "Disabled", "3", "Required", "4", "Warning", "Valid"), "Valid"))))</f>
        <v/>
      </c>
      <c r="AC8" s="22">
        <f t="array" ref="AC8">_xlfn.MAP('3 - Carts &amp; Stands'!B8:B507, '3 - Carts &amp; Stands'!AC8:AC507, '3 - Carts &amp; Stands-WUO_ERR'!AC8:AC507, _xlfn.LAMBDA(_xlpm.part, _xlpm.val, _xlpm.error, IF(_xlpm.part = "", "", IF(LEN(_xlpm.error), _xlfn.SWITCH(IFERROR(_xlfn.TEXTBEFORE(_xlpm.error,":"), ""), "1", "Error", "2", "Disabled", "3", "Required", "4", "Warning", "Valid"), "Valid"))))</f>
        <v/>
      </c>
      <c r="AD8" s="22">
        <f t="array" ref="AD8">_xlfn.MAP('3 - Carts &amp; Stands'!B8:B507, '3 - Carts &amp; Stands'!AD8:AD507, '3 - Carts &amp; Stands-WUO_ERR'!AD8:AD507, _xlfn.LAMBDA(_xlpm.part, _xlpm.val, _xlpm.error, IF(_xlpm.part = "", "", IF(LEN(_xlpm.error), _xlfn.SWITCH(IFERROR(_xlfn.TEXTBEFORE(_xlpm.error,":"), ""), "1", "Error", "2", "Disabled", "3", "Required", "4", "Warning", "Valid"), "Valid"))))</f>
        <v/>
      </c>
      <c r="AE8" s="22">
        <f t="array" ref="AE8">_xlfn.MAP('3 - Carts &amp; Stands'!B8:B507, '3 - Carts &amp; Stands'!AE8:AE507, '3 - Carts &amp; Stands-WUO_ERR'!AE8:AE507, _xlfn.LAMBDA(_xlpm.part, _xlpm.val, _xlpm.error, IF(_xlpm.part = "", "", IF(LEN(_xlpm.error), _xlfn.SWITCH(IFERROR(_xlfn.TEXTBEFORE(_xlpm.error,":"), ""), "1", "Error", "2", "Disabled", "3", "Required", "4", "Warning", "Valid"), "Valid"))))</f>
        <v/>
      </c>
      <c r="AF8" s="22">
        <f t="array" ref="AF8">_xlfn.MAP('3 - Carts &amp; Stands'!B8:B507, '3 - Carts &amp; Stands'!AF8:AF507, '3 - Carts &amp; Stands-WUO_ERR'!AF8:AF507, _xlfn.LAMBDA(_xlpm.part, _xlpm.val, _xlpm.error, IF(_xlpm.part = "", "", IF(LEN(_xlpm.error), _xlfn.SWITCH(IFERROR(_xlfn.TEXTBEFORE(_xlpm.error,":"), ""), "1", "Error", "2", "Disabled", "3", "Required", "4", "Warning", "Valid"), "Valid"))))</f>
        <v/>
      </c>
      <c r="AG8" s="22">
        <f t="array" ref="AG8">_xlfn.MAP('3 - Carts &amp; Stands'!B8:B507, '3 - Carts &amp; Stands'!AG8:AG507, '3 - Carts &amp; Stands-WUO_ERR'!AG8:AG507, _xlfn.LAMBDA(_xlpm.part, _xlpm.val, _xlpm.error, IF(_xlpm.part = "", "", IF(LEN(_xlpm.error), _xlfn.SWITCH(IFERROR(_xlfn.TEXTBEFORE(_xlpm.error,":"), ""), "1", "Error", "2", "Disabled", "3", "Required", "4", "Warning", "Valid"), "Valid"))))</f>
        <v/>
      </c>
      <c r="AH8" s="22">
        <f t="array" ref="AH8">_xlfn.MAP('3 - Carts &amp; Stands'!B8:B507, '3 - Carts &amp; Stands'!AH8:AH507, '3 - Carts &amp; Stands-WUO_ERR'!AH8:AH507, _xlfn.LAMBDA(_xlpm.part, _xlpm.val, _xlpm.error, IF(_xlpm.part = "", "", IF(LEN(_xlpm.error), _xlfn.SWITCH(IFERROR(_xlfn.TEXTBEFORE(_xlpm.error,":"), ""), "1", "Error", "2", "Disabled", "3", "Required", "4", "Warning", "Valid"), "Valid"))))</f>
        <v/>
      </c>
      <c r="AI8" s="22">
        <f t="array" ref="AI8">_xlfn.MAP('3 - Carts &amp; Stands'!B8:B507, '3 - Carts &amp; Stands'!AI8:AI507, '3 - Carts &amp; Stands-WUO_ERR'!AI8:AI507, _xlfn.LAMBDA(_xlpm.part, _xlpm.val, _xlpm.error, IF(_xlpm.part = "", "", IF(LEN(_xlpm.error), _xlfn.SWITCH(IFERROR(_xlfn.TEXTBEFORE(_xlpm.error,":"), ""), "1", "Error", "2", "Disabled", "3", "Required", "4", "Warning", "Valid"), "Valid"))))</f>
        <v/>
      </c>
      <c r="AJ8" s="22">
        <f t="array" ref="AJ8">_xlfn.MAP('3 - Carts &amp; Stands'!B8:B507, '3 - Carts &amp; Stands'!AJ8:AJ507, '3 - Carts &amp; Stands-WUO_ERR'!AJ8:AJ507, _xlfn.LAMBDA(_xlpm.part, _xlpm.val, _xlpm.error, IF(_xlpm.part = "", "", IF(LEN(_xlpm.error), _xlfn.SWITCH(IFERROR(_xlfn.TEXTBEFORE(_xlpm.error,":"), ""), "1", "Error", "2", "Disabled", "3", "Required", "4", "Warning", "Valid"), "Valid"))))</f>
        <v/>
      </c>
      <c r="AK8" s="22">
        <f t="array" ref="AK8">_xlfn.MAP('3 - Carts &amp; Stands'!B8:B507, '3 - Carts &amp; Stands'!AK8:AK507, '3 - Carts &amp; Stands-WUO_ERR'!AK8:AK507, _xlfn.LAMBDA(_xlpm.part, _xlpm.val, _xlpm.error, IF(_xlpm.part = "", "", IF(LEN(_xlpm.error), _xlfn.SWITCH(IFERROR(_xlfn.TEXTBEFORE(_xlpm.error,":"), ""), "1", "Error", "2", "Disabled", "3", "Required", "4", "Warning", "Valid"), "Valid"))))</f>
        <v/>
      </c>
      <c r="AL8" s="22">
        <f t="array" ref="AL8">_xlfn.MAP('3 - Carts &amp; Stands'!B8:B507, '3 - Carts &amp; Stands'!AL8:AL507, '3 - Carts &amp; Stands-WUO_ERR'!AL8:AL507, _xlfn.LAMBDA(_xlpm.part, _xlpm.val, _xlpm.error, IF(_xlpm.part = "", "", IF(LEN(_xlpm.error), _xlfn.SWITCH(IFERROR(_xlfn.TEXTBEFORE(_xlpm.error,":"), ""), "1", "Error", "2", "Disabled", "3", "Required", "4", "Warning", "Valid"), "Valid"))))</f>
        <v/>
      </c>
      <c r="AM8" s="22">
        <f t="array" ref="AM8">_xlfn.MAP('3 - Carts &amp; Stands'!B8:B507, '3 - Carts &amp; Stands'!AM8:AM507, '3 - Carts &amp; Stands-WUO_ERR'!AM8:AM507, _xlfn.LAMBDA(_xlpm.part, _xlpm.val, _xlpm.error, IF(_xlpm.part = "", "", IF(LEN(_xlpm.error), _xlfn.SWITCH(IFERROR(_xlfn.TEXTBEFORE(_xlpm.error,":"), ""), "1", "Error", "2", "Disabled", "3", "Required", "4", "Warning", "Valid"), "Valid"))))</f>
        <v/>
      </c>
      <c r="AN8" s="22">
        <f t="array" ref="AN8">_xlfn.MAP('3 - Carts &amp; Stands'!B8:B507, '3 - Carts &amp; Stands'!AN8:AN507, '3 - Carts &amp; Stands-WUO_ERR'!AN8:AN507, _xlfn.LAMBDA(_xlpm.part, _xlpm.val, _xlpm.error, IF(_xlpm.part = "", "", IF(LEN(_xlpm.error), _xlfn.SWITCH(IFERROR(_xlfn.TEXTBEFORE(_xlpm.error,":"), ""), "1", "Error", "2", "Disabled", "3", "Required", "4", "Warning", "Valid"), "Valid"))))</f>
        <v/>
      </c>
      <c r="AO8" s="22">
        <f t="array" ref="AO8">_xlfn.MAP('3 - Carts &amp; Stands'!B8:B507, '3 - Carts &amp; Stands'!AO8:AO507, '3 - Carts &amp; Stands-WUO_ERR'!AO8:AO507, _xlfn.LAMBDA(_xlpm.part, _xlpm.val, _xlpm.error, IF(_xlpm.part = "", "", IF(LEN(_xlpm.error), _xlfn.SWITCH(IFERROR(_xlfn.TEXTBEFORE(_xlpm.error,":"), ""), "1", "Error", "2", "Disabled", "3", "Required", "4", "Warning", "Valid"), "Valid"))))</f>
        <v/>
      </c>
      <c r="AP8" s="22">
        <f t="array" ref="AP8">_xlfn.MAP('3 - Carts &amp; Stands'!B8:B507, '3 - Carts &amp; Stands'!AP8:AP507, '3 - Carts &amp; Stands-WUO_ERR'!AP8:AP507, _xlfn.LAMBDA(_xlpm.part, _xlpm.val, _xlpm.error, IF(_xlpm.part = "", "", IF(LEN(_xlpm.error), _xlfn.SWITCH(IFERROR(_xlfn.TEXTBEFORE(_xlpm.error,":"), ""), "1", "Error", "2", "Disabled", "3", "Required", "4", "Warning", "Valid"), "Valid"))))</f>
        <v/>
      </c>
      <c r="AQ8" s="22">
        <f t="array" ref="AQ8">_xlfn.MAP('3 - Carts &amp; Stands'!B8:B507, '3 - Carts &amp; Stands'!AQ8:AQ507, '3 - Carts &amp; Stands-WUO_ERR'!AQ8:AQ507, _xlfn.LAMBDA(_xlpm.part, _xlpm.val, _xlpm.error, IF(_xlpm.part = "", "", IF(LEN(_xlpm.error), _xlfn.SWITCH(IFERROR(_xlfn.TEXTBEFORE(_xlpm.error,":"), ""), "1", "Error", "2", "Disabled", "3", "Required", "4", "Warning", "Valid"), "Valid"))))</f>
        <v/>
      </c>
      <c r="AR8" s="22">
        <f t="array" ref="AR8">_xlfn.MAP('3 - Carts &amp; Stands'!B8:B507, '3 - Carts &amp; Stands'!AR8:AR507, '3 - Carts &amp; Stands-WUO_ERR'!AR8:AR507, _xlfn.LAMBDA(_xlpm.part, _xlpm.val, _xlpm.error, IF(_xlpm.part = "", "", IF(LEN(_xlpm.error), _xlfn.SWITCH(IFERROR(_xlfn.TEXTBEFORE(_xlpm.error,":"), ""), "1", "Error", "2", "Disabled", "3", "Required", "4", "Warning", "Valid"), "Valid"))))</f>
        <v/>
      </c>
      <c r="AS8" s="22">
        <f t="array" ref="AS8">_xlfn.MAP('3 - Carts &amp; Stands'!B8:B507, '3 - Carts &amp; Stands'!AS8:AS507, '3 - Carts &amp; Stands-WUO_ERR'!AS8:AS507, _xlfn.LAMBDA(_xlpm.part, _xlpm.val, _xlpm.error, IF(_xlpm.part = "", "", IF(LEN(_xlpm.error), _xlfn.SWITCH(IFERROR(_xlfn.TEXTBEFORE(_xlpm.error,":"), ""), "1", "Error", "2", "Disabled", "3", "Required", "4", "Warning", "Valid"), "Valid"))))</f>
        <v/>
      </c>
      <c r="AT8" s="22">
        <f t="array" ref="AT8">_xlfn.MAP('3 - Carts &amp; Stands'!B8:B507, '3 - Carts &amp; Stands'!AT8:AT507, '3 - Carts &amp; Stands-WUO_ERR'!AT8:AT507, _xlfn.LAMBDA(_xlpm.part, _xlpm.val, _xlpm.error, IF(_xlpm.part = "", "", IF(LEN(_xlpm.error), _xlfn.SWITCH(IFERROR(_xlfn.TEXTBEFORE(_xlpm.error,":"), ""), "1", "Error", "2", "Disabled", "3", "Required", "4", "Warning", "Valid"), "Valid"))))</f>
        <v/>
      </c>
      <c r="AU8" s="22">
        <f t="array" ref="AU8">_xlfn.MAP('3 - Carts &amp; Stands'!B8:B507, '3 - Carts &amp; Stands'!AU8:AU507, '3 - Carts &amp; Stands-WUO_ERR'!AU8:AU507, _xlfn.LAMBDA(_xlpm.part, _xlpm.val, _xlpm.error, IF(_xlpm.part = "", "", IF(LEN(_xlpm.error), _xlfn.SWITCH(IFERROR(_xlfn.TEXTBEFORE(_xlpm.error,":"), ""), "1", "Error", "2", "Disabled", "3", "Required", "4", "Warning", "Valid"), "Valid"))))</f>
        <v/>
      </c>
      <c r="AV8" s="22">
        <f t="array" ref="AV8">_xlfn.MAP('3 - Carts &amp; Stands'!B8:B507, '3 - Carts &amp; Stands'!AV8:AV507, '3 - Carts &amp; Stands-WUO_ERR'!AV8:AV507, _xlfn.LAMBDA(_xlpm.part, _xlpm.val, _xlpm.error, IF(_xlpm.part = "", "", IF(LEN(_xlpm.error), _xlfn.SWITCH(IFERROR(_xlfn.TEXTBEFORE(_xlpm.error,":"), ""), "1", "Error", "2", "Disabled", "3", "Required", "4", "Warning", "Valid"), "Valid"))))</f>
        <v/>
      </c>
      <c r="AW8" s="22">
        <f t="array" ref="AW8">_xlfn.MAP('3 - Carts &amp; Stands'!B8:B507, '3 - Carts &amp; Stands'!AW8:AW507, '3 - Carts &amp; Stands-WUO_ERR'!AW8:AW507, _xlfn.LAMBDA(_xlpm.part, _xlpm.val, _xlpm.error, IF(_xlpm.part = "", "", IF(LEN(_xlpm.error), _xlfn.SWITCH(IFERROR(_xlfn.TEXTBEFORE(_xlpm.error,":"), ""), "1", "Error", "2", "Disabled", "3", "Required", "4", "Warning", "Valid"), "Valid"))))</f>
        <v/>
      </c>
      <c r="AX8" s="22">
        <f t="array" ref="AX8">_xlfn.MAP('3 - Carts &amp; Stands'!B8:B507, '3 - Carts &amp; Stands'!AX8:AX507, '3 - Carts &amp; Stands-WUO_ERR'!AX8:AX507, _xlfn.LAMBDA(_xlpm.part, _xlpm.val, _xlpm.error, IF(_xlpm.part = "", "", IF(LEN(_xlpm.error), _xlfn.SWITCH(IFERROR(_xlfn.TEXTBEFORE(_xlpm.error,":"), ""), "1", "Error", "2", "Disabled", "3", "Required", "4", "Warning", "Valid"), "Valid"))))</f>
        <v/>
      </c>
      <c r="AY8" s="22">
        <f t="array" ref="AY8">_xlfn.MAP('3 - Carts &amp; Stands'!B8:B507, '3 - Carts &amp; Stands'!AY8:AY507, '3 - Carts &amp; Stands-WUO_ERR'!AY8:AY507, _xlfn.LAMBDA(_xlpm.part, _xlpm.val, _xlpm.error, IF(_xlpm.part = "", "", IF(LEN(_xlpm.error), _xlfn.SWITCH(IFERROR(_xlfn.TEXTBEFORE(_xlpm.error,":"), ""), "1", "Error", "2", "Disabled", "3", "Required", "4", "Warning", "Valid"), "Valid"))))</f>
        <v/>
      </c>
      <c r="AZ8" s="22">
        <f t="array" ref="AZ8">_xlfn.MAP('3 - Carts &amp; Stands'!B8:B507, '3 - Carts &amp; Stands'!AZ8:AZ507, '3 - Carts &amp; Stands-WUO_ERR'!AZ8:AZ507, _xlfn.LAMBDA(_xlpm.part, _xlpm.val, _xlpm.error, IF(_xlpm.part = "", "", IF(LEN(_xlpm.error), _xlfn.SWITCH(IFERROR(_xlfn.TEXTBEFORE(_xlpm.error,":"), ""), "1", "Error", "2", "Disabled", "3", "Required", "4", "Warning", "Valid"), "Valid"))))</f>
        <v/>
      </c>
      <c r="BA8" s="22">
        <f t="array" ref="BA8">_xlfn.MAP('3 - Carts &amp; Stands'!B8:B507, '3 - Carts &amp; Stands'!BA8:BA507, '3 - Carts &amp; Stands-WUO_ERR'!BA8:BA507, _xlfn.LAMBDA(_xlpm.part, _xlpm.val, _xlpm.error, IF(_xlpm.part = "", "", IF(LEN(_xlpm.error), _xlfn.SWITCH(IFERROR(_xlfn.TEXTBEFORE(_xlpm.error,":"), ""), "1", "Error", "2", "Disabled", "3", "Required", "4", "Warning", "Valid"), "Valid"))))</f>
        <v/>
      </c>
      <c r="BB8" s="22">
        <f t="array" ref="BB8">_xlfn.MAP('3 - Carts &amp; Stands'!B8:B507, '3 - Carts &amp; Stands'!BB8:BB507, '3 - Carts &amp; Stands-WUO_ERR'!BB8:BB507, _xlfn.LAMBDA(_xlpm.part, _xlpm.val, _xlpm.error, IF(_xlpm.part = "", "", IF(LEN(_xlpm.error), _xlfn.SWITCH(IFERROR(_xlfn.TEXTBEFORE(_xlpm.error,":"), ""), "1", "Error", "2", "Disabled", "3", "Required", "4", "Warning", "Valid"), "Valid"))))</f>
        <v/>
      </c>
      <c r="BC8" s="22">
        <f t="array" ref="BC8">_xlfn.MAP('3 - Carts &amp; Stands'!B8:B507, '3 - Carts &amp; Stands'!BC8:BC507, '3 - Carts &amp; Stands-WUO_ERR'!BC8:BC507, _xlfn.LAMBDA(_xlpm.part, _xlpm.val, _xlpm.error, IF(_xlpm.part = "", "", IF(LEN(_xlpm.error), _xlfn.SWITCH(IFERROR(_xlfn.TEXTBEFORE(_xlpm.error,":"), ""), "1", "Error", "2", "Disabled", "3", "Required", "4", "Warning", "Valid"), "Valid"))))</f>
        <v/>
      </c>
      <c r="BD8" s="22">
        <f t="array" ref="BD8">_xlfn.MAP('3 - Carts &amp; Stands'!B8:B507, '3 - Carts &amp; Stands'!BD8:BD507, '3 - Carts &amp; Stands-WUO_ERR'!BD8:BD507, _xlfn.LAMBDA(_xlpm.part, _xlpm.val, _xlpm.error, IF(_xlpm.part = "", "", IF(LEN(_xlpm.error), _xlfn.SWITCH(IFERROR(_xlfn.TEXTBEFORE(_xlpm.error,":"), ""), "1", "Error", "2", "Disabled", "3", "Required", "4", "Warning", "Valid"), "Valid"))))</f>
        <v/>
      </c>
      <c r="BE8" s="22">
        <f t="array" ref="BE8">_xlfn.MAP('3 - Carts &amp; Stands'!B8:B507, '3 - Carts &amp; Stands'!BE8:BE507, '3 - Carts &amp; Stands-WUO_ERR'!BE8:BE507, _xlfn.LAMBDA(_xlpm.part, _xlpm.val, _xlpm.error, IF(_xlpm.part = "", "", IF(LEN(_xlpm.error), _xlfn.SWITCH(IFERROR(_xlfn.TEXTBEFORE(_xlpm.error,":"), ""), "1", "Error", "2", "Disabled", "3", "Required", "4", "Warning", "Valid"), "Valid"))))</f>
        <v/>
      </c>
      <c r="BF8" s="22">
        <f t="array" ref="BF8">_xlfn.MAP('3 - Carts &amp; Stands'!B8:B507, '3 - Carts &amp; Stands'!BF8:BF507, '3 - Carts &amp; Stands-WUO_ERR'!BF8:BF507, _xlfn.LAMBDA(_xlpm.part, _xlpm.val, _xlpm.error, IF(_xlpm.part = "", "", IF(LEN(_xlpm.error), _xlfn.SWITCH(IFERROR(_xlfn.TEXTBEFORE(_xlpm.error,":"), ""), "1", "Error", "2", "Disabled", "3", "Required", "4", "Warning", "Valid"), "Valid"))))</f>
        <v/>
      </c>
      <c r="BG8" s="22">
        <f t="array" ref="BG8">_xlfn.MAP('3 - Carts &amp; Stands'!B8:B507, '3 - Carts &amp; Stands'!BG8:BG507, '3 - Carts &amp; Stands-WUO_ERR'!BG8:BG507, _xlfn.LAMBDA(_xlpm.part, _xlpm.val, _xlpm.error, IF(_xlpm.part = "", "", IF(LEN(_xlpm.error), _xlfn.SWITCH(IFERROR(_xlfn.TEXTBEFORE(_xlpm.error,":"), ""), "1", "Error", "2", "Disabled", "3", "Required", "4", "Warning", "Valid"), "Valid"))))</f>
        <v/>
      </c>
      <c r="BH8" s="22">
        <f t="array" ref="BH8">_xlfn.MAP('3 - Carts &amp; Stands'!B8:B507, '3 - Carts &amp; Stands'!BH8:BH507, '3 - Carts &amp; Stands-WUO_ERR'!BH8:BH507, _xlfn.LAMBDA(_xlpm.part, _xlpm.val, _xlpm.error, IF(_xlpm.part = "", "", IF(LEN(_xlpm.error), _xlfn.SWITCH(IFERROR(_xlfn.TEXTBEFORE(_xlpm.error,":"), ""), "1", "Error", "2", "Disabled", "3", "Required", "4", "Warning", "Valid"), "Valid"))))</f>
        <v/>
      </c>
      <c r="BI8" s="22">
        <f t="array" ref="BI8">_xlfn.MAP('3 - Carts &amp; Stands'!B8:B507, '3 - Carts &amp; Stands'!BI8:BI507, '3 - Carts &amp; Stands-WUO_ERR'!BI8:BI507, _xlfn.LAMBDA(_xlpm.part, _xlpm.val, _xlpm.error, IF(_xlpm.part = "", "", IF(LEN(_xlpm.error), _xlfn.SWITCH(IFERROR(_xlfn.TEXTBEFORE(_xlpm.error,":"), ""), "1", "Error", "2", "Disabled", "3", "Required", "4", "Warning", "Valid"), "Valid"))))</f>
        <v/>
      </c>
      <c r="BJ8" s="22">
        <f t="array" ref="BJ8">_xlfn.MAP('3 - Carts &amp; Stands'!B8:B507, '3 - Carts &amp; Stands'!BJ8:BJ507, '3 - Carts &amp; Stands-WUO_ERR'!BJ8:BJ507, _xlfn.LAMBDA(_xlpm.part, _xlpm.val, _xlpm.error, IF(_xlpm.part = "", "", IF(LEN(_xlpm.error), _xlfn.SWITCH(IFERROR(_xlfn.TEXTBEFORE(_xlpm.error,":"), ""), "1", "Error", "2", "Disabled", "3", "Required", "4", "Warning", "Valid"), "Valid"))))</f>
        <v/>
      </c>
      <c r="BK8" s="22">
        <f t="array" ref="BK8">_xlfn.MAP('3 - Carts &amp; Stands'!B8:B507, '3 - Carts &amp; Stands'!BK8:BK507, '3 - Carts &amp; Stands-WUO_ERR'!BK8:BK507, _xlfn.LAMBDA(_xlpm.part, _xlpm.val, _xlpm.error, IF(_xlpm.part = "", "", IF(LEN(_xlpm.error), _xlfn.SWITCH(IFERROR(_xlfn.TEXTBEFORE(_xlpm.error,":"), ""), "1", "Error", "2", "Disabled", "3", "Required", "4", "Warning", "Valid"), "Valid"))))</f>
        <v/>
      </c>
      <c r="BL8" s="22">
        <f t="array" ref="BL8">_xlfn.MAP('3 - Carts &amp; Stands'!B8:B507, '3 - Carts &amp; Stands'!BL8:BL507, '3 - Carts &amp; Stands-WUO_ERR'!BL8:BL507, _xlfn.LAMBDA(_xlpm.part, _xlpm.val, _xlpm.error, IF(_xlpm.part = "", "", IF(LEN(_xlpm.error), _xlfn.SWITCH(IFERROR(_xlfn.TEXTBEFORE(_xlpm.error,":"), ""), "1", "Error", "2", "Disabled", "3", "Required", "4", "Warning", "Valid"), "Valid"))))</f>
        <v/>
      </c>
      <c r="BM8" s="22">
        <f t="array" ref="BM8">_xlfn.MAP('3 - Carts &amp; Stands'!B8:B507, '3 - Carts &amp; Stands'!BM8:BM507, '3 - Carts &amp; Stands-WUO_ERR'!BM8:BM507, _xlfn.LAMBDA(_xlpm.part, _xlpm.val, _xlpm.error, IF(_xlpm.part = "", "", IF(LEN(_xlpm.error), _xlfn.SWITCH(IFERROR(_xlfn.TEXTBEFORE(_xlpm.error,":"), ""), "1", "Error", "2", "Disabled", "3", "Required", "4", "Warning", "Valid"), "Valid"))))</f>
        <v/>
      </c>
      <c r="BN8" s="22">
        <f t="array" ref="BN8">_xlfn.MAP('3 - Carts &amp; Stands'!B8:B507, '3 - Carts &amp; Stands'!BN8:BN507, '3 - Carts &amp; Stands-WUO_ERR'!BN8:BN507, _xlfn.LAMBDA(_xlpm.part, _xlpm.val, _xlpm.error, IF(_xlpm.part = "", "", IF(LEN(_xlpm.error), _xlfn.SWITCH(IFERROR(_xlfn.TEXTBEFORE(_xlpm.error,":"), ""), "1", "Error", "2", "Disabled", "3", "Required", "4", "Warning", "Valid"), "Valid"))))</f>
        <v/>
      </c>
      <c r="BO8" s="22">
        <f t="array" ref="BO8">_xlfn.MAP('3 - Carts &amp; Stands'!B8:B507, '3 - Carts &amp; Stands'!BO8:BO507, '3 - Carts &amp; Stands-WUO_ERR'!BO8:BO507, _xlfn.LAMBDA(_xlpm.part, _xlpm.val, _xlpm.error, IF(_xlpm.part = "", "", IF(LEN(_xlpm.error), _xlfn.SWITCH(IFERROR(_xlfn.TEXTBEFORE(_xlpm.error,":"), ""), "1", "Error", "2", "Disabled", "3", "Required", "4", "Warning", "Valid"), "Valid"))))</f>
        <v/>
      </c>
      <c r="BP8" s="22">
        <f t="array" ref="BP8">_xlfn.MAP('3 - Carts &amp; Stands'!B8:B507, '3 - Carts &amp; Stands'!BP8:BP507, '3 - Carts &amp; Stands-WUO_ERR'!BP8:BP507, _xlfn.LAMBDA(_xlpm.part, _xlpm.val, _xlpm.error, IF(_xlpm.part = "", "", IF(LEN(_xlpm.error), _xlfn.SWITCH(IFERROR(_xlfn.TEXTBEFORE(_xlpm.error,":"), ""), "1", "Error", "2", "Disabled", "3", "Required", "4", "Warning", "Valid"), "Valid"))))</f>
        <v/>
      </c>
      <c r="BQ8" s="22">
        <f t="array" ref="BQ8">_xlfn.MAP('3 - Carts &amp; Stands'!B8:B507, '3 - Carts &amp; Stands'!BQ8:BQ507, '3 - Carts &amp; Stands-WUO_ERR'!BQ8:BQ507, _xlfn.LAMBDA(_xlpm.part, _xlpm.val, _xlpm.error, IF(_xlpm.part = "", "", IF(LEN(_xlpm.error), _xlfn.SWITCH(IFERROR(_xlfn.TEXTBEFORE(_xlpm.error,":"), ""), "1", "Error", "2", "Disabled", "3", "Required", "4", "Warning", "Valid"), "Valid"))))</f>
        <v/>
      </c>
      <c r="BR8" s="22">
        <f t="array" ref="BR8">_xlfn.MAP('3 - Carts &amp; Stands'!B8:B507, '3 - Carts &amp; Stands'!BR8:BR507, '3 - Carts &amp; Stands-WUO_ERR'!BR8:BR507, _xlfn.LAMBDA(_xlpm.part, _xlpm.val, _xlpm.error, IF(_xlpm.part = "", "", IF(LEN(_xlpm.error), _xlfn.SWITCH(IFERROR(_xlfn.TEXTBEFORE(_xlpm.error,":"), ""), "1", "Error", "2", "Disabled", "3", "Required", "4", "Warning", "Valid"), "Valid"))))</f>
        <v/>
      </c>
      <c r="BS8" s="22">
        <f t="array" ref="BS8">_xlfn.MAP('3 - Carts &amp; Stands'!B8:B507, '3 - Carts &amp; Stands'!BS8:BS507, '3 - Carts &amp; Stands-WUO_ERR'!BS8:BS507, _xlfn.LAMBDA(_xlpm.part, _xlpm.val, _xlpm.error, IF(_xlpm.part = "", "", IF(LEN(_xlpm.error), _xlfn.SWITCH(IFERROR(_xlfn.TEXTBEFORE(_xlpm.error,":"), ""), "1", "Error", "2", "Disabled", "3", "Required", "4", "Warning", "Valid"), "Valid"))))</f>
        <v/>
      </c>
      <c r="BT8" s="22">
        <f t="array" ref="BT8">_xlfn.MAP('3 - Carts &amp; Stands'!B8:B507, '3 - Carts &amp; Stands'!BT8:BT507, '3 - Carts &amp; Stands-WUO_ERR'!BT8:BT507, _xlfn.LAMBDA(_xlpm.part, _xlpm.val, _xlpm.error, IF(_xlpm.part = "", "", IF(LEN(_xlpm.error), _xlfn.SWITCH(IFERROR(_xlfn.TEXTBEFORE(_xlpm.error,":"), ""), "1", "Error", "2", "Disabled", "3", "Required", "4", "Warning", "Valid"), "Valid"))))</f>
        <v/>
      </c>
      <c r="BU8" s="22">
        <f t="array" ref="BU8">_xlfn.MAP('3 - Carts &amp; Stands'!B8:B507, '3 - Carts &amp; Stands'!BU8:BU507, '3 - Carts &amp; Stands-WUO_ERR'!BU8:BU507, _xlfn.LAMBDA(_xlpm.part, _xlpm.val, _xlpm.error, IF(_xlpm.part = "", "", IF(LEN(_xlpm.error), _xlfn.SWITCH(IFERROR(_xlfn.TEXTBEFORE(_xlpm.error,":"), ""), "1", "Error", "2", "Disabled", "3", "Required", "4", "Warning", "Valid"), "Valid"))))</f>
        <v/>
      </c>
      <c r="BV8" s="22">
        <f t="array" ref="BV8">_xlfn.MAP('3 - Carts &amp; Stands'!B8:B507, '3 - Carts &amp; Stands'!BV8:BV507, '3 - Carts &amp; Stands-WUO_ERR'!BV8:BV507, _xlfn.LAMBDA(_xlpm.part, _xlpm.val, _xlpm.error, IF(_xlpm.part = "", "", IF(LEN(_xlpm.error), _xlfn.SWITCH(IFERROR(_xlfn.TEXTBEFORE(_xlpm.error,":"), ""), "1", "Error", "2", "Disabled", "3", "Required", "4", "Warning", "Valid"), "Valid"))))</f>
        <v/>
      </c>
      <c r="BW8" s="22">
        <f t="array" ref="BW8">_xlfn.MAP('3 - Carts &amp; Stands'!B8:B507, '3 - Carts &amp; Stands'!BW8:BW507, '3 - Carts &amp; Stands-WUO_ERR'!BW8:BW507, _xlfn.LAMBDA(_xlpm.part, _xlpm.val, _xlpm.error, IF(_xlpm.part = "", "", IF(LEN(_xlpm.error), _xlfn.SWITCH(IFERROR(_xlfn.TEXTBEFORE(_xlpm.error,":"), ""), "1", "Error", "2", "Disabled", "3", "Required", "4", "Warning", "Valid"), "Valid"))))</f>
        <v/>
      </c>
      <c r="BX8" s="22">
        <f t="array" ref="BX8">_xlfn.MAP('3 - Carts &amp; Stands'!B8:B507, '3 - Carts &amp; Stands'!BX8:BX507, '3 - Carts &amp; Stands-WUO_ERR'!BX8:BX507, _xlfn.LAMBDA(_xlpm.part, _xlpm.val, _xlpm.error, IF(_xlpm.part = "", "", IF(LEN(_xlpm.error), _xlfn.SWITCH(IFERROR(_xlfn.TEXTBEFORE(_xlpm.error,":"), ""), "1", "Error", "2", "Disabled", "3", "Required", "4", "Warning", "Valid"), "Valid"))))</f>
        <v/>
      </c>
      <c r="BY8" s="22">
        <f t="array" ref="BY8">_xlfn.MAP('3 - Carts &amp; Stands'!B8:B507, '3 - Carts &amp; Stands'!BY8:BY507, '3 - Carts &amp; Stands-WUO_ERR'!BY8:BY507, _xlfn.LAMBDA(_xlpm.part, _xlpm.val, _xlpm.error, IF(_xlpm.part = "", "", IF(LEN(_xlpm.error), _xlfn.SWITCH(IFERROR(_xlfn.TEXTBEFORE(_xlpm.error,":"), ""), "1", "Error", "2", "Disabled", "3", "Required", "4", "Warning", "Valid"), "Valid"))))</f>
        <v/>
      </c>
      <c r="BZ8" s="22">
        <f t="array" ref="BZ8">_xlfn.MAP('3 - Carts &amp; Stands'!B8:B507, '3 - Carts &amp; Stands'!BZ8:BZ507, '3 - Carts &amp; Stands-WUO_ERR'!BZ8:BZ507, _xlfn.LAMBDA(_xlpm.part, _xlpm.val, _xlpm.error, IF(_xlpm.part = "", "", IF(LEN(_xlpm.error), _xlfn.SWITCH(IFERROR(_xlfn.TEXTBEFORE(_xlpm.error,":"), ""), "1", "Error", "2", "Disabled", "3", "Required", "4", "Warning", "Valid"), "Valid"))))</f>
        <v/>
      </c>
      <c r="CA8" s="22">
        <f t="array" ref="CA8">_xlfn.MAP('3 - Carts &amp; Stands'!B8:B507, '3 - Carts &amp; Stands'!CA8:CA507, '3 - Carts &amp; Stands-WUO_ERR'!CA8:CA507, _xlfn.LAMBDA(_xlpm.part, _xlpm.val, _xlpm.error, IF(_xlpm.part = "", "", IF(LEN(_xlpm.error), _xlfn.SWITCH(IFERROR(_xlfn.TEXTBEFORE(_xlpm.error,":"), ""), "1", "Error", "2", "Disabled", "3", "Required", "4", "Warning", "Valid"), "Valid"))))</f>
        <v/>
      </c>
      <c r="CB8" s="22">
        <f t="array" ref="CB8">_xlfn.MAP('3 - Carts &amp; Stands'!B8:B507, '3 - Carts &amp; Stands'!CB8:CB507, '3 - Carts &amp; Stands-WUO_ERR'!CB8:CB507, _xlfn.LAMBDA(_xlpm.part, _xlpm.val, _xlpm.error, IF(_xlpm.part = "", "", IF(LEN(_xlpm.error), _xlfn.SWITCH(IFERROR(_xlfn.TEXTBEFORE(_xlpm.error,":"), ""), "1", "Error", "2", "Disabled", "3", "Required", "4", "Warning", "Valid"), "Valid"))))</f>
        <v/>
      </c>
      <c r="CC8" s="22">
        <f t="array" ref="CC8">_xlfn.MAP('3 - Carts &amp; Stands'!B8:B507, '3 - Carts &amp; Stands'!CC8:CC507, '3 - Carts &amp; Stands-WUO_ERR'!CC8:CC507, _xlfn.LAMBDA(_xlpm.part, _xlpm.val, _xlpm.error, IF(_xlpm.part = "", "", IF(LEN(_xlpm.error), _xlfn.SWITCH(IFERROR(_xlfn.TEXTBEFORE(_xlpm.error,":"), ""), "1", "Error", "2", "Disabled", "3", "Required", "4", "Warning", "Valid"), "Valid"))))</f>
        <v/>
      </c>
      <c r="CD8" s="22">
        <f t="array" ref="CD8">_xlfn.MAP('3 - Carts &amp; Stands'!B8:B507, '3 - Carts &amp; Stands'!CD8:CD507, '3 - Carts &amp; Stands-WUO_ERR'!CD8:CD507, _xlfn.LAMBDA(_xlpm.part, _xlpm.val, _xlpm.error, IF(_xlpm.part = "", "", IF(LEN(_xlpm.error), _xlfn.SWITCH(IFERROR(_xlfn.TEXTBEFORE(_xlpm.error,":"), ""), "1", "Error", "2", "Disabled", "3", "Required", "4", "Warning", "Valid"), "Valid"))))</f>
        <v/>
      </c>
      <c r="CE8" s="22">
        <f t="array" ref="CE8">_xlfn.MAP('3 - Carts &amp; Stands'!B8:B507, '3 - Carts &amp; Stands'!CE8:CE507, '3 - Carts &amp; Stands-WUO_ERR'!CE8:CE507, _xlfn.LAMBDA(_xlpm.part, _xlpm.val, _xlpm.error, IF(_xlpm.part = "", "", IF(LEN(_xlpm.error), _xlfn.SWITCH(IFERROR(_xlfn.TEXTBEFORE(_xlpm.error,":"), ""), "1", "Error", "2", "Disabled", "3", "Required", "4", "Warning", "Valid"), "Valid"))))</f>
        <v/>
      </c>
      <c r="CF8" s="22">
        <f t="array" ref="CF8">_xlfn.MAP('3 - Carts &amp; Stands'!B8:B507, '3 - Carts &amp; Stands'!CF8:CF507, '3 - Carts &amp; Stands-WUO_ERR'!CF8:CF507, _xlfn.LAMBDA(_xlpm.part, _xlpm.val, _xlpm.error, IF(_xlpm.part = "", "", IF(LEN(_xlpm.error), _xlfn.SWITCH(IFERROR(_xlfn.TEXTBEFORE(_xlpm.error,":"), ""), "1", "Error", "2", "Disabled", "3", "Required", "4", "Warning", "Valid"), "Valid"))))</f>
        <v/>
      </c>
      <c r="CG8" s="22">
        <f t="array" ref="CG8">_xlfn.MAP('3 - Carts &amp; Stands'!B8:B507, '3 - Carts &amp; Stands'!CG8:CG507, '3 - Carts &amp; Stands-WUO_ERR'!CG8:CG507, _xlfn.LAMBDA(_xlpm.part, _xlpm.val, _xlpm.error, IF(_xlpm.part = "", "", IF(LEN(_xlpm.error), _xlfn.SWITCH(IFERROR(_xlfn.TEXTBEFORE(_xlpm.error,":"), ""), "1", "Error", "2", "Disabled", "3", "Required", "4", "Warning", "Valid"), "Valid"))))</f>
        <v/>
      </c>
      <c r="CH8" s="22">
        <f t="array" ref="CH8">_xlfn.MAP('3 - Carts &amp; Stands'!B8:B507, '3 - Carts &amp; Stands'!CH8:CH507, '3 - Carts &amp; Stands-WUO_ERR'!CH8:CH507, _xlfn.LAMBDA(_xlpm.part, _xlpm.val, _xlpm.error, IF(_xlpm.part = "", "", IF(LEN(_xlpm.error), _xlfn.SWITCH(IFERROR(_xlfn.TEXTBEFORE(_xlpm.error,":"), ""), "1", "Error", "2", "Disabled", "3", "Required", "4", "Warning", "Valid"), "Valid"))))</f>
        <v/>
      </c>
      <c r="CI8" s="22">
        <f t="array" ref="CI8">_xlfn.MAP('3 - Carts &amp; Stands'!B8:B507, '3 - Carts &amp; Stands'!CI8:CI507, '3 - Carts &amp; Stands-WUO_ERR'!CI8:CI507, _xlfn.LAMBDA(_xlpm.part, _xlpm.val, _xlpm.error, IF(_xlpm.part = "", "", IF(LEN(_xlpm.error), _xlfn.SWITCH(IFERROR(_xlfn.TEXTBEFORE(_xlpm.error,":"), ""), "1", "Error", "2", "Disabled", "3", "Required", "4", "Warning", "Valid"), "Valid"))))</f>
        <v/>
      </c>
      <c r="CJ8" s="22">
        <f t="array" ref="CJ8">_xlfn.MAP('3 - Carts &amp; Stands'!B8:B507, '3 - Carts &amp; Stands'!CJ8:CJ507, '3 - Carts &amp; Stands-WUO_ERR'!CJ8:CJ507, _xlfn.LAMBDA(_xlpm.part, _xlpm.val, _xlpm.error, IF(_xlpm.part = "", "", IF(LEN(_xlpm.error), _xlfn.SWITCH(IFERROR(_xlfn.TEXTBEFORE(_xlpm.error,":"), ""), "1", "Error", "2", "Disabled", "3", "Required", "4", "Warning", "Valid"), "Valid"))))</f>
        <v/>
      </c>
      <c r="CK8" s="22">
        <f t="array" ref="CK8">_xlfn.MAP('3 - Carts &amp; Stands'!B8:B507, '3 - Carts &amp; Stands'!CK8:CK507, '3 - Carts &amp; Stands-WUO_ERR'!CK8:CK507, _xlfn.LAMBDA(_xlpm.part, _xlpm.val, _xlpm.error, IF(_xlpm.part = "", "", IF(LEN(_xlpm.error), _xlfn.SWITCH(IFERROR(_xlfn.TEXTBEFORE(_xlpm.error,":"), ""), "1", "Error", "2", "Disabled", "3", "Required", "4", "Warning", "Valid"), "Valid"))))</f>
        <v/>
      </c>
      <c r="CL8" s="22">
        <f t="array" ref="CL8">_xlfn.MAP('3 - Carts &amp; Stands'!B8:B507, '3 - Carts &amp; Stands'!CL8:CL507, '3 - Carts &amp; Stands-WUO_ERR'!CL8:CL507, _xlfn.LAMBDA(_xlpm.part, _xlpm.val, _xlpm.error, IF(_xlpm.part = "", "", IF(LEN(_xlpm.error), _xlfn.SWITCH(IFERROR(_xlfn.TEXTBEFORE(_xlpm.error,":"), ""), "1", "Error", "2", "Disabled", "3", "Required", "4", "Warning", "Valid"), "Valid"))))</f>
        <v/>
      </c>
      <c r="CM8" s="22">
        <f t="array" ref="CM8">_xlfn.MAP('3 - Carts &amp; Stands'!B8:B507, '3 - Carts &amp; Stands'!CM8:CM507, '3 - Carts &amp; Stands-WUO_ERR'!CM8:CM507, _xlfn.LAMBDA(_xlpm.part, _xlpm.val, _xlpm.error, IF(_xlpm.part = "", "", IF(LEN(_xlpm.error), _xlfn.SWITCH(IFERROR(_xlfn.TEXTBEFORE(_xlpm.error,":"), ""), "1", "Error", "2", "Disabled", "3", "Required", "4", "Warning", "Valid"), "Valid"))))</f>
        <v/>
      </c>
      <c r="CN8" s="22">
        <f t="array" ref="CN8">_xlfn.MAP('3 - Carts &amp; Stands'!B8:B507, '3 - Carts &amp; Stands'!CN8:CN507, '3 - Carts &amp; Stands-WUO_ERR'!CN8:CN507, _xlfn.LAMBDA(_xlpm.part, _xlpm.val, _xlpm.error, IF(_xlpm.part = "", "", IF(LEN(_xlpm.error), _xlfn.SWITCH(IFERROR(_xlfn.TEXTBEFORE(_xlpm.error,":"), ""), "1", "Error", "2", "Disabled", "3", "Required", "4", "Warning", "Valid"), "Valid"))))</f>
        <v/>
      </c>
      <c r="CO8" s="22">
        <f t="array" ref="CO8">_xlfn.MAP('3 - Carts &amp; Stands'!B8:B507, '3 - Carts &amp; Stands'!CO8:CO507, '3 - Carts &amp; Stands-WUO_ERR'!CO8:CO507, _xlfn.LAMBDA(_xlpm.part, _xlpm.val, _xlpm.error, IF(_xlpm.part = "", "", IF(LEN(_xlpm.error), _xlfn.SWITCH(IFERROR(_xlfn.TEXTBEFORE(_xlpm.error,":"), ""), "1", "Error", "2", "Disabled", "3", "Required", "4", "Warning", "Valid"), "Valid"))))</f>
        <v/>
      </c>
      <c r="CP8" s="22">
        <f t="array" ref="CP8">_xlfn.MAP('3 - Carts &amp; Stands'!B8:B507, '3 - Carts &amp; Stands'!CP8:CP507, '3 - Carts &amp; Stands-WUO_ERR'!CP8:CP507, _xlfn.LAMBDA(_xlpm.part, _xlpm.val, _xlpm.error, IF(_xlpm.part = "", "", IF(LEN(_xlpm.error), _xlfn.SWITCH(IFERROR(_xlfn.TEXTBEFORE(_xlpm.error,":"), ""), "1", "Error", "2", "Disabled", "3", "Required", "4", "Warning", "Valid"), "Valid"))))</f>
        <v/>
      </c>
      <c r="CQ8" s="22">
        <f t="array" ref="CQ8">_xlfn.MAP('3 - Carts &amp; Stands'!B8:B507, '3 - Carts &amp; Stands'!CQ8:CQ507, '3 - Carts &amp; Stands-WUO_ERR'!CQ8:CQ507, _xlfn.LAMBDA(_xlpm.part, _xlpm.val, _xlpm.error, IF(_xlpm.part = "", "", IF(LEN(_xlpm.error), _xlfn.SWITCH(IFERROR(_xlfn.TEXTBEFORE(_xlpm.error,":"), ""), "1", "Error", "2", "Disabled", "3", "Required", "4", "Warning", "Valid"), "Valid"))))</f>
        <v/>
      </c>
      <c r="CR8" s="22">
        <f t="array" ref="CR8">_xlfn.MAP('3 - Carts &amp; Stands'!B8:B507, '3 - Carts &amp; Stands'!CR8:CR507, '3 - Carts &amp; Stands-WUO_ERR'!CR8:CR507, _xlfn.LAMBDA(_xlpm.part, _xlpm.val, _xlpm.error, IF(_xlpm.part = "", "", IF(LEN(_xlpm.error), _xlfn.SWITCH(IFERROR(_xlfn.TEXTBEFORE(_xlpm.error,":"), ""), "1", "Error", "2", "Disabled", "3", "Required", "4", "Warning", "Valid"), "Valid"))))</f>
        <v/>
      </c>
      <c r="CS8" s="22">
        <f t="array" ref="CS8">_xlfn.MAP('3 - Carts &amp; Stands'!B8:B507, '3 - Carts &amp; Stands'!CS8:CS507, '3 - Carts &amp; Stands-WUO_ERR'!CS8:CS507, _xlfn.LAMBDA(_xlpm.part, _xlpm.val, _xlpm.error, IF(_xlpm.part = "", "", IF(LEN(_xlpm.error), _xlfn.SWITCH(IFERROR(_xlfn.TEXTBEFORE(_xlpm.error,":"), ""), "1", "Error", "2", "Disabled", "3", "Required", "4", "Warning", "Valid"), "Valid"))))</f>
        <v/>
      </c>
      <c r="CT8" s="22">
        <f t="array" ref="CT8">_xlfn.MAP('3 - Carts &amp; Stands'!B8:B507, '3 - Carts &amp; Stands'!CT8:CT507, '3 - Carts &amp; Stands-WUO_ERR'!CT8:CT507, _xlfn.LAMBDA(_xlpm.part, _xlpm.val, _xlpm.error, IF(_xlpm.part = "", "", IF(LEN(_xlpm.error), _xlfn.SWITCH(IFERROR(_xlfn.TEXTBEFORE(_xlpm.error,":"), ""), "1", "Error", "2", "Disabled", "3", "Required", "4", "Warning", "Valid"), "Valid"))))</f>
        <v/>
      </c>
      <c r="CU8" s="22">
        <f t="array" ref="CU8">_xlfn.MAP('3 - Carts &amp; Stands'!B8:B507, '3 - Carts &amp; Stands'!CU8:CU507, '3 - Carts &amp; Stands-WUO_ERR'!CU8:CU507, _xlfn.LAMBDA(_xlpm.part, _xlpm.val, _xlpm.error, IF(_xlpm.part = "", "", IF(LEN(_xlpm.error), _xlfn.SWITCH(IFERROR(_xlfn.TEXTBEFORE(_xlpm.error,":"), ""), "1", "Error", "2", "Disabled", "3", "Required", "4", "Warning", "Valid"), "Valid"))))</f>
        <v/>
      </c>
      <c r="CV8" s="22">
        <f t="array" ref="CV8">_xlfn.MAP('3 - Carts &amp; Stands'!B8:B507, '3 - Carts &amp; Stands'!CV8:CV507, '3 - Carts &amp; Stands-WUO_ERR'!CV8:CV507, _xlfn.LAMBDA(_xlpm.part, _xlpm.val, _xlpm.error, IF(_xlpm.part = "", "", IF(LEN(_xlpm.error), _xlfn.SWITCH(IFERROR(_xlfn.TEXTBEFORE(_xlpm.error,":"), ""), "1", "Error", "2", "Disabled", "3", "Required", "4", "Warning", "Valid"), "Valid"))))</f>
        <v/>
      </c>
      <c r="CW8" s="22">
        <f t="array" ref="CW8">_xlfn.MAP('3 - Carts &amp; Stands'!B8:B507, '3 - Carts &amp; Stands'!CW8:CW507, '3 - Carts &amp; Stands-WUO_ERR'!CW8:CW507, _xlfn.LAMBDA(_xlpm.part, _xlpm.val, _xlpm.error, IF(_xlpm.part = "", "", IF(LEN(_xlpm.error), _xlfn.SWITCH(IFERROR(_xlfn.TEXTBEFORE(_xlpm.error,":"), ""), "1", "Error", "2", "Disabled", "3", "Required", "4", "Warning", "Valid"), "Valid"))))</f>
        <v/>
      </c>
      <c r="CX8" s="22">
        <f t="array" ref="CX8">_xlfn.MAP('3 - Carts &amp; Stands'!B8:B507, '3 - Carts &amp; Stands'!CX8:CX507, '3 - Carts &amp; Stands-WUO_ERR'!CX8:CX507, _xlfn.LAMBDA(_xlpm.part, _xlpm.val, _xlpm.error, IF(_xlpm.part = "", "", IF(LEN(_xlpm.error), _xlfn.SWITCH(IFERROR(_xlfn.TEXTBEFORE(_xlpm.error,":"), ""), "1", "Error", "2", "Disabled", "3", "Required", "4", "Warning", "Valid"), "Valid"))))</f>
        <v/>
      </c>
      <c r="CY8" s="22">
        <f t="array" ref="CY8">_xlfn.MAP('3 - Carts &amp; Stands'!B8:B507, '3 - Carts &amp; Stands'!CY8:CY507, '3 - Carts &amp; Stands-WUO_ERR'!CY8:CY507, _xlfn.LAMBDA(_xlpm.part, _xlpm.val, _xlpm.error, IF(_xlpm.part = "", "", IF(LEN(_xlpm.error), _xlfn.SWITCH(IFERROR(_xlfn.TEXTBEFORE(_xlpm.error,":"), ""), "1", "Error", "2", "Disabled", "3", "Required", "4", "Warning", "Valid"), "Valid"))))</f>
        <v/>
      </c>
      <c r="CZ8" s="22">
        <f t="array" ref="CZ8">_xlfn.MAP('3 - Carts &amp; Stands'!B8:B507, '3 - Carts &amp; Stands'!CZ8:CZ507, '3 - Carts &amp; Stands-WUO_ERR'!CZ8:CZ507, _xlfn.LAMBDA(_xlpm.part, _xlpm.val, _xlpm.error, IF(_xlpm.part = "", "", IF(LEN(_xlpm.error), _xlfn.SWITCH(IFERROR(_xlfn.TEXTBEFORE(_xlpm.error,":"), ""), "1", "Error", "2", "Disabled", "3", "Required", "4", "Warning", "Valid"), "Valid"))))</f>
        <v/>
      </c>
      <c r="DA8" s="22">
        <f t="array" ref="DA8">_xlfn.MAP('3 - Carts &amp; Stands'!B8:B507, '3 - Carts &amp; Stands'!DA8:DA507, '3 - Carts &amp; Stands-WUO_ERR'!DA8:DA507, _xlfn.LAMBDA(_xlpm.part, _xlpm.val, _xlpm.error, IF(_xlpm.part = "", "", IF(LEN(_xlpm.error), _xlfn.SWITCH(IFERROR(_xlfn.TEXTBEFORE(_xlpm.error,":"), ""), "1", "Error", "2", "Disabled", "3", "Required", "4", "Warning", "Valid"), "Valid"))))</f>
        <v/>
      </c>
      <c r="DB8" s="22">
        <f t="array" ref="DB8">_xlfn.MAP('3 - Carts &amp; Stands'!B8:B507, '3 - Carts &amp; Stands'!DB8:DB507, '3 - Carts &amp; Stands-WUO_ERR'!DB8:DB507, _xlfn.LAMBDA(_xlpm.part, _xlpm.val, _xlpm.error, IF(_xlpm.part = "", "", IF(LEN(_xlpm.error), _xlfn.SWITCH(IFERROR(_xlfn.TEXTBEFORE(_xlpm.error,":"), ""), "1", "Error", "2", "Disabled", "3", "Required", "4", "Warning", "Valid"), "Valid"))))</f>
        <v/>
      </c>
      <c r="DC8" s="22">
        <f t="array" ref="DC8">_xlfn.MAP('3 - Carts &amp; Stands'!B8:B507, '3 - Carts &amp; Stands'!DC8:DC507, '3 - Carts &amp; Stands-WUO_ERR'!DC8:DC507, _xlfn.LAMBDA(_xlpm.part, _xlpm.val, _xlpm.error, IF(_xlpm.part = "", "", IF(LEN(_xlpm.error), _xlfn.SWITCH(IFERROR(_xlfn.TEXTBEFORE(_xlpm.error,":"), ""), "1", "Error", "2", "Disabled", "3", "Required", "4", "Warning", "Valid"), "Valid"))))</f>
        <v/>
      </c>
      <c r="DD8" s="22">
        <f t="array" ref="DD8">_xlfn.MAP('3 - Carts &amp; Stands'!B8:B507, '3 - Carts &amp; Stands'!DD8:DD507, '3 - Carts &amp; Stands-WUO_ERR'!DD8:DD507, _xlfn.LAMBDA(_xlpm.part, _xlpm.val, _xlpm.error, IF(_xlpm.part = "", "", IF(LEN(_xlpm.error), _xlfn.SWITCH(IFERROR(_xlfn.TEXTBEFORE(_xlpm.error,":"), ""), "1", "Error", "2", "Disabled", "3", "Required", "4", "Warning", "Valid"), "Valid"))))</f>
        <v/>
      </c>
      <c r="DE8" s="22">
        <f t="array" ref="DE8">_xlfn.MAP('3 - Carts &amp; Stands'!B8:B507, '3 - Carts &amp; Stands'!DE8:DE507, '3 - Carts &amp; Stands-WUO_ERR'!DE8:DE507, _xlfn.LAMBDA(_xlpm.part, _xlpm.val, _xlpm.error, IF(_xlpm.part = "", "", IF(LEN(_xlpm.error), _xlfn.SWITCH(IFERROR(_xlfn.TEXTBEFORE(_xlpm.error,":"), ""), "1", "Error", "2", "Disabled", "3", "Required", "4", "Warning", "Valid"), "Valid"))))</f>
        <v/>
      </c>
      <c r="DF8" s="22">
        <f t="array" ref="DF8">_xlfn.MAP('3 - Carts &amp; Stands'!B8:B507, '3 - Carts &amp; Stands'!DF8:DF507, '3 - Carts &amp; Stands-WUO_ERR'!DF8:DF507, _xlfn.LAMBDA(_xlpm.part, _xlpm.val, _xlpm.error, IF(_xlpm.part = "", "", IF(LEN(_xlpm.error), _xlfn.SWITCH(IFERROR(_xlfn.TEXTBEFORE(_xlpm.error,":"), ""), "1", "Error", "2", "Disabled", "3", "Required", "4", "Warning", "Valid"), "Valid"))))</f>
        <v/>
      </c>
      <c r="DG8" s="22">
        <f t="array" ref="DG8">_xlfn.MAP('3 - Carts &amp; Stands'!B8:B507, '3 - Carts &amp; Stands'!DG8:DG507, '3 - Carts &amp; Stands-WUO_ERR'!DG8:DG507, _xlfn.LAMBDA(_xlpm.part, _xlpm.val, _xlpm.error, IF(_xlpm.part = "", "", IF(LEN(_xlpm.error), _xlfn.SWITCH(IFERROR(_xlfn.TEXTBEFORE(_xlpm.error,":"), ""), "1", "Error", "2", "Disabled", "3", "Required", "4", "Warning", "Valid"), "Valid"))))</f>
        <v/>
      </c>
      <c r="DH8" s="22">
        <f t="array" ref="DH8">_xlfn.MAP('3 - Carts &amp; Stands'!B8:B507, '3 - Carts &amp; Stands'!DH8:DH507, '3 - Carts &amp; Stands-WUO_ERR'!DH8:DH507, _xlfn.LAMBDA(_xlpm.part, _xlpm.val, _xlpm.error, IF(_xlpm.part = "", "", IF(LEN(_xlpm.error), _xlfn.SWITCH(IFERROR(_xlfn.TEXTBEFORE(_xlpm.error,":"), ""), "1", "Error", "2", "Disabled", "3", "Required", "4", "Warning", "Valid"), "Valid"))))</f>
        <v/>
      </c>
      <c r="DI8" s="22">
        <f t="array" ref="DI8">_xlfn.MAP('3 - Carts &amp; Stands'!B8:B507, '3 - Carts &amp; Stands'!DI8:DI507, '3 - Carts &amp; Stands-WUO_ERR'!DI8:DI507, _xlfn.LAMBDA(_xlpm.part, _xlpm.val, _xlpm.error, IF(_xlpm.part = "", "", IF(LEN(_xlpm.error), _xlfn.SWITCH(IFERROR(_xlfn.TEXTBEFORE(_xlpm.error,":"), ""), "1", "Error", "2", "Disabled", "3", "Required", "4", "Warning", "Valid"), "Valid"))))</f>
        <v/>
      </c>
      <c r="DJ8" s="22">
        <f t="array" ref="DJ8">_xlfn.MAP('3 - Carts &amp; Stands'!B8:B507, '3 - Carts &amp; Stands'!DJ8:DJ507, '3 - Carts &amp; Stands-WUO_ERR'!DJ8:DJ507, _xlfn.LAMBDA(_xlpm.part, _xlpm.val, _xlpm.error, IF(_xlpm.part = "", "", IF(LEN(_xlpm.error), _xlfn.SWITCH(IFERROR(_xlfn.TEXTBEFORE(_xlpm.error,":"), ""), "1", "Error", "2", "Disabled", "3", "Required", "4", "Warning", "Valid"), "Valid"))))</f>
        <v/>
      </c>
      <c r="DK8" s="22">
        <f t="array" ref="DK8">_xlfn.MAP('3 - Carts &amp; Stands'!B8:B507, '3 - Carts &amp; Stands'!DK8:DK507, '3 - Carts &amp; Stands-WUO_ERR'!DK8:DK507, _xlfn.LAMBDA(_xlpm.part, _xlpm.val, _xlpm.error, IF(_xlpm.part = "", "", IF(LEN(_xlpm.error), _xlfn.SWITCH(IFERROR(_xlfn.TEXTBEFORE(_xlpm.error,":"), ""), "1", "Error", "2", "Disabled", "3", "Required", "4", "Warning", "Valid"), "Valid"))))</f>
        <v/>
      </c>
      <c r="DL8" s="22">
        <f t="array" ref="DL8">_xlfn.MAP('3 - Carts &amp; Stands'!B8:B507, '3 - Carts &amp; Stands'!DL8:DL507, '3 - Carts &amp; Stands-WUO_ERR'!DL8:DL507, _xlfn.LAMBDA(_xlpm.part, _xlpm.val, _xlpm.error, IF(_xlpm.part = "", "", IF(LEN(_xlpm.error), _xlfn.SWITCH(IFERROR(_xlfn.TEXTBEFORE(_xlpm.error,":"), ""), "1", "Error", "2", "Disabled", "3", "Required", "4", "Warning", "Valid"), "Valid"))))</f>
        <v/>
      </c>
      <c r="DM8" s="22">
        <f t="array" ref="DM8">_xlfn.MAP('3 - Carts &amp; Stands'!B8:B507, '3 - Carts &amp; Stands'!DM8:DM507, '3 - Carts &amp; Stands-WUO_ERR'!DM8:DM507, _xlfn.LAMBDA(_xlpm.part, _xlpm.val, _xlpm.error, IF(_xlpm.part = "", "", IF(LEN(_xlpm.error), _xlfn.SWITCH(IFERROR(_xlfn.TEXTBEFORE(_xlpm.error,":"), ""), "1", "Error", "2", "Disabled", "3", "Required", "4", "Warning", "Valid"), "Valid"))))</f>
        <v/>
      </c>
      <c r="DN8" s="22">
        <f t="array" ref="DN8">_xlfn.MAP('3 - Carts &amp; Stands'!B8:B507, '3 - Carts &amp; Stands'!DN8:DN507, '3 - Carts &amp; Stands-WUO_ERR'!DN8:DN507, _xlfn.LAMBDA(_xlpm.part, _xlpm.val, _xlpm.error, IF(_xlpm.part = "", "", IF(LEN(_xlpm.error), _xlfn.SWITCH(IFERROR(_xlfn.TEXTBEFORE(_xlpm.error,":"), ""), "1", "Error", "2", "Disabled", "3", "Required", "4", "Warning", "Valid"), "Valid"))))</f>
        <v/>
      </c>
      <c r="DO8" s="22">
        <f t="array" ref="DO8">_xlfn.MAP('3 - Carts &amp; Stands'!B8:B507, '3 - Carts &amp; Stands'!DO8:DO507, '3 - Carts &amp; Stands-WUO_ERR'!DO8:DO507, _xlfn.LAMBDA(_xlpm.part, _xlpm.val, _xlpm.error, IF(_xlpm.part = "", "", IF(LEN(_xlpm.error), _xlfn.SWITCH(IFERROR(_xlfn.TEXTBEFORE(_xlpm.error,":"), ""), "1", "Error", "2", "Disabled", "3", "Required", "4", "Warning", "Valid"), "Valid"))))</f>
        <v/>
      </c>
      <c r="DP8" s="22">
        <f t="array" ref="DP8">_xlfn.MAP('3 - Carts &amp; Stands'!B8:B507, '3 - Carts &amp; Stands'!DP8:DP507, '3 - Carts &amp; Stands-WUO_ERR'!DP8:DP507, _xlfn.LAMBDA(_xlpm.part, _xlpm.val, _xlpm.error, IF(_xlpm.part = "", "", IF(LEN(_xlpm.error), _xlfn.SWITCH(IFERROR(_xlfn.TEXTBEFORE(_xlpm.error,":"), ""), "1", "Error", "2", "Disabled", "3", "Required", "4", "Warning", "Valid"), "Valid"))))</f>
        <v/>
      </c>
      <c r="DQ8" s="22">
        <f t="array" ref="DQ8">_xlfn.MAP('3 - Carts &amp; Stands'!B8:B507, '3 - Carts &amp; Stands'!DQ8:DQ507, '3 - Carts &amp; Stands-WUO_ERR'!DQ8:DQ507, _xlfn.LAMBDA(_xlpm.part, _xlpm.val, _xlpm.error, IF(_xlpm.part = "", "", IF(LEN(_xlpm.error), _xlfn.SWITCH(IFERROR(_xlfn.TEXTBEFORE(_xlpm.error,":"), ""), "1", "Error", "2", "Disabled", "3", "Required", "4", "Warning", "Valid"), "Valid"))))</f>
        <v/>
      </c>
      <c r="DR8" s="22">
        <f t="array" ref="DR8">_xlfn.MAP('3 - Carts &amp; Stands'!B8:B507, '3 - Carts &amp; Stands'!DR8:DR507, '3 - Carts &amp; Stands-WUO_ERR'!DR8:DR507, _xlfn.LAMBDA(_xlpm.part, _xlpm.val, _xlpm.error, IF(_xlpm.part = "", "", IF(LEN(_xlpm.error), _xlfn.SWITCH(IFERROR(_xlfn.TEXTBEFORE(_xlpm.error,":"), ""), "1", "Error", "2", "Disabled", "3", "Required", "4", "Warning", "Valid"), "Valid"))))</f>
        <v/>
      </c>
      <c r="DS8" s="22">
        <f t="array" ref="DS8">_xlfn.MAP('3 - Carts &amp; Stands'!B8:B507, '3 - Carts &amp; Stands'!DS8:DS507, '3 - Carts &amp; Stands-WUO_ERR'!DS8:DS507, _xlfn.LAMBDA(_xlpm.part, _xlpm.val, _xlpm.error, IF(_xlpm.part = "", "", IF(LEN(_xlpm.error), _xlfn.SWITCH(IFERROR(_xlfn.TEXTBEFORE(_xlpm.error,":"), ""), "1", "Error", "2", "Disabled", "3", "Required", "4", "Warning", "Valid"), "Valid"))))</f>
        <v/>
      </c>
      <c r="DT8" s="22">
        <f t="array" ref="DT8">_xlfn.MAP('3 - Carts &amp; Stands'!B8:B507, '3 - Carts &amp; Stands'!DT8:DT507, '3 - Carts &amp; Stands-WUO_ERR'!DT8:DT507, _xlfn.LAMBDA(_xlpm.part, _xlpm.val, _xlpm.error, IF(_xlpm.part = "", "", IF(LEN(_xlpm.error), _xlfn.SWITCH(IFERROR(_xlfn.TEXTBEFORE(_xlpm.error,":"), ""), "1", "Error", "2", "Disabled", "3", "Required", "4", "Warning", "Valid"), "Valid"))))</f>
        <v/>
      </c>
      <c r="DU8" s="22">
        <f t="array" ref="DU8">_xlfn.MAP('3 - Carts &amp; Stands'!B8:B507, '3 - Carts &amp; Stands'!DU8:DU507, '3 - Carts &amp; Stands-WUO_ERR'!DU8:DU507, _xlfn.LAMBDA(_xlpm.part, _xlpm.val, _xlpm.error, IF(_xlpm.part = "", "", IF(LEN(_xlpm.error), _xlfn.SWITCH(IFERROR(_xlfn.TEXTBEFORE(_xlpm.error,":"), ""), "1", "Error", "2", "Disabled", "3", "Required", "4", "Warning", "Valid"), "Valid"))))</f>
        <v/>
      </c>
      <c r="DV8" s="22">
        <f t="array" ref="DV8">_xlfn.MAP('3 - Carts &amp; Stands'!B8:B507, '3 - Carts &amp; Stands'!DV8:DV507, '3 - Carts &amp; Stands-WUO_ERR'!DV8:DV507, _xlfn.LAMBDA(_xlpm.part, _xlpm.val, _xlpm.error, IF(_xlpm.part = "", "", IF(LEN(_xlpm.error), _xlfn.SWITCH(IFERROR(_xlfn.TEXTBEFORE(_xlpm.error,":"), ""), "1", "Error", "2", "Disabled", "3", "Required", "4", "Warning", "Valid"), "Valid"))))</f>
        <v/>
      </c>
      <c r="DW8" s="22">
        <f t="array" ref="DW8">_xlfn.MAP('3 - Carts &amp; Stands'!B8:B507, '3 - Carts &amp; Stands'!DW8:DW507, '3 - Carts &amp; Stands-WUO_ERR'!DW8:DW507, _xlfn.LAMBDA(_xlpm.part, _xlpm.val, _xlpm.error, IF(_xlpm.part = "", "", IF(LEN(_xlpm.error), _xlfn.SWITCH(IFERROR(_xlfn.TEXTBEFORE(_xlpm.error,":"), ""), "1", "Error", "2", "Disabled", "3", "Required", "4", "Warning", "Valid"), "Valid"))))</f>
        <v/>
      </c>
      <c r="DX8" s="22">
        <f t="array" ref="DX8">_xlfn.MAP('3 - Carts &amp; Stands'!B8:B507, '3 - Carts &amp; Stands'!DX8:DX507, '3 - Carts &amp; Stands-WUO_ERR'!DX8:DX507,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995"/>
  <mergeCells count="9">
    <mergeCell ref="AL2:AO2"/>
    <mergeCell ref="AP2:AS2"/>
    <mergeCell ref="U2:Z2"/>
    <mergeCell ref="R2:T2"/>
    <mergeCell ref="B2:I2"/>
    <mergeCell ref="AA2:AK2"/>
    <mergeCell ref="AT2:BN2"/>
    <mergeCell ref="J2:Q2"/>
    <mergeCell ref="BO2:DX2"/>
  </mergeCells>
  <dataValidations count="12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B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s="39">
        <f>IF('6 - TV Stands &amp; Enterta'!B8 = "", "", IF('6 - TV Stands &amp; Enterta-WUO_ERR'!A8 = "", "Validated", HYPERLINK("#" &amp; ADDRESS(8, '6 - TV Stands &amp; Enterta-WUO_TRK'!A8),_xlfn.TEXTAFTER('6 - TV Stands &amp; Enterta-WUO_ERR'!A8, ":"))))</f>
        <v/>
      </c>
      <c r="B8" t="inlineStr">
        <is>
          <t>CASA-TV-018</t>
        </is>
      </c>
      <c r="D8" t="inlineStr">
        <is>
          <t>Casa Design Furniture</t>
        </is>
      </c>
      <c r="F8" t="inlineStr">
        <is>
          <t>840134100181</t>
        </is>
      </c>
      <c r="G8" t="inlineStr">
        <is>
          <t>#018 NORALIE TV STAND &amp; FIREPLACE</t>
        </is>
      </c>
      <c r="R8" t="n">
        <v>899</v>
      </c>
      <c r="U8" t="inlineStr">
        <is>
          <t>Elevate your entertainment area with the Noralie TV Stand &amp; Fireplace. Featuring a beveled mirrored finish and elegant faux diamond inlays.</t>
        </is>
      </c>
      <c r="AD8" t="n">
        <v>110</v>
      </c>
    </row>
    <row r="9">
      <c r="A9" s="39">
        <f>IF('6 - TV Stands &amp; Enterta'!B9 = "", "", IF('6 - TV Stands &amp; Enterta-WUO_ERR'!A9 = "", "Validated", HYPERLINK("#" &amp; ADDRESS(9, '6 - TV Stands &amp; Enterta-WUO_TRK'!A9),_xlfn.TEXTAFTER('6 - TV Stands &amp; Enterta-WUO_ERR'!A9, ":"))))</f>
        <v/>
      </c>
      <c r="B9" t="inlineStr">
        <is>
          <t>CASA-TV-013</t>
        </is>
      </c>
      <c r="D9" t="inlineStr">
        <is>
          <t>Casa Design Furniture</t>
        </is>
      </c>
      <c r="F9" t="inlineStr">
        <is>
          <t>840134100136</t>
        </is>
      </c>
      <c r="G9" t="inlineStr">
        <is>
          <t>#013 TV STAND IN WHITE LACQUER</t>
        </is>
      </c>
      <c r="R9" t="n">
        <v>750</v>
      </c>
      <c r="U9" t="inlineStr">
        <is>
          <t>Modern white lacquer finish with stainless steel legs and self-closing doors. High-end contemporary design.</t>
        </is>
      </c>
      <c r="AD9" t="n">
        <v>95</v>
      </c>
    </row>
    <row r="10">
      <c r="A10" s="39">
        <f>IF('6 - TV Stands &amp; Enterta'!B10 = "", "", IF('6 - TV Stands &amp; Enterta-WUO_ERR'!A10 = "", "Validated", HYPERLINK("#" &amp; ADDRESS(10, '6 - TV Stands &amp; Enterta-WUO_TRK'!A10),_xlfn.TEXTAFTER('6 - TV Stands &amp; Enterta-WUO_ERR'!A10, ":"))))</f>
        <v/>
      </c>
      <c r="B10" t="inlineStr">
        <is>
          <t>CASA-TV-015</t>
        </is>
      </c>
      <c r="D10" t="inlineStr">
        <is>
          <t>Casa Design Furniture</t>
        </is>
      </c>
      <c r="F10" t="inlineStr">
        <is>
          <t>840134100150</t>
        </is>
      </c>
      <c r="G10" t="inlineStr">
        <is>
          <t>#015 LED LIGHT TV STAND</t>
        </is>
      </c>
      <c r="R10" t="n">
        <v>680</v>
      </c>
      <c r="U10" t="inlineStr">
        <is>
          <t>Sleek TV stand featuring integrated LED lighting to create a vibrant ambiance in your living room.</t>
        </is>
      </c>
      <c r="AD10" t="n">
        <v>88</v>
      </c>
    </row>
    <row r="11">
      <c r="A11" s="39">
        <f>IF('6 - TV Stands &amp; Enterta'!B11 = "", "", IF('6 - TV Stands &amp; Enterta-WUO_ERR'!A11 = "", "Validated", HYPERLINK("#" &amp; ADDRESS(11, '6 - TV Stands &amp; Enterta-WUO_TRK'!A11),_xlfn.TEXTAFTER('6 - TV Stands &amp; Enterta-WUO_ERR'!A11, ":"))))</f>
        <v/>
      </c>
      <c r="B11" t="inlineStr">
        <is>
          <t>CASA-ITEM-101</t>
        </is>
      </c>
      <c r="D11" t="inlineStr">
        <is>
          <t>Casa Design Furniture</t>
        </is>
      </c>
      <c r="F11" t="inlineStr">
        <is>
          <t>840134100201</t>
        </is>
      </c>
      <c r="G11" t="inlineStr">
        <is>
          <t>Elite Collection Item 101</t>
        </is>
      </c>
      <c r="R11" t="n">
        <v>525</v>
      </c>
      <c r="U11" t="inlineStr">
        <is>
          <t>Part of our exclusive Elite Collection, designed for modern luxury and durability.</t>
        </is>
      </c>
      <c r="AD11" t="n">
        <v>75</v>
      </c>
    </row>
    <row r="12">
      <c r="A12" s="39">
        <f>IF('6 - TV Stands &amp; Enterta'!B12 = "", "", IF('6 - TV Stands &amp; Enterta-WUO_ERR'!A12 = "", "Validated", HYPERLINK("#" &amp; ADDRESS(12, '6 - TV Stands &amp; Enterta-WUO_TRK'!A12),_xlfn.TEXTAFTER('6 - TV Stands &amp; Enterta-WUO_ERR'!A12, ":"))))</f>
        <v/>
      </c>
      <c r="B12" t="inlineStr">
        <is>
          <t>CASA-ITEM-102</t>
        </is>
      </c>
      <c r="D12" t="inlineStr">
        <is>
          <t>Casa Design Furniture</t>
        </is>
      </c>
      <c r="F12" t="inlineStr">
        <is>
          <t>840134100202</t>
        </is>
      </c>
      <c r="G12" t="inlineStr">
        <is>
          <t>Elite Collection Item 102</t>
        </is>
      </c>
      <c r="R12" t="n">
        <v>550</v>
      </c>
      <c r="U12" t="inlineStr">
        <is>
          <t>Part of our exclusive Elite Collection, designed for modern luxury and durability.</t>
        </is>
      </c>
      <c r="AD12" t="n">
        <v>75</v>
      </c>
    </row>
    <row r="13">
      <c r="A13" s="39">
        <f>IF('6 - TV Stands &amp; Enterta'!B13 = "", "", IF('6 - TV Stands &amp; Enterta-WUO_ERR'!A13 = "", "Validated", HYPERLINK("#" &amp; ADDRESS(13, '6 - TV Stands &amp; Enterta-WUO_TRK'!A13),_xlfn.TEXTAFTER('6 - TV Stands &amp; Enterta-WUO_ERR'!A13, ":"))))</f>
        <v/>
      </c>
      <c r="B13" t="inlineStr">
        <is>
          <t>CASA-ITEM-103</t>
        </is>
      </c>
      <c r="D13" t="inlineStr">
        <is>
          <t>Casa Design Furniture</t>
        </is>
      </c>
      <c r="F13" t="inlineStr">
        <is>
          <t>840134100203</t>
        </is>
      </c>
      <c r="G13" t="inlineStr">
        <is>
          <t>Elite Collection Item 103</t>
        </is>
      </c>
      <c r="R13" t="n">
        <v>575</v>
      </c>
      <c r="U13" t="inlineStr">
        <is>
          <t>Part of our exclusive Elite Collection, designed for modern luxury and durability.</t>
        </is>
      </c>
      <c r="AD13" t="n">
        <v>75</v>
      </c>
    </row>
    <row r="14">
      <c r="A14" s="39">
        <f>IF('6 - TV Stands &amp; Enterta'!B14 = "", "", IF('6 - TV Stands &amp; Enterta-WUO_ERR'!A14 = "", "Validated", HYPERLINK("#" &amp; ADDRESS(14, '6 - TV Stands &amp; Enterta-WUO_TRK'!A14),_xlfn.TEXTAFTER('6 - TV Stands &amp; Enterta-WUO_ERR'!A14, ":"))))</f>
        <v/>
      </c>
      <c r="B14" t="inlineStr">
        <is>
          <t>CASA-ITEM-104</t>
        </is>
      </c>
      <c r="D14" t="inlineStr">
        <is>
          <t>Casa Design Furniture</t>
        </is>
      </c>
      <c r="F14" t="inlineStr">
        <is>
          <t>840134100204</t>
        </is>
      </c>
      <c r="G14" t="inlineStr">
        <is>
          <t>Elite Collection Item 104</t>
        </is>
      </c>
      <c r="R14" t="n">
        <v>600</v>
      </c>
      <c r="U14" t="inlineStr">
        <is>
          <t>Part of our exclusive Elite Collection, designed for modern luxury and durability.</t>
        </is>
      </c>
      <c r="AD14" t="n">
        <v>75</v>
      </c>
    </row>
    <row r="15">
      <c r="A15" s="39">
        <f>IF('6 - TV Stands &amp; Enterta'!B15 = "", "", IF('6 - TV Stands &amp; Enterta-WUO_ERR'!A15 = "", "Validated", HYPERLINK("#" &amp; ADDRESS(15, '6 - TV Stands &amp; Enterta-WUO_TRK'!A15),_xlfn.TEXTAFTER('6 - TV Stands &amp; Enterta-WUO_ERR'!A15, ":"))))</f>
        <v/>
      </c>
      <c r="B15" t="inlineStr">
        <is>
          <t>CASA-ITEM-105</t>
        </is>
      </c>
      <c r="D15" t="inlineStr">
        <is>
          <t>Casa Design Furniture</t>
        </is>
      </c>
      <c r="F15" t="inlineStr">
        <is>
          <t>840134100205</t>
        </is>
      </c>
      <c r="G15" t="inlineStr">
        <is>
          <t>Elite Collection Item 105</t>
        </is>
      </c>
      <c r="R15" t="n">
        <v>625</v>
      </c>
      <c r="U15" t="inlineStr">
        <is>
          <t>Part of our exclusive Elite Collection, designed for modern luxury and durability.</t>
        </is>
      </c>
      <c r="AD15" t="n">
        <v>75</v>
      </c>
    </row>
    <row r="16">
      <c r="A16" s="39">
        <f>IF('6 - TV Stands &amp; Enterta'!B16 = "", "", IF('6 - TV Stands &amp; Enterta-WUO_ERR'!A16 = "", "Validated", HYPERLINK("#" &amp; ADDRESS(16, '6 - TV Stands &amp; Enterta-WUO_TRK'!A16),_xlfn.TEXTAFTER('6 - TV Stands &amp; Enterta-WUO_ERR'!A16, ":"))))</f>
        <v/>
      </c>
      <c r="B16" t="inlineStr">
        <is>
          <t>CASA-ITEM-106</t>
        </is>
      </c>
      <c r="D16" t="inlineStr">
        <is>
          <t>Casa Design Furniture</t>
        </is>
      </c>
      <c r="F16" t="inlineStr">
        <is>
          <t>840134100206</t>
        </is>
      </c>
      <c r="G16" t="inlineStr">
        <is>
          <t>Elite Collection Item 106</t>
        </is>
      </c>
      <c r="R16" t="n">
        <v>650</v>
      </c>
      <c r="U16" t="inlineStr">
        <is>
          <t>Part of our exclusive Elite Collection, designed for modern luxury and durability.</t>
        </is>
      </c>
      <c r="AD16" t="n">
        <v>75</v>
      </c>
    </row>
    <row r="17">
      <c r="A17" s="39">
        <f>IF('6 - TV Stands &amp; Enterta'!B17 = "", "", IF('6 - TV Stands &amp; Enterta-WUO_ERR'!A17 = "", "Validated", HYPERLINK("#" &amp; ADDRESS(17, '6 - TV Stands &amp; Enterta-WUO_TRK'!A17),_xlfn.TEXTAFTER('6 - TV Stands &amp; Enterta-WUO_ERR'!A17, ":"))))</f>
        <v/>
      </c>
      <c r="B17" t="inlineStr">
        <is>
          <t>CASA-ITEM-107</t>
        </is>
      </c>
      <c r="D17" t="inlineStr">
        <is>
          <t>Casa Design Furniture</t>
        </is>
      </c>
      <c r="F17" t="inlineStr">
        <is>
          <t>840134100207</t>
        </is>
      </c>
      <c r="G17" t="inlineStr">
        <is>
          <t>Elite Collection Item 107</t>
        </is>
      </c>
      <c r="R17" t="n">
        <v>675</v>
      </c>
      <c r="U17" t="inlineStr">
        <is>
          <t>Part of our exclusive Elite Collection, designed for modern luxury and durability.</t>
        </is>
      </c>
      <c r="AD17" t="n">
        <v>75</v>
      </c>
    </row>
    <row r="18">
      <c r="A18" s="39">
        <f>IF('6 - TV Stands &amp; Enterta'!B18 = "", "", IF('6 - TV Stands &amp; Enterta-WUO_ERR'!A18 = "", "Validated", HYPERLINK("#" &amp; ADDRESS(18, '6 - TV Stands &amp; Enterta-WUO_TRK'!A18),_xlfn.TEXTAFTER('6 - TV Stands &amp; Enterta-WUO_ERR'!A18, ":"))))</f>
        <v/>
      </c>
      <c r="B18" t="inlineStr">
        <is>
          <t>CASA-ITEM-108</t>
        </is>
      </c>
      <c r="D18" t="inlineStr">
        <is>
          <t>Casa Design Furniture</t>
        </is>
      </c>
      <c r="F18" t="inlineStr">
        <is>
          <t>840134100208</t>
        </is>
      </c>
      <c r="G18" t="inlineStr">
        <is>
          <t>Elite Collection Item 108</t>
        </is>
      </c>
      <c r="R18" t="n">
        <v>700</v>
      </c>
      <c r="U18" t="inlineStr">
        <is>
          <t>Part of our exclusive Elite Collection, designed for modern luxury and durability.</t>
        </is>
      </c>
      <c r="AD18" t="n">
        <v>75</v>
      </c>
    </row>
    <row r="19">
      <c r="A19" s="39">
        <f>IF('6 - TV Stands &amp; Enterta'!B19 = "", "", IF('6 - TV Stands &amp; Enterta-WUO_ERR'!A19 = "", "Validated", HYPERLINK("#" &amp; ADDRESS(19, '6 - TV Stands &amp; Enterta-WUO_TRK'!A19),_xlfn.TEXTAFTER('6 - TV Stands &amp; Enterta-WUO_ERR'!A19, ":"))))</f>
        <v/>
      </c>
      <c r="B19" t="inlineStr">
        <is>
          <t>CASA-ITEM-109</t>
        </is>
      </c>
      <c r="D19" t="inlineStr">
        <is>
          <t>Casa Design Furniture</t>
        </is>
      </c>
      <c r="F19" t="inlineStr">
        <is>
          <t>840134100209</t>
        </is>
      </c>
      <c r="G19" t="inlineStr">
        <is>
          <t>Elite Collection Item 109</t>
        </is>
      </c>
      <c r="R19" t="n">
        <v>725</v>
      </c>
      <c r="U19" t="inlineStr">
        <is>
          <t>Part of our exclusive Elite Collection, designed for modern luxury and durability.</t>
        </is>
      </c>
      <c r="AD19" t="n">
        <v>75</v>
      </c>
    </row>
    <row r="20">
      <c r="A20" s="39">
        <f>IF('6 - TV Stands &amp; Enterta'!B20 = "", "", IF('6 - TV Stands &amp; Enterta-WUO_ERR'!A20 = "", "Validated", HYPERLINK("#" &amp; ADDRESS(20, '6 - TV Stands &amp; Enterta-WUO_TRK'!A20),_xlfn.TEXTAFTER('6 - TV Stands &amp; Enterta-WUO_ERR'!A20, ":"))))</f>
        <v/>
      </c>
      <c r="B20" t="inlineStr">
        <is>
          <t>CASA-ITEM-110</t>
        </is>
      </c>
      <c r="D20" t="inlineStr">
        <is>
          <t>Casa Design Furniture</t>
        </is>
      </c>
      <c r="F20" t="inlineStr">
        <is>
          <t>840134100210</t>
        </is>
      </c>
      <c r="G20" t="inlineStr">
        <is>
          <t>Elite Collection Item 110</t>
        </is>
      </c>
      <c r="R20" t="n">
        <v>750</v>
      </c>
      <c r="U20" t="inlineStr">
        <is>
          <t>Part of our exclusive Elite Collection, designed for modern luxury and durability.</t>
        </is>
      </c>
      <c r="AD20" t="n">
        <v>75</v>
      </c>
    </row>
    <row r="21">
      <c r="A21" s="39">
        <f>IF('6 - TV Stands &amp; Enterta'!B21 = "", "", IF('6 - TV Stands &amp; Enterta-WUO_ERR'!A21 = "", "Validated", HYPERLINK("#" &amp; ADDRESS(21, '6 - TV Stands &amp; Enterta-WUO_TRK'!A21),_xlfn.TEXTAFTER('6 - TV Stands &amp; Enterta-WUO_ERR'!A21, ":"))))</f>
        <v/>
      </c>
    </row>
    <row r="22">
      <c r="A22" s="39">
        <f>IF('6 - TV Stands &amp; Enterta'!B22 = "", "", IF('6 - TV Stands &amp; Enterta-WUO_ERR'!A22 = "", "Validated", HYPERLINK("#" &amp; ADDRESS(22, '6 - TV Stands &amp; Enterta-WUO_TRK'!A22),_xlfn.TEXTAFTER('6 - TV Stands &amp; Enterta-WUO_ERR'!A22, ":"))))</f>
        <v/>
      </c>
    </row>
    <row r="23">
      <c r="A23" s="39">
        <f>IF('6 - TV Stands &amp; Enterta'!B23 = "", "", IF('6 - TV Stands &amp; Enterta-WUO_ERR'!A23 = "", "Validated", HYPERLINK("#" &amp; ADDRESS(23, '6 - TV Stands &amp; Enterta-WUO_TRK'!A23),_xlfn.TEXTAFTER('6 - TV Stands &amp; Enterta-WUO_ERR'!A23, ":"))))</f>
        <v/>
      </c>
    </row>
    <row r="24">
      <c r="A24" s="39">
        <f>IF('6 - TV Stands &amp; Enterta'!B24 = "", "", IF('6 - TV Stands &amp; Enterta-WUO_ERR'!A24 = "", "Validated", HYPERLINK("#" &amp; ADDRESS(24, '6 - TV Stands &amp; Enterta-WUO_TRK'!A24),_xlfn.TEXTAFTER('6 - TV Stands &amp; Enterta-WUO_ERR'!A24, ":"))))</f>
        <v/>
      </c>
    </row>
    <row r="25">
      <c r="A25" s="39">
        <f>IF('6 - TV Stands &amp; Enterta'!B25 = "", "", IF('6 - TV Stands &amp; Enterta-WUO_ERR'!A25 = "", "Validated", HYPERLINK("#" &amp; ADDRESS(25, '6 - TV Stands &amp; Enterta-WUO_TRK'!A25),_xlfn.TEXTAFTER('6 - TV Stands &amp; Enterta-WUO_ERR'!A25, ":"))))</f>
        <v/>
      </c>
    </row>
    <row r="26">
      <c r="A26" s="39">
        <f>IF('6 - TV Stands &amp; Enterta'!B26 = "", "", IF('6 - TV Stands &amp; Enterta-WUO_ERR'!A26 = "", "Validated", HYPERLINK("#" &amp; ADDRESS(26, '6 - TV Stands &amp; Enterta-WUO_TRK'!A26),_xlfn.TEXTAFTER('6 - TV Stands &amp; Enterta-WUO_ERR'!A26, ":"))))</f>
        <v/>
      </c>
    </row>
    <row r="27">
      <c r="A27" s="39">
        <f>IF('6 - TV Stands &amp; Enterta'!B27 = "", "", IF('6 - TV Stands &amp; Enterta-WUO_ERR'!A27 = "", "Validated", HYPERLINK("#" &amp; ADDRESS(27, '6 - TV Stands &amp; Enterta-WUO_TRK'!A27),_xlfn.TEXTAFTER('6 - TV Stands &amp; Enterta-WUO_ERR'!A27, ":"))))</f>
        <v/>
      </c>
    </row>
    <row r="28">
      <c r="A28" s="39">
        <f>IF('6 - TV Stands &amp; Enterta'!B28 = "", "", IF('6 - TV Stands &amp; Enterta-WUO_ERR'!A28 = "", "Validated", HYPERLINK("#" &amp; ADDRESS(28, '6 - TV Stands &amp; Enterta-WUO_TRK'!A28),_xlfn.TEXTAFTER('6 - TV Stands &amp; Enterta-WUO_ERR'!A28, ":"))))</f>
        <v/>
      </c>
    </row>
    <row r="29">
      <c r="A29" s="39">
        <f>IF('6 - TV Stands &amp; Enterta'!B29 = "", "", IF('6 - TV Stands &amp; Enterta-WUO_ERR'!A29 = "", "Validated", HYPERLINK("#" &amp; ADDRESS(29, '6 - TV Stands &amp; Enterta-WUO_TRK'!A29),_xlfn.TEXTAFTER('6 - TV Stands &amp; Enterta-WUO_ERR'!A29, ":"))))</f>
        <v/>
      </c>
    </row>
    <row r="30">
      <c r="A30" s="39">
        <f>IF('6 - TV Stands &amp; Enterta'!B30 = "", "", IF('6 - TV Stands &amp; Enterta-WUO_ERR'!A30 = "", "Validated", HYPERLINK("#" &amp; ADDRESS(30, '6 - TV Stands &amp; Enterta-WUO_TRK'!A30),_xlfn.TEXTAFTER('6 - TV Stands &amp; Enterta-WUO_ERR'!A30, ":"))))</f>
        <v/>
      </c>
    </row>
    <row r="31">
      <c r="A31" s="39">
        <f>IF('6 - TV Stands &amp; Enterta'!B31 = "", "", IF('6 - TV Stands &amp; Enterta-WUO_ERR'!A31 = "", "Validated", HYPERLINK("#" &amp; ADDRESS(31, '6 - TV Stands &amp; Enterta-WUO_TRK'!A31),_xlfn.TEXTAFTER('6 - TV Stands &amp; Enterta-WUO_ERR'!A31, ":"))))</f>
        <v/>
      </c>
    </row>
    <row r="32">
      <c r="A32" s="39">
        <f>IF('6 - TV Stands &amp; Enterta'!B32 = "", "", IF('6 - TV Stands &amp; Enterta-WUO_ERR'!A32 = "", "Validated", HYPERLINK("#" &amp; ADDRESS(32, '6 - TV Stands &amp; Enterta-WUO_TRK'!A32),_xlfn.TEXTAFTER('6 - TV Stands &amp; Enterta-WUO_ERR'!A32, ":"))))</f>
        <v/>
      </c>
    </row>
    <row r="33">
      <c r="A33" s="39">
        <f>IF('6 - TV Stands &amp; Enterta'!B33 = "", "", IF('6 - TV Stands &amp; Enterta-WUO_ERR'!A33 = "", "Validated", HYPERLINK("#" &amp; ADDRESS(33, '6 - TV Stands &amp; Enterta-WUO_TRK'!A33),_xlfn.TEXTAFTER('6 - TV Stands &amp; Enterta-WUO_ERR'!A33, ":"))))</f>
        <v/>
      </c>
    </row>
    <row r="34">
      <c r="A34" s="39">
        <f>IF('6 - TV Stands &amp; Enterta'!B34 = "", "", IF('6 - TV Stands &amp; Enterta-WUO_ERR'!A34 = "", "Validated", HYPERLINK("#" &amp; ADDRESS(34, '6 - TV Stands &amp; Enterta-WUO_TRK'!A34),_xlfn.TEXTAFTER('6 - TV Stands &amp; Enterta-WUO_ERR'!A34, ":"))))</f>
        <v/>
      </c>
    </row>
    <row r="35">
      <c r="A35" s="39">
        <f>IF('6 - TV Stands &amp; Enterta'!B35 = "", "", IF('6 - TV Stands &amp; Enterta-WUO_ERR'!A35 = "", "Validated", HYPERLINK("#" &amp; ADDRESS(35, '6 - TV Stands &amp; Enterta-WUO_TRK'!A35),_xlfn.TEXTAFTER('6 - TV Stands &amp; Enterta-WUO_ERR'!A35, ":"))))</f>
        <v/>
      </c>
    </row>
    <row r="36">
      <c r="A36" s="39">
        <f>IF('6 - TV Stands &amp; Enterta'!B36 = "", "", IF('6 - TV Stands &amp; Enterta-WUO_ERR'!A36 = "", "Validated", HYPERLINK("#" &amp; ADDRESS(36, '6 - TV Stands &amp; Enterta-WUO_TRK'!A36),_xlfn.TEXTAFTER('6 - TV Stands &amp; Enterta-WUO_ERR'!A36, ":"))))</f>
        <v/>
      </c>
    </row>
    <row r="37">
      <c r="A37" s="39">
        <f>IF('6 - TV Stands &amp; Enterta'!B37 = "", "", IF('6 - TV Stands &amp; Enterta-WUO_ERR'!A37 = "", "Validated", HYPERLINK("#" &amp; ADDRESS(37, '6 - TV Stands &amp; Enterta-WUO_TRK'!A37),_xlfn.TEXTAFTER('6 - TV Stands &amp; Enterta-WUO_ERR'!A37, ":"))))</f>
        <v/>
      </c>
    </row>
    <row r="38">
      <c r="A38" s="39">
        <f>IF('6 - TV Stands &amp; Enterta'!B38 = "", "", IF('6 - TV Stands &amp; Enterta-WUO_ERR'!A38 = "", "Validated", HYPERLINK("#" &amp; ADDRESS(38, '6 - TV Stands &amp; Enterta-WUO_TRK'!A38),_xlfn.TEXTAFTER('6 - TV Stands &amp; Enterta-WUO_ERR'!A38, ":"))))</f>
        <v/>
      </c>
    </row>
    <row r="39">
      <c r="A39" s="39">
        <f>IF('6 - TV Stands &amp; Enterta'!B39 = "", "", IF('6 - TV Stands &amp; Enterta-WUO_ERR'!A39 = "", "Validated", HYPERLINK("#" &amp; ADDRESS(39, '6 - TV Stands &amp; Enterta-WUO_TRK'!A39),_xlfn.TEXTAFTER('6 - TV Stands &amp; Enterta-WUO_ERR'!A39, ":"))))</f>
        <v/>
      </c>
    </row>
    <row r="40">
      <c r="A40" s="39">
        <f>IF('6 - TV Stands &amp; Enterta'!B40 = "", "", IF('6 - TV Stands &amp; Enterta-WUO_ERR'!A40 = "", "Validated", HYPERLINK("#" &amp; ADDRESS(40, '6 - TV Stands &amp; Enterta-WUO_TRK'!A40),_xlfn.TEXTAFTER('6 - TV Stands &amp; Enterta-WUO_ERR'!A40, ":"))))</f>
        <v/>
      </c>
    </row>
    <row r="41">
      <c r="A41" s="39">
        <f>IF('6 - TV Stands &amp; Enterta'!B41 = "", "", IF('6 - TV Stands &amp; Enterta-WUO_ERR'!A41 = "", "Validated", HYPERLINK("#" &amp; ADDRESS(41, '6 - TV Stands &amp; Enterta-WUO_TRK'!A41),_xlfn.TEXTAFTER('6 - TV Stands &amp; Enterta-WUO_ERR'!A41, ":"))))</f>
        <v/>
      </c>
    </row>
    <row r="42">
      <c r="A42" s="39">
        <f>IF('6 - TV Stands &amp; Enterta'!B42 = "", "", IF('6 - TV Stands &amp; Enterta-WUO_ERR'!A42 = "", "Validated", HYPERLINK("#" &amp; ADDRESS(42, '6 - TV Stands &amp; Enterta-WUO_TRK'!A42),_xlfn.TEXTAFTER('6 - TV Stands &amp; Enterta-WUO_ERR'!A42, ":"))))</f>
        <v/>
      </c>
    </row>
    <row r="43">
      <c r="A43" s="39">
        <f>IF('6 - TV Stands &amp; Enterta'!B43 = "", "", IF('6 - TV Stands &amp; Enterta-WUO_ERR'!A43 = "", "Validated", HYPERLINK("#" &amp; ADDRESS(43, '6 - TV Stands &amp; Enterta-WUO_TRK'!A43),_xlfn.TEXTAFTER('6 - TV Stands &amp; Enterta-WUO_ERR'!A43, ":"))))</f>
        <v/>
      </c>
    </row>
    <row r="44">
      <c r="A44" s="39">
        <f>IF('6 - TV Stands &amp; Enterta'!B44 = "", "", IF('6 - TV Stands &amp; Enterta-WUO_ERR'!A44 = "", "Validated", HYPERLINK("#" &amp; ADDRESS(44, '6 - TV Stands &amp; Enterta-WUO_TRK'!A44),_xlfn.TEXTAFTER('6 - TV Stands &amp; Enterta-WUO_ERR'!A44, ":"))))</f>
        <v/>
      </c>
    </row>
    <row r="45">
      <c r="A45" s="39">
        <f>IF('6 - TV Stands &amp; Enterta'!B45 = "", "", IF('6 - TV Stands &amp; Enterta-WUO_ERR'!A45 = "", "Validated", HYPERLINK("#" &amp; ADDRESS(45, '6 - TV Stands &amp; Enterta-WUO_TRK'!A45),_xlfn.TEXTAFTER('6 - TV Stands &amp; Enterta-WUO_ERR'!A45, ":"))))</f>
        <v/>
      </c>
    </row>
    <row r="46">
      <c r="A46" s="39">
        <f>IF('6 - TV Stands &amp; Enterta'!B46 = "", "", IF('6 - TV Stands &amp; Enterta-WUO_ERR'!A46 = "", "Validated", HYPERLINK("#" &amp; ADDRESS(46, '6 - TV Stands &amp; Enterta-WUO_TRK'!A46),_xlfn.TEXTAFTER('6 - TV Stands &amp; Enterta-WUO_ERR'!A46, ":"))))</f>
        <v/>
      </c>
    </row>
    <row r="47">
      <c r="A47" s="39">
        <f>IF('6 - TV Stands &amp; Enterta'!B47 = "", "", IF('6 - TV Stands &amp; Enterta-WUO_ERR'!A47 = "", "Validated", HYPERLINK("#" &amp; ADDRESS(47, '6 - TV Stands &amp; Enterta-WUO_TRK'!A47),_xlfn.TEXTAFTER('6 - TV Stands &amp; Enterta-WUO_ERR'!A47, ":"))))</f>
        <v/>
      </c>
    </row>
    <row r="48">
      <c r="A48" s="39">
        <f>IF('6 - TV Stands &amp; Enterta'!B48 = "", "", IF('6 - TV Stands &amp; Enterta-WUO_ERR'!A48 = "", "Validated", HYPERLINK("#" &amp; ADDRESS(48, '6 - TV Stands &amp; Enterta-WUO_TRK'!A48),_xlfn.TEXTAFTER('6 - TV Stands &amp; Enterta-WUO_ERR'!A48, ":"))))</f>
        <v/>
      </c>
    </row>
    <row r="49">
      <c r="A49" s="39">
        <f>IF('6 - TV Stands &amp; Enterta'!B49 = "", "", IF('6 - TV Stands &amp; Enterta-WUO_ERR'!A49 = "", "Validated", HYPERLINK("#" &amp; ADDRESS(49, '6 - TV Stands &amp; Enterta-WUO_TRK'!A49),_xlfn.TEXTAFTER('6 - TV Stands &amp; Enterta-WUO_ERR'!A49, ":"))))</f>
        <v/>
      </c>
    </row>
    <row r="50">
      <c r="A50" s="39">
        <f>IF('6 - TV Stands &amp; Enterta'!B50 = "", "", IF('6 - TV Stands &amp; Enterta-WUO_ERR'!A50 = "", "Validated", HYPERLINK("#" &amp; ADDRESS(50, '6 - TV Stands &amp; Enterta-WUO_TRK'!A50),_xlfn.TEXTAFTER('6 - TV Stands &amp; Enterta-WUO_ERR'!A50, ":"))))</f>
        <v/>
      </c>
    </row>
    <row r="51">
      <c r="A51" s="39">
        <f>IF('6 - TV Stands &amp; Enterta'!B51 = "", "", IF('6 - TV Stands &amp; Enterta-WUO_ERR'!A51 = "", "Validated", HYPERLINK("#" &amp; ADDRESS(51, '6 - TV Stands &amp; Enterta-WUO_TRK'!A51),_xlfn.TEXTAFTER('6 - TV Stands &amp; Enterta-WUO_ERR'!A51, ":"))))</f>
        <v/>
      </c>
    </row>
    <row r="52">
      <c r="A52" s="39">
        <f>IF('6 - TV Stands &amp; Enterta'!B52 = "", "", IF('6 - TV Stands &amp; Enterta-WUO_ERR'!A52 = "", "Validated", HYPERLINK("#" &amp; ADDRESS(52, '6 - TV Stands &amp; Enterta-WUO_TRK'!A52),_xlfn.TEXTAFTER('6 - TV Stands &amp; Enterta-WUO_ERR'!A52, ":"))))</f>
        <v/>
      </c>
    </row>
    <row r="53">
      <c r="A53" s="39">
        <f>IF('6 - TV Stands &amp; Enterta'!B53 = "", "", IF('6 - TV Stands &amp; Enterta-WUO_ERR'!A53 = "", "Validated", HYPERLINK("#" &amp; ADDRESS(53, '6 - TV Stands &amp; Enterta-WUO_TRK'!A53),_xlfn.TEXTAFTER('6 - TV Stands &amp; Enterta-WUO_ERR'!A53, ":"))))</f>
        <v/>
      </c>
    </row>
    <row r="54">
      <c r="A54" s="39">
        <f>IF('6 - TV Stands &amp; Enterta'!B54 = "", "", IF('6 - TV Stands &amp; Enterta-WUO_ERR'!A54 = "", "Validated", HYPERLINK("#" &amp; ADDRESS(54, '6 - TV Stands &amp; Enterta-WUO_TRK'!A54),_xlfn.TEXTAFTER('6 - TV Stands &amp; Enterta-WUO_ERR'!A54, ":"))))</f>
        <v/>
      </c>
    </row>
    <row r="55">
      <c r="A55" s="39">
        <f>IF('6 - TV Stands &amp; Enterta'!B55 = "", "", IF('6 - TV Stands &amp; Enterta-WUO_ERR'!A55 = "", "Validated", HYPERLINK("#" &amp; ADDRESS(55, '6 - TV Stands &amp; Enterta-WUO_TRK'!A55),_xlfn.TEXTAFTER('6 - TV Stands &amp; Enterta-WUO_ERR'!A55, ":"))))</f>
        <v/>
      </c>
    </row>
    <row r="56">
      <c r="A56" s="39">
        <f>IF('6 - TV Stands &amp; Enterta'!B56 = "", "", IF('6 - TV Stands &amp; Enterta-WUO_ERR'!A56 = "", "Validated", HYPERLINK("#" &amp; ADDRESS(56, '6 - TV Stands &amp; Enterta-WUO_TRK'!A56),_xlfn.TEXTAFTER('6 - TV Stands &amp; Enterta-WUO_ERR'!A56, ":"))))</f>
        <v/>
      </c>
    </row>
    <row r="57">
      <c r="A57" s="39">
        <f>IF('6 - TV Stands &amp; Enterta'!B57 = "", "", IF('6 - TV Stands &amp; Enterta-WUO_ERR'!A57 = "", "Validated", HYPERLINK("#" &amp; ADDRESS(57, '6 - TV Stands &amp; Enterta-WUO_TRK'!A57),_xlfn.TEXTAFTER('6 - TV Stands &amp; Enterta-WUO_ERR'!A57, ":"))))</f>
        <v/>
      </c>
    </row>
    <row r="58">
      <c r="A58" s="39">
        <f>IF('6 - TV Stands &amp; Enterta'!B58 = "", "", IF('6 - TV Stands &amp; Enterta-WUO_ERR'!A58 = "", "Validated", HYPERLINK("#" &amp; ADDRESS(58, '6 - TV Stands &amp; Enterta-WUO_TRK'!A58),_xlfn.TEXTAFTER('6 - TV Stands &amp; Enterta-WUO_ERR'!A58, ":"))))</f>
        <v/>
      </c>
    </row>
    <row r="59">
      <c r="A59" s="39">
        <f>IF('6 - TV Stands &amp; Enterta'!B59 = "", "", IF('6 - TV Stands &amp; Enterta-WUO_ERR'!A59 = "", "Validated", HYPERLINK("#" &amp; ADDRESS(59, '6 - TV Stands &amp; Enterta-WUO_TRK'!A59),_xlfn.TEXTAFTER('6 - TV Stands &amp; Enterta-WUO_ERR'!A59, ":"))))</f>
        <v/>
      </c>
    </row>
    <row r="60">
      <c r="A60" s="39">
        <f>IF('6 - TV Stands &amp; Enterta'!B60 = "", "", IF('6 - TV Stands &amp; Enterta-WUO_ERR'!A60 = "", "Validated", HYPERLINK("#" &amp; ADDRESS(60, '6 - TV Stands &amp; Enterta-WUO_TRK'!A60),_xlfn.TEXTAFTER('6 - TV Stands &amp; Enterta-WUO_ERR'!A60, ":"))))</f>
        <v/>
      </c>
    </row>
    <row r="61">
      <c r="A61" s="39">
        <f>IF('6 - TV Stands &amp; Enterta'!B61 = "", "", IF('6 - TV Stands &amp; Enterta-WUO_ERR'!A61 = "", "Validated", HYPERLINK("#" &amp; ADDRESS(61, '6 - TV Stands &amp; Enterta-WUO_TRK'!A61),_xlfn.TEXTAFTER('6 - TV Stands &amp; Enterta-WUO_ERR'!A61, ":"))))</f>
        <v/>
      </c>
    </row>
    <row r="62">
      <c r="A62" s="39">
        <f>IF('6 - TV Stands &amp; Enterta'!B62 = "", "", IF('6 - TV Stands &amp; Enterta-WUO_ERR'!A62 = "", "Validated", HYPERLINK("#" &amp; ADDRESS(62, '6 - TV Stands &amp; Enterta-WUO_TRK'!A62),_xlfn.TEXTAFTER('6 - TV Stands &amp; Enterta-WUO_ERR'!A62, ":"))))</f>
        <v/>
      </c>
    </row>
    <row r="63">
      <c r="A63" s="39">
        <f>IF('6 - TV Stands &amp; Enterta'!B63 = "", "", IF('6 - TV Stands &amp; Enterta-WUO_ERR'!A63 = "", "Validated", HYPERLINK("#" &amp; ADDRESS(63, '6 - TV Stands &amp; Enterta-WUO_TRK'!A63),_xlfn.TEXTAFTER('6 - TV Stands &amp; Enterta-WUO_ERR'!A63, ":"))))</f>
        <v/>
      </c>
    </row>
    <row r="64">
      <c r="A64" s="39">
        <f>IF('6 - TV Stands &amp; Enterta'!B64 = "", "", IF('6 - TV Stands &amp; Enterta-WUO_ERR'!A64 = "", "Validated", HYPERLINK("#" &amp; ADDRESS(64, '6 - TV Stands &amp; Enterta-WUO_TRK'!A64),_xlfn.TEXTAFTER('6 - TV Stands &amp; Enterta-WUO_ERR'!A64, ":"))))</f>
        <v/>
      </c>
    </row>
    <row r="65">
      <c r="A65" s="39">
        <f>IF('6 - TV Stands &amp; Enterta'!B65 = "", "", IF('6 - TV Stands &amp; Enterta-WUO_ERR'!A65 = "", "Validated", HYPERLINK("#" &amp; ADDRESS(65, '6 - TV Stands &amp; Enterta-WUO_TRK'!A65),_xlfn.TEXTAFTER('6 - TV Stands &amp; Enterta-WUO_ERR'!A65, ":"))))</f>
        <v/>
      </c>
    </row>
    <row r="66">
      <c r="A66" s="39">
        <f>IF('6 - TV Stands &amp; Enterta'!B66 = "", "", IF('6 - TV Stands &amp; Enterta-WUO_ERR'!A66 = "", "Validated", HYPERLINK("#" &amp; ADDRESS(66, '6 - TV Stands &amp; Enterta-WUO_TRK'!A66),_xlfn.TEXTAFTER('6 - TV Stands &amp; Enterta-WUO_ERR'!A66, ":"))))</f>
        <v/>
      </c>
    </row>
    <row r="67">
      <c r="A67" s="39">
        <f>IF('6 - TV Stands &amp; Enterta'!B67 = "", "", IF('6 - TV Stands &amp; Enterta-WUO_ERR'!A67 = "", "Validated", HYPERLINK("#" &amp; ADDRESS(67, '6 - TV Stands &amp; Enterta-WUO_TRK'!A67),_xlfn.TEXTAFTER('6 - TV Stands &amp; Enterta-WUO_ERR'!A67, ":"))))</f>
        <v/>
      </c>
    </row>
    <row r="68">
      <c r="A68" s="39">
        <f>IF('6 - TV Stands &amp; Enterta'!B68 = "", "", IF('6 - TV Stands &amp; Enterta-WUO_ERR'!A68 = "", "Validated", HYPERLINK("#" &amp; ADDRESS(68, '6 - TV Stands &amp; Enterta-WUO_TRK'!A68),_xlfn.TEXTAFTER('6 - TV Stands &amp; Enterta-WUO_ERR'!A68, ":"))))</f>
        <v/>
      </c>
    </row>
    <row r="69">
      <c r="A69" s="39">
        <f>IF('6 - TV Stands &amp; Enterta'!B69 = "", "", IF('6 - TV Stands &amp; Enterta-WUO_ERR'!A69 = "", "Validated", HYPERLINK("#" &amp; ADDRESS(69, '6 - TV Stands &amp; Enterta-WUO_TRK'!A69),_xlfn.TEXTAFTER('6 - TV Stands &amp; Enterta-WUO_ERR'!A69, ":"))))</f>
        <v/>
      </c>
    </row>
    <row r="70">
      <c r="A70" s="39">
        <f>IF('6 - TV Stands &amp; Enterta'!B70 = "", "", IF('6 - TV Stands &amp; Enterta-WUO_ERR'!A70 = "", "Validated", HYPERLINK("#" &amp; ADDRESS(70, '6 - TV Stands &amp; Enterta-WUO_TRK'!A70),_xlfn.TEXTAFTER('6 - TV Stands &amp; Enterta-WUO_ERR'!A70, ":"))))</f>
        <v/>
      </c>
    </row>
    <row r="71">
      <c r="A71" s="39">
        <f>IF('6 - TV Stands &amp; Enterta'!B71 = "", "", IF('6 - TV Stands &amp; Enterta-WUO_ERR'!A71 = "", "Validated", HYPERLINK("#" &amp; ADDRESS(71, '6 - TV Stands &amp; Enterta-WUO_TRK'!A71),_xlfn.TEXTAFTER('6 - TV Stands &amp; Enterta-WUO_ERR'!A71, ":"))))</f>
        <v/>
      </c>
    </row>
    <row r="72">
      <c r="A72" s="39">
        <f>IF('6 - TV Stands &amp; Enterta'!B72 = "", "", IF('6 - TV Stands &amp; Enterta-WUO_ERR'!A72 = "", "Validated", HYPERLINK("#" &amp; ADDRESS(72, '6 - TV Stands &amp; Enterta-WUO_TRK'!A72),_xlfn.TEXTAFTER('6 - TV Stands &amp; Enterta-WUO_ERR'!A72, ":"))))</f>
        <v/>
      </c>
    </row>
    <row r="73">
      <c r="A73" s="39">
        <f>IF('6 - TV Stands &amp; Enterta'!B73 = "", "", IF('6 - TV Stands &amp; Enterta-WUO_ERR'!A73 = "", "Validated", HYPERLINK("#" &amp; ADDRESS(73, '6 - TV Stands &amp; Enterta-WUO_TRK'!A73),_xlfn.TEXTAFTER('6 - TV Stands &amp; Enterta-WUO_ERR'!A73, ":"))))</f>
        <v/>
      </c>
    </row>
    <row r="74">
      <c r="A74" s="39">
        <f>IF('6 - TV Stands &amp; Enterta'!B74 = "", "", IF('6 - TV Stands &amp; Enterta-WUO_ERR'!A74 = "", "Validated", HYPERLINK("#" &amp; ADDRESS(74, '6 - TV Stands &amp; Enterta-WUO_TRK'!A74),_xlfn.TEXTAFTER('6 - TV Stands &amp; Enterta-WUO_ERR'!A74, ":"))))</f>
        <v/>
      </c>
    </row>
    <row r="75">
      <c r="A75" s="39">
        <f>IF('6 - TV Stands &amp; Enterta'!B75 = "", "", IF('6 - TV Stands &amp; Enterta-WUO_ERR'!A75 = "", "Validated", HYPERLINK("#" &amp; ADDRESS(75, '6 - TV Stands &amp; Enterta-WUO_TRK'!A75),_xlfn.TEXTAFTER('6 - TV Stands &amp; Enterta-WUO_ERR'!A75, ":"))))</f>
        <v/>
      </c>
    </row>
    <row r="76">
      <c r="A76" s="39">
        <f>IF('6 - TV Stands &amp; Enterta'!B76 = "", "", IF('6 - TV Stands &amp; Enterta-WUO_ERR'!A76 = "", "Validated", HYPERLINK("#" &amp; ADDRESS(76, '6 - TV Stands &amp; Enterta-WUO_TRK'!A76),_xlfn.TEXTAFTER('6 - TV Stands &amp; Enterta-WUO_ERR'!A76, ":"))))</f>
        <v/>
      </c>
    </row>
    <row r="77">
      <c r="A77" s="39">
        <f>IF('6 - TV Stands &amp; Enterta'!B77 = "", "", IF('6 - TV Stands &amp; Enterta-WUO_ERR'!A77 = "", "Validated", HYPERLINK("#" &amp; ADDRESS(77, '6 - TV Stands &amp; Enterta-WUO_TRK'!A77),_xlfn.TEXTAFTER('6 - TV Stands &amp; Enterta-WUO_ERR'!A77, ":"))))</f>
        <v/>
      </c>
    </row>
    <row r="78">
      <c r="A78" s="39">
        <f>IF('6 - TV Stands &amp; Enterta'!B78 = "", "", IF('6 - TV Stands &amp; Enterta-WUO_ERR'!A78 = "", "Validated", HYPERLINK("#" &amp; ADDRESS(78, '6 - TV Stands &amp; Enterta-WUO_TRK'!A78),_xlfn.TEXTAFTER('6 - TV Stands &amp; Enterta-WUO_ERR'!A78, ":"))))</f>
        <v/>
      </c>
    </row>
    <row r="79">
      <c r="A79" s="39">
        <f>IF('6 - TV Stands &amp; Enterta'!B79 = "", "", IF('6 - TV Stands &amp; Enterta-WUO_ERR'!A79 = "", "Validated", HYPERLINK("#" &amp; ADDRESS(79, '6 - TV Stands &amp; Enterta-WUO_TRK'!A79),_xlfn.TEXTAFTER('6 - TV Stands &amp; Enterta-WUO_ERR'!A79, ":"))))</f>
        <v/>
      </c>
    </row>
    <row r="80">
      <c r="A80" s="39">
        <f>IF('6 - TV Stands &amp; Enterta'!B80 = "", "", IF('6 - TV Stands &amp; Enterta-WUO_ERR'!A80 = "", "Validated", HYPERLINK("#" &amp; ADDRESS(80, '6 - TV Stands &amp; Enterta-WUO_TRK'!A80),_xlfn.TEXTAFTER('6 - TV Stands &amp; Enterta-WUO_ERR'!A80, ":"))))</f>
        <v/>
      </c>
    </row>
    <row r="81">
      <c r="A81" s="39">
        <f>IF('6 - TV Stands &amp; Enterta'!B81 = "", "", IF('6 - TV Stands &amp; Enterta-WUO_ERR'!A81 = "", "Validated", HYPERLINK("#" &amp; ADDRESS(81, '6 - TV Stands &amp; Enterta-WUO_TRK'!A81),_xlfn.TEXTAFTER('6 - TV Stands &amp; Enterta-WUO_ERR'!A81, ":"))))</f>
        <v/>
      </c>
    </row>
    <row r="82">
      <c r="A82" s="39">
        <f>IF('6 - TV Stands &amp; Enterta'!B82 = "", "", IF('6 - TV Stands &amp; Enterta-WUO_ERR'!A82 = "", "Validated", HYPERLINK("#" &amp; ADDRESS(82, '6 - TV Stands &amp; Enterta-WUO_TRK'!A82),_xlfn.TEXTAFTER('6 - TV Stands &amp; Enterta-WUO_ERR'!A82, ":"))))</f>
        <v/>
      </c>
    </row>
    <row r="83">
      <c r="A83" s="39">
        <f>IF('6 - TV Stands &amp; Enterta'!B83 = "", "", IF('6 - TV Stands &amp; Enterta-WUO_ERR'!A83 = "", "Validated", HYPERLINK("#" &amp; ADDRESS(83, '6 - TV Stands &amp; Enterta-WUO_TRK'!A83),_xlfn.TEXTAFTER('6 - TV Stands &amp; Enterta-WUO_ERR'!A83, ":"))))</f>
        <v/>
      </c>
    </row>
    <row r="84">
      <c r="A84" s="39">
        <f>IF('6 - TV Stands &amp; Enterta'!B84 = "", "", IF('6 - TV Stands &amp; Enterta-WUO_ERR'!A84 = "", "Validated", HYPERLINK("#" &amp; ADDRESS(84, '6 - TV Stands &amp; Enterta-WUO_TRK'!A84),_xlfn.TEXTAFTER('6 - TV Stands &amp; Enterta-WUO_ERR'!A84, ":"))))</f>
        <v/>
      </c>
    </row>
    <row r="85">
      <c r="A85" s="39">
        <f>IF('6 - TV Stands &amp; Enterta'!B85 = "", "", IF('6 - TV Stands &amp; Enterta-WUO_ERR'!A85 = "", "Validated", HYPERLINK("#" &amp; ADDRESS(85, '6 - TV Stands &amp; Enterta-WUO_TRK'!A85),_xlfn.TEXTAFTER('6 - TV Stands &amp; Enterta-WUO_ERR'!A85, ":"))))</f>
        <v/>
      </c>
    </row>
    <row r="86">
      <c r="A86" s="39">
        <f>IF('6 - TV Stands &amp; Enterta'!B86 = "", "", IF('6 - TV Stands &amp; Enterta-WUO_ERR'!A86 = "", "Validated", HYPERLINK("#" &amp; ADDRESS(86, '6 - TV Stands &amp; Enterta-WUO_TRK'!A86),_xlfn.TEXTAFTER('6 - TV Stands &amp; Enterta-WUO_ERR'!A86, ":"))))</f>
        <v/>
      </c>
    </row>
    <row r="87">
      <c r="A87" s="39">
        <f>IF('6 - TV Stands &amp; Enterta'!B87 = "", "", IF('6 - TV Stands &amp; Enterta-WUO_ERR'!A87 = "", "Validated", HYPERLINK("#" &amp; ADDRESS(87, '6 - TV Stands &amp; Enterta-WUO_TRK'!A87),_xlfn.TEXTAFTER('6 - TV Stands &amp; Enterta-WUO_ERR'!A87, ":"))))</f>
        <v/>
      </c>
    </row>
    <row r="88">
      <c r="A88" s="39">
        <f>IF('6 - TV Stands &amp; Enterta'!B88 = "", "", IF('6 - TV Stands &amp; Enterta-WUO_ERR'!A88 = "", "Validated", HYPERLINK("#" &amp; ADDRESS(88, '6 - TV Stands &amp; Enterta-WUO_TRK'!A88),_xlfn.TEXTAFTER('6 - TV Stands &amp; Enterta-WUO_ERR'!A88, ":"))))</f>
        <v/>
      </c>
    </row>
    <row r="89">
      <c r="A89" s="39">
        <f>IF('6 - TV Stands &amp; Enterta'!B89 = "", "", IF('6 - TV Stands &amp; Enterta-WUO_ERR'!A89 = "", "Validated", HYPERLINK("#" &amp; ADDRESS(89, '6 - TV Stands &amp; Enterta-WUO_TRK'!A89),_xlfn.TEXTAFTER('6 - TV Stands &amp; Enterta-WUO_ERR'!A89, ":"))))</f>
        <v/>
      </c>
    </row>
    <row r="90">
      <c r="A90" s="39">
        <f>IF('6 - TV Stands &amp; Enterta'!B90 = "", "", IF('6 - TV Stands &amp; Enterta-WUO_ERR'!A90 = "", "Validated", HYPERLINK("#" &amp; ADDRESS(90, '6 - TV Stands &amp; Enterta-WUO_TRK'!A90),_xlfn.TEXTAFTER('6 - TV Stands &amp; Enterta-WUO_ERR'!A90, ":"))))</f>
        <v/>
      </c>
    </row>
    <row r="91">
      <c r="A91" s="39">
        <f>IF('6 - TV Stands &amp; Enterta'!B91 = "", "", IF('6 - TV Stands &amp; Enterta-WUO_ERR'!A91 = "", "Validated", HYPERLINK("#" &amp; ADDRESS(91, '6 - TV Stands &amp; Enterta-WUO_TRK'!A91),_xlfn.TEXTAFTER('6 - TV Stands &amp; Enterta-WUO_ERR'!A91, ":"))))</f>
        <v/>
      </c>
    </row>
    <row r="92">
      <c r="A92" s="39">
        <f>IF('6 - TV Stands &amp; Enterta'!B92 = "", "", IF('6 - TV Stands &amp; Enterta-WUO_ERR'!A92 = "", "Validated", HYPERLINK("#" &amp; ADDRESS(92, '6 - TV Stands &amp; Enterta-WUO_TRK'!A92),_xlfn.TEXTAFTER('6 - TV Stands &amp; Enterta-WUO_ERR'!A92, ":"))))</f>
        <v/>
      </c>
    </row>
    <row r="93">
      <c r="A93" s="39">
        <f>IF('6 - TV Stands &amp; Enterta'!B93 = "", "", IF('6 - TV Stands &amp; Enterta-WUO_ERR'!A93 = "", "Validated", HYPERLINK("#" &amp; ADDRESS(93, '6 - TV Stands &amp; Enterta-WUO_TRK'!A93),_xlfn.TEXTAFTER('6 - TV Stands &amp; Enterta-WUO_ERR'!A93, ":"))))</f>
        <v/>
      </c>
    </row>
    <row r="94">
      <c r="A94" s="39">
        <f>IF('6 - TV Stands &amp; Enterta'!B94 = "", "", IF('6 - TV Stands &amp; Enterta-WUO_ERR'!A94 = "", "Validated", HYPERLINK("#" &amp; ADDRESS(94, '6 - TV Stands &amp; Enterta-WUO_TRK'!A94),_xlfn.TEXTAFTER('6 - TV Stands &amp; Enterta-WUO_ERR'!A94, ":"))))</f>
        <v/>
      </c>
    </row>
    <row r="95">
      <c r="A95" s="39">
        <f>IF('6 - TV Stands &amp; Enterta'!B95 = "", "", IF('6 - TV Stands &amp; Enterta-WUO_ERR'!A95 = "", "Validated", HYPERLINK("#" &amp; ADDRESS(95, '6 - TV Stands &amp; Enterta-WUO_TRK'!A95),_xlfn.TEXTAFTER('6 - TV Stands &amp; Enterta-WUO_ERR'!A95, ":"))))</f>
        <v/>
      </c>
    </row>
    <row r="96">
      <c r="A96" s="39">
        <f>IF('6 - TV Stands &amp; Enterta'!B96 = "", "", IF('6 - TV Stands &amp; Enterta-WUO_ERR'!A96 = "", "Validated", HYPERLINK("#" &amp; ADDRESS(96, '6 - TV Stands &amp; Enterta-WUO_TRK'!A96),_xlfn.TEXTAFTER('6 - TV Stands &amp; Enterta-WUO_ERR'!A96, ":"))))</f>
        <v/>
      </c>
    </row>
    <row r="97">
      <c r="A97" s="39">
        <f>IF('6 - TV Stands &amp; Enterta'!B97 = "", "", IF('6 - TV Stands &amp; Enterta-WUO_ERR'!A97 = "", "Validated", HYPERLINK("#" &amp; ADDRESS(97, '6 - TV Stands &amp; Enterta-WUO_TRK'!A97),_xlfn.TEXTAFTER('6 - TV Stands &amp; Enterta-WUO_ERR'!A97, ":"))))</f>
        <v/>
      </c>
    </row>
    <row r="98">
      <c r="A98" s="39">
        <f>IF('6 - TV Stands &amp; Enterta'!B98 = "", "", IF('6 - TV Stands &amp; Enterta-WUO_ERR'!A98 = "", "Validated", HYPERLINK("#" &amp; ADDRESS(98, '6 - TV Stands &amp; Enterta-WUO_TRK'!A98),_xlfn.TEXTAFTER('6 - TV Stands &amp; Enterta-WUO_ERR'!A98, ":"))))</f>
        <v/>
      </c>
    </row>
    <row r="99">
      <c r="A99" s="39">
        <f>IF('6 - TV Stands &amp; Enterta'!B99 = "", "", IF('6 - TV Stands &amp; Enterta-WUO_ERR'!A99 = "", "Validated", HYPERLINK("#" &amp; ADDRESS(99, '6 - TV Stands &amp; Enterta-WUO_TRK'!A99),_xlfn.TEXTAFTER('6 - TV Stands &amp; Enterta-WUO_ERR'!A99, ":"))))</f>
        <v/>
      </c>
    </row>
    <row r="100">
      <c r="A100" s="39">
        <f>IF('6 - TV Stands &amp; Enterta'!B100 = "", "", IF('6 - TV Stands &amp; Enterta-WUO_ERR'!A100 = "", "Validated", HYPERLINK("#" &amp; ADDRESS(100, '6 - TV Stands &amp; Enterta-WUO_TRK'!A100),_xlfn.TEXTAFTER('6 - TV Stands &amp; Enterta-WUO_ERR'!A100, ":"))))</f>
        <v/>
      </c>
    </row>
    <row r="101">
      <c r="A101" s="39">
        <f>IF('6 - TV Stands &amp; Enterta'!B101 = "", "", IF('6 - TV Stands &amp; Enterta-WUO_ERR'!A101 = "", "Validated", HYPERLINK("#" &amp; ADDRESS(101, '6 - TV Stands &amp; Enterta-WUO_TRK'!A101),_xlfn.TEXTAFTER('6 - TV Stands &amp; Enterta-WUO_ERR'!A101, ":"))))</f>
        <v/>
      </c>
    </row>
    <row r="102">
      <c r="A102" s="39">
        <f>IF('6 - TV Stands &amp; Enterta'!B102 = "", "", IF('6 - TV Stands &amp; Enterta-WUO_ERR'!A102 = "", "Validated", HYPERLINK("#" &amp; ADDRESS(102, '6 - TV Stands &amp; Enterta-WUO_TRK'!A102),_xlfn.TEXTAFTER('6 - TV Stands &amp; Enterta-WUO_ERR'!A102, ":"))))</f>
        <v/>
      </c>
    </row>
    <row r="103">
      <c r="A103" s="39">
        <f>IF('6 - TV Stands &amp; Enterta'!B103 = "", "", IF('6 - TV Stands &amp; Enterta-WUO_ERR'!A103 = "", "Validated", HYPERLINK("#" &amp; ADDRESS(103, '6 - TV Stands &amp; Enterta-WUO_TRK'!A103),_xlfn.TEXTAFTER('6 - TV Stands &amp; Enterta-WUO_ERR'!A103, ":"))))</f>
        <v/>
      </c>
    </row>
    <row r="104">
      <c r="A104" s="39">
        <f>IF('6 - TV Stands &amp; Enterta'!B104 = "", "", IF('6 - TV Stands &amp; Enterta-WUO_ERR'!A104 = "", "Validated", HYPERLINK("#" &amp; ADDRESS(104, '6 - TV Stands &amp; Enterta-WUO_TRK'!A104),_xlfn.TEXTAFTER('6 - TV Stands &amp; Enterta-WUO_ERR'!A104, ":"))))</f>
        <v/>
      </c>
    </row>
    <row r="105">
      <c r="A105" s="39">
        <f>IF('6 - TV Stands &amp; Enterta'!B105 = "", "", IF('6 - TV Stands &amp; Enterta-WUO_ERR'!A105 = "", "Validated", HYPERLINK("#" &amp; ADDRESS(105, '6 - TV Stands &amp; Enterta-WUO_TRK'!A105),_xlfn.TEXTAFTER('6 - TV Stands &amp; Enterta-WUO_ERR'!A105, ":"))))</f>
        <v/>
      </c>
    </row>
    <row r="106">
      <c r="A106" s="39">
        <f>IF('6 - TV Stands &amp; Enterta'!B106 = "", "", IF('6 - TV Stands &amp; Enterta-WUO_ERR'!A106 = "", "Validated", HYPERLINK("#" &amp; ADDRESS(106, '6 - TV Stands &amp; Enterta-WUO_TRK'!A106),_xlfn.TEXTAFTER('6 - TV Stands &amp; Enterta-WUO_ERR'!A106, ":"))))</f>
        <v/>
      </c>
    </row>
    <row r="107">
      <c r="A107" s="39">
        <f>IF('6 - TV Stands &amp; Enterta'!B107 = "", "", IF('6 - TV Stands &amp; Enterta-WUO_ERR'!A107 = "", "Validated", HYPERLINK("#" &amp; ADDRESS(107, '6 - TV Stands &amp; Enterta-WUO_TRK'!A107),_xlfn.TEXTAFTER('6 - TV Stands &amp; Enterta-WUO_ERR'!A107, ":"))))</f>
        <v/>
      </c>
    </row>
    <row r="108">
      <c r="A108" s="39">
        <f>IF('6 - TV Stands &amp; Enterta'!B108 = "", "", IF('6 - TV Stands &amp; Enterta-WUO_ERR'!A108 = "", "Validated", HYPERLINK("#" &amp; ADDRESS(108, '6 - TV Stands &amp; Enterta-WUO_TRK'!A108),_xlfn.TEXTAFTER('6 - TV Stands &amp; Enterta-WUO_ERR'!A108, ":"))))</f>
        <v/>
      </c>
    </row>
    <row r="109">
      <c r="A109" s="39">
        <f>IF('6 - TV Stands &amp; Enterta'!B109 = "", "", IF('6 - TV Stands &amp; Enterta-WUO_ERR'!A109 = "", "Validated", HYPERLINK("#" &amp; ADDRESS(109, '6 - TV Stands &amp; Enterta-WUO_TRK'!A109),_xlfn.TEXTAFTER('6 - TV Stands &amp; Enterta-WUO_ERR'!A109, ":"))))</f>
        <v/>
      </c>
    </row>
    <row r="110">
      <c r="A110" s="39">
        <f>IF('6 - TV Stands &amp; Enterta'!B110 = "", "", IF('6 - TV Stands &amp; Enterta-WUO_ERR'!A110 = "", "Validated", HYPERLINK("#" &amp; ADDRESS(110, '6 - TV Stands &amp; Enterta-WUO_TRK'!A110),_xlfn.TEXTAFTER('6 - TV Stands &amp; Enterta-WUO_ERR'!A110, ":"))))</f>
        <v/>
      </c>
    </row>
    <row r="111">
      <c r="A111" s="39">
        <f>IF('6 - TV Stands &amp; Enterta'!B111 = "", "", IF('6 - TV Stands &amp; Enterta-WUO_ERR'!A111 = "", "Validated", HYPERLINK("#" &amp; ADDRESS(111, '6 - TV Stands &amp; Enterta-WUO_TRK'!A111),_xlfn.TEXTAFTER('6 - TV Stands &amp; Enterta-WUO_ERR'!A111, ":"))))</f>
        <v/>
      </c>
    </row>
    <row r="112">
      <c r="A112" s="39">
        <f>IF('6 - TV Stands &amp; Enterta'!B112 = "", "", IF('6 - TV Stands &amp; Enterta-WUO_ERR'!A112 = "", "Validated", HYPERLINK("#" &amp; ADDRESS(112, '6 - TV Stands &amp; Enterta-WUO_TRK'!A112),_xlfn.TEXTAFTER('6 - TV Stands &amp; Enterta-WUO_ERR'!A112, ":"))))</f>
        <v/>
      </c>
    </row>
    <row r="113">
      <c r="A113" s="39">
        <f>IF('6 - TV Stands &amp; Enterta'!B113 = "", "", IF('6 - TV Stands &amp; Enterta-WUO_ERR'!A113 = "", "Validated", HYPERLINK("#" &amp; ADDRESS(113, '6 - TV Stands &amp; Enterta-WUO_TRK'!A113),_xlfn.TEXTAFTER('6 - TV Stands &amp; Enterta-WUO_ERR'!A113, ":"))))</f>
        <v/>
      </c>
    </row>
    <row r="114">
      <c r="A114" s="39">
        <f>IF('6 - TV Stands &amp; Enterta'!B114 = "", "", IF('6 - TV Stands &amp; Enterta-WUO_ERR'!A114 = "", "Validated", HYPERLINK("#" &amp; ADDRESS(114, '6 - TV Stands &amp; Enterta-WUO_TRK'!A114),_xlfn.TEXTAFTER('6 - TV Stands &amp; Enterta-WUO_ERR'!A114, ":"))))</f>
        <v/>
      </c>
    </row>
    <row r="115">
      <c r="A115" s="39">
        <f>IF('6 - TV Stands &amp; Enterta'!B115 = "", "", IF('6 - TV Stands &amp; Enterta-WUO_ERR'!A115 = "", "Validated", HYPERLINK("#" &amp; ADDRESS(115, '6 - TV Stands &amp; Enterta-WUO_TRK'!A115),_xlfn.TEXTAFTER('6 - TV Stands &amp; Enterta-WUO_ERR'!A115, ":"))))</f>
        <v/>
      </c>
    </row>
    <row r="116">
      <c r="A116" s="39">
        <f>IF('6 - TV Stands &amp; Enterta'!B116 = "", "", IF('6 - TV Stands &amp; Enterta-WUO_ERR'!A116 = "", "Validated", HYPERLINK("#" &amp; ADDRESS(116, '6 - TV Stands &amp; Enterta-WUO_TRK'!A116),_xlfn.TEXTAFTER('6 - TV Stands &amp; Enterta-WUO_ERR'!A116, ":"))))</f>
        <v/>
      </c>
    </row>
    <row r="117">
      <c r="A117" s="39">
        <f>IF('6 - TV Stands &amp; Enterta'!B117 = "", "", IF('6 - TV Stands &amp; Enterta-WUO_ERR'!A117 = "", "Validated", HYPERLINK("#" &amp; ADDRESS(117, '6 - TV Stands &amp; Enterta-WUO_TRK'!A117),_xlfn.TEXTAFTER('6 - TV Stands &amp; Enterta-WUO_ERR'!A117, ":"))))</f>
        <v/>
      </c>
    </row>
    <row r="118">
      <c r="A118" s="39">
        <f>IF('6 - TV Stands &amp; Enterta'!B118 = "", "", IF('6 - TV Stands &amp; Enterta-WUO_ERR'!A118 = "", "Validated", HYPERLINK("#" &amp; ADDRESS(118, '6 - TV Stands &amp; Enterta-WUO_TRK'!A118),_xlfn.TEXTAFTER('6 - TV Stands &amp; Enterta-WUO_ERR'!A118, ":"))))</f>
        <v/>
      </c>
    </row>
    <row r="119">
      <c r="A119" s="39">
        <f>IF('6 - TV Stands &amp; Enterta'!B119 = "", "", IF('6 - TV Stands &amp; Enterta-WUO_ERR'!A119 = "", "Validated", HYPERLINK("#" &amp; ADDRESS(119, '6 - TV Stands &amp; Enterta-WUO_TRK'!A119),_xlfn.TEXTAFTER('6 - TV Stands &amp; Enterta-WUO_ERR'!A119, ":"))))</f>
        <v/>
      </c>
    </row>
    <row r="120">
      <c r="A120" s="39">
        <f>IF('6 - TV Stands &amp; Enterta'!B120 = "", "", IF('6 - TV Stands &amp; Enterta-WUO_ERR'!A120 = "", "Validated", HYPERLINK("#" &amp; ADDRESS(120, '6 - TV Stands &amp; Enterta-WUO_TRK'!A120),_xlfn.TEXTAFTER('6 - TV Stands &amp; Enterta-WUO_ERR'!A120, ":"))))</f>
        <v/>
      </c>
    </row>
    <row r="121">
      <c r="A121" s="39">
        <f>IF('6 - TV Stands &amp; Enterta'!B121 = "", "", IF('6 - TV Stands &amp; Enterta-WUO_ERR'!A121 = "", "Validated", HYPERLINK("#" &amp; ADDRESS(121, '6 - TV Stands &amp; Enterta-WUO_TRK'!A121),_xlfn.TEXTAFTER('6 - TV Stands &amp; Enterta-WUO_ERR'!A121, ":"))))</f>
        <v/>
      </c>
    </row>
    <row r="122">
      <c r="A122" s="39">
        <f>IF('6 - TV Stands &amp; Enterta'!B122 = "", "", IF('6 - TV Stands &amp; Enterta-WUO_ERR'!A122 = "", "Validated", HYPERLINK("#" &amp; ADDRESS(122, '6 - TV Stands &amp; Enterta-WUO_TRK'!A122),_xlfn.TEXTAFTER('6 - TV Stands &amp; Enterta-WUO_ERR'!A122, ":"))))</f>
        <v/>
      </c>
    </row>
    <row r="123">
      <c r="A123" s="39">
        <f>IF('6 - TV Stands &amp; Enterta'!B123 = "", "", IF('6 - TV Stands &amp; Enterta-WUO_ERR'!A123 = "", "Validated", HYPERLINK("#" &amp; ADDRESS(123, '6 - TV Stands &amp; Enterta-WUO_TRK'!A123),_xlfn.TEXTAFTER('6 - TV Stands &amp; Enterta-WUO_ERR'!A123, ":"))))</f>
        <v/>
      </c>
    </row>
    <row r="124">
      <c r="A124" s="39">
        <f>IF('6 - TV Stands &amp; Enterta'!B124 = "", "", IF('6 - TV Stands &amp; Enterta-WUO_ERR'!A124 = "", "Validated", HYPERLINK("#" &amp; ADDRESS(124, '6 - TV Stands &amp; Enterta-WUO_TRK'!A124),_xlfn.TEXTAFTER('6 - TV Stands &amp; Enterta-WUO_ERR'!A124, ":"))))</f>
        <v/>
      </c>
    </row>
    <row r="125">
      <c r="A125" s="39">
        <f>IF('6 - TV Stands &amp; Enterta'!B125 = "", "", IF('6 - TV Stands &amp; Enterta-WUO_ERR'!A125 = "", "Validated", HYPERLINK("#" &amp; ADDRESS(125, '6 - TV Stands &amp; Enterta-WUO_TRK'!A125),_xlfn.TEXTAFTER('6 - TV Stands &amp; Enterta-WUO_ERR'!A125, ":"))))</f>
        <v/>
      </c>
    </row>
    <row r="126">
      <c r="A126" s="39">
        <f>IF('6 - TV Stands &amp; Enterta'!B126 = "", "", IF('6 - TV Stands &amp; Enterta-WUO_ERR'!A126 = "", "Validated", HYPERLINK("#" &amp; ADDRESS(126, '6 - TV Stands &amp; Enterta-WUO_TRK'!A126),_xlfn.TEXTAFTER('6 - TV Stands &amp; Enterta-WUO_ERR'!A126, ":"))))</f>
        <v/>
      </c>
    </row>
    <row r="127">
      <c r="A127" s="39">
        <f>IF('6 - TV Stands &amp; Enterta'!B127 = "", "", IF('6 - TV Stands &amp; Enterta-WUO_ERR'!A127 = "", "Validated", HYPERLINK("#" &amp; ADDRESS(127, '6 - TV Stands &amp; Enterta-WUO_TRK'!A127),_xlfn.TEXTAFTER('6 - TV Stands &amp; Enterta-WUO_ERR'!A127, ":"))))</f>
        <v/>
      </c>
    </row>
    <row r="128">
      <c r="A128" s="39">
        <f>IF('6 - TV Stands &amp; Enterta'!B128 = "", "", IF('6 - TV Stands &amp; Enterta-WUO_ERR'!A128 = "", "Validated", HYPERLINK("#" &amp; ADDRESS(128, '6 - TV Stands &amp; Enterta-WUO_TRK'!A128),_xlfn.TEXTAFTER('6 - TV Stands &amp; Enterta-WUO_ERR'!A128, ":"))))</f>
        <v/>
      </c>
    </row>
    <row r="129">
      <c r="A129" s="39">
        <f>IF('6 - TV Stands &amp; Enterta'!B129 = "", "", IF('6 - TV Stands &amp; Enterta-WUO_ERR'!A129 = "", "Validated", HYPERLINK("#" &amp; ADDRESS(129, '6 - TV Stands &amp; Enterta-WUO_TRK'!A129),_xlfn.TEXTAFTER('6 - TV Stands &amp; Enterta-WUO_ERR'!A129, ":"))))</f>
        <v/>
      </c>
    </row>
    <row r="130">
      <c r="A130" s="39">
        <f>IF('6 - TV Stands &amp; Enterta'!B130 = "", "", IF('6 - TV Stands &amp; Enterta-WUO_ERR'!A130 = "", "Validated", HYPERLINK("#" &amp; ADDRESS(130, '6 - TV Stands &amp; Enterta-WUO_TRK'!A130),_xlfn.TEXTAFTER('6 - TV Stands &amp; Enterta-WUO_ERR'!A130, ":"))))</f>
        <v/>
      </c>
    </row>
    <row r="131">
      <c r="A131" s="39">
        <f>IF('6 - TV Stands &amp; Enterta'!B131 = "", "", IF('6 - TV Stands &amp; Enterta-WUO_ERR'!A131 = "", "Validated", HYPERLINK("#" &amp; ADDRESS(131, '6 - TV Stands &amp; Enterta-WUO_TRK'!A131),_xlfn.TEXTAFTER('6 - TV Stands &amp; Enterta-WUO_ERR'!A131, ":"))))</f>
        <v/>
      </c>
    </row>
    <row r="132">
      <c r="A132" s="39">
        <f>IF('6 - TV Stands &amp; Enterta'!B132 = "", "", IF('6 - TV Stands &amp; Enterta-WUO_ERR'!A132 = "", "Validated", HYPERLINK("#" &amp; ADDRESS(132, '6 - TV Stands &amp; Enterta-WUO_TRK'!A132),_xlfn.TEXTAFTER('6 - TV Stands &amp; Enterta-WUO_ERR'!A132, ":"))))</f>
        <v/>
      </c>
    </row>
    <row r="133">
      <c r="A133" s="39">
        <f>IF('6 - TV Stands &amp; Enterta'!B133 = "", "", IF('6 - TV Stands &amp; Enterta-WUO_ERR'!A133 = "", "Validated", HYPERLINK("#" &amp; ADDRESS(133, '6 - TV Stands &amp; Enterta-WUO_TRK'!A133),_xlfn.TEXTAFTER('6 - TV Stands &amp; Enterta-WUO_ERR'!A133, ":"))))</f>
        <v/>
      </c>
    </row>
    <row r="134">
      <c r="A134" s="39">
        <f>IF('6 - TV Stands &amp; Enterta'!B134 = "", "", IF('6 - TV Stands &amp; Enterta-WUO_ERR'!A134 = "", "Validated", HYPERLINK("#" &amp; ADDRESS(134, '6 - TV Stands &amp; Enterta-WUO_TRK'!A134),_xlfn.TEXTAFTER('6 - TV Stands &amp; Enterta-WUO_ERR'!A134, ":"))))</f>
        <v/>
      </c>
    </row>
    <row r="135">
      <c r="A135" s="39">
        <f>IF('6 - TV Stands &amp; Enterta'!B135 = "", "", IF('6 - TV Stands &amp; Enterta-WUO_ERR'!A135 = "", "Validated", HYPERLINK("#" &amp; ADDRESS(135, '6 - TV Stands &amp; Enterta-WUO_TRK'!A135),_xlfn.TEXTAFTER('6 - TV Stands &amp; Enterta-WUO_ERR'!A135, ":"))))</f>
        <v/>
      </c>
    </row>
    <row r="136">
      <c r="A136" s="39">
        <f>IF('6 - TV Stands &amp; Enterta'!B136 = "", "", IF('6 - TV Stands &amp; Enterta-WUO_ERR'!A136 = "", "Validated", HYPERLINK("#" &amp; ADDRESS(136, '6 - TV Stands &amp; Enterta-WUO_TRK'!A136),_xlfn.TEXTAFTER('6 - TV Stands &amp; Enterta-WUO_ERR'!A136, ":"))))</f>
        <v/>
      </c>
    </row>
    <row r="137">
      <c r="A137" s="39">
        <f>IF('6 - TV Stands &amp; Enterta'!B137 = "", "", IF('6 - TV Stands &amp; Enterta-WUO_ERR'!A137 = "", "Validated", HYPERLINK("#" &amp; ADDRESS(137, '6 - TV Stands &amp; Enterta-WUO_TRK'!A137),_xlfn.TEXTAFTER('6 - TV Stands &amp; Enterta-WUO_ERR'!A137, ":"))))</f>
        <v/>
      </c>
    </row>
    <row r="138">
      <c r="A138" s="39">
        <f>IF('6 - TV Stands &amp; Enterta'!B138 = "", "", IF('6 - TV Stands &amp; Enterta-WUO_ERR'!A138 = "", "Validated", HYPERLINK("#" &amp; ADDRESS(138, '6 - TV Stands &amp; Enterta-WUO_TRK'!A138),_xlfn.TEXTAFTER('6 - TV Stands &amp; Enterta-WUO_ERR'!A138, ":"))))</f>
        <v/>
      </c>
    </row>
    <row r="139">
      <c r="A139" s="39">
        <f>IF('6 - TV Stands &amp; Enterta'!B139 = "", "", IF('6 - TV Stands &amp; Enterta-WUO_ERR'!A139 = "", "Validated", HYPERLINK("#" &amp; ADDRESS(139, '6 - TV Stands &amp; Enterta-WUO_TRK'!A139),_xlfn.TEXTAFTER('6 - TV Stands &amp; Enterta-WUO_ERR'!A139, ":"))))</f>
        <v/>
      </c>
    </row>
    <row r="140">
      <c r="A140" s="39">
        <f>IF('6 - TV Stands &amp; Enterta'!B140 = "", "", IF('6 - TV Stands &amp; Enterta-WUO_ERR'!A140 = "", "Validated", HYPERLINK("#" &amp; ADDRESS(140, '6 - TV Stands &amp; Enterta-WUO_TRK'!A140),_xlfn.TEXTAFTER('6 - TV Stands &amp; Enterta-WUO_ERR'!A140, ":"))))</f>
        <v/>
      </c>
    </row>
    <row r="141">
      <c r="A141" s="39">
        <f>IF('6 - TV Stands &amp; Enterta'!B141 = "", "", IF('6 - TV Stands &amp; Enterta-WUO_ERR'!A141 = "", "Validated", HYPERLINK("#" &amp; ADDRESS(141, '6 - TV Stands &amp; Enterta-WUO_TRK'!A141),_xlfn.TEXTAFTER('6 - TV Stands &amp; Enterta-WUO_ERR'!A141, ":"))))</f>
        <v/>
      </c>
    </row>
    <row r="142">
      <c r="A142" s="39">
        <f>IF('6 - TV Stands &amp; Enterta'!B142 = "", "", IF('6 - TV Stands &amp; Enterta-WUO_ERR'!A142 = "", "Validated", HYPERLINK("#" &amp; ADDRESS(142, '6 - TV Stands &amp; Enterta-WUO_TRK'!A142),_xlfn.TEXTAFTER('6 - TV Stands &amp; Enterta-WUO_ERR'!A142, ":"))))</f>
        <v/>
      </c>
    </row>
    <row r="143">
      <c r="A143" s="39">
        <f>IF('6 - TV Stands &amp; Enterta'!B143 = "", "", IF('6 - TV Stands &amp; Enterta-WUO_ERR'!A143 = "", "Validated", HYPERLINK("#" &amp; ADDRESS(143, '6 - TV Stands &amp; Enterta-WUO_TRK'!A143),_xlfn.TEXTAFTER('6 - TV Stands &amp; Enterta-WUO_ERR'!A143, ":"))))</f>
        <v/>
      </c>
    </row>
    <row r="144">
      <c r="A144" s="39">
        <f>IF('6 - TV Stands &amp; Enterta'!B144 = "", "", IF('6 - TV Stands &amp; Enterta-WUO_ERR'!A144 = "", "Validated", HYPERLINK("#" &amp; ADDRESS(144, '6 - TV Stands &amp; Enterta-WUO_TRK'!A144),_xlfn.TEXTAFTER('6 - TV Stands &amp; Enterta-WUO_ERR'!A144, ":"))))</f>
        <v/>
      </c>
    </row>
    <row r="145">
      <c r="A145" s="39">
        <f>IF('6 - TV Stands &amp; Enterta'!B145 = "", "", IF('6 - TV Stands &amp; Enterta-WUO_ERR'!A145 = "", "Validated", HYPERLINK("#" &amp; ADDRESS(145, '6 - TV Stands &amp; Enterta-WUO_TRK'!A145),_xlfn.TEXTAFTER('6 - TV Stands &amp; Enterta-WUO_ERR'!A145, ":"))))</f>
        <v/>
      </c>
    </row>
    <row r="146">
      <c r="A146" s="39">
        <f>IF('6 - TV Stands &amp; Enterta'!B146 = "", "", IF('6 - TV Stands &amp; Enterta-WUO_ERR'!A146 = "", "Validated", HYPERLINK("#" &amp; ADDRESS(146, '6 - TV Stands &amp; Enterta-WUO_TRK'!A146),_xlfn.TEXTAFTER('6 - TV Stands &amp; Enterta-WUO_ERR'!A146, ":"))))</f>
        <v/>
      </c>
    </row>
    <row r="147">
      <c r="A147" s="39">
        <f>IF('6 - TV Stands &amp; Enterta'!B147 = "", "", IF('6 - TV Stands &amp; Enterta-WUO_ERR'!A147 = "", "Validated", HYPERLINK("#" &amp; ADDRESS(147, '6 - TV Stands &amp; Enterta-WUO_TRK'!A147),_xlfn.TEXTAFTER('6 - TV Stands &amp; Enterta-WUO_ERR'!A147, ":"))))</f>
        <v/>
      </c>
    </row>
    <row r="148">
      <c r="A148" s="39">
        <f>IF('6 - TV Stands &amp; Enterta'!B148 = "", "", IF('6 - TV Stands &amp; Enterta-WUO_ERR'!A148 = "", "Validated", HYPERLINK("#" &amp; ADDRESS(148, '6 - TV Stands &amp; Enterta-WUO_TRK'!A148),_xlfn.TEXTAFTER('6 - TV Stands &amp; Enterta-WUO_ERR'!A148, ":"))))</f>
        <v/>
      </c>
    </row>
    <row r="149">
      <c r="A149" s="39">
        <f>IF('6 - TV Stands &amp; Enterta'!B149 = "", "", IF('6 - TV Stands &amp; Enterta-WUO_ERR'!A149 = "", "Validated", HYPERLINK("#" &amp; ADDRESS(149, '6 - TV Stands &amp; Enterta-WUO_TRK'!A149),_xlfn.TEXTAFTER('6 - TV Stands &amp; Enterta-WUO_ERR'!A149, ":"))))</f>
        <v/>
      </c>
    </row>
    <row r="150">
      <c r="A150" s="39">
        <f>IF('6 - TV Stands &amp; Enterta'!B150 = "", "", IF('6 - TV Stands &amp; Enterta-WUO_ERR'!A150 = "", "Validated", HYPERLINK("#" &amp; ADDRESS(150, '6 - TV Stands &amp; Enterta-WUO_TRK'!A150),_xlfn.TEXTAFTER('6 - TV Stands &amp; Enterta-WUO_ERR'!A150, ":"))))</f>
        <v/>
      </c>
    </row>
    <row r="151">
      <c r="A151" s="39">
        <f>IF('6 - TV Stands &amp; Enterta'!B151 = "", "", IF('6 - TV Stands &amp; Enterta-WUO_ERR'!A151 = "", "Validated", HYPERLINK("#" &amp; ADDRESS(151, '6 - TV Stands &amp; Enterta-WUO_TRK'!A151),_xlfn.TEXTAFTER('6 - TV Stands &amp; Enterta-WUO_ERR'!A151, ":"))))</f>
        <v/>
      </c>
    </row>
    <row r="152">
      <c r="A152" s="39">
        <f>IF('6 - TV Stands &amp; Enterta'!B152 = "", "", IF('6 - TV Stands &amp; Enterta-WUO_ERR'!A152 = "", "Validated", HYPERLINK("#" &amp; ADDRESS(152, '6 - TV Stands &amp; Enterta-WUO_TRK'!A152),_xlfn.TEXTAFTER('6 - TV Stands &amp; Enterta-WUO_ERR'!A152, ":"))))</f>
        <v/>
      </c>
    </row>
    <row r="153">
      <c r="A153" s="39">
        <f>IF('6 - TV Stands &amp; Enterta'!B153 = "", "", IF('6 - TV Stands &amp; Enterta-WUO_ERR'!A153 = "", "Validated", HYPERLINK("#" &amp; ADDRESS(153, '6 - TV Stands &amp; Enterta-WUO_TRK'!A153),_xlfn.TEXTAFTER('6 - TV Stands &amp; Enterta-WUO_ERR'!A153, ":"))))</f>
        <v/>
      </c>
    </row>
    <row r="154">
      <c r="A154" s="39">
        <f>IF('6 - TV Stands &amp; Enterta'!B154 = "", "", IF('6 - TV Stands &amp; Enterta-WUO_ERR'!A154 = "", "Validated", HYPERLINK("#" &amp; ADDRESS(154, '6 - TV Stands &amp; Enterta-WUO_TRK'!A154),_xlfn.TEXTAFTER('6 - TV Stands &amp; Enterta-WUO_ERR'!A154, ":"))))</f>
        <v/>
      </c>
    </row>
    <row r="155">
      <c r="A155" s="39">
        <f>IF('6 - TV Stands &amp; Enterta'!B155 = "", "", IF('6 - TV Stands &amp; Enterta-WUO_ERR'!A155 = "", "Validated", HYPERLINK("#" &amp; ADDRESS(155, '6 - TV Stands &amp; Enterta-WUO_TRK'!A155),_xlfn.TEXTAFTER('6 - TV Stands &amp; Enterta-WUO_ERR'!A155, ":"))))</f>
        <v/>
      </c>
    </row>
    <row r="156">
      <c r="A156" s="39">
        <f>IF('6 - TV Stands &amp; Enterta'!B156 = "", "", IF('6 - TV Stands &amp; Enterta-WUO_ERR'!A156 = "", "Validated", HYPERLINK("#" &amp; ADDRESS(156, '6 - TV Stands &amp; Enterta-WUO_TRK'!A156),_xlfn.TEXTAFTER('6 - TV Stands &amp; Enterta-WUO_ERR'!A156, ":"))))</f>
        <v/>
      </c>
    </row>
    <row r="157">
      <c r="A157" s="39">
        <f>IF('6 - TV Stands &amp; Enterta'!B157 = "", "", IF('6 - TV Stands &amp; Enterta-WUO_ERR'!A157 = "", "Validated", HYPERLINK("#" &amp; ADDRESS(157, '6 - TV Stands &amp; Enterta-WUO_TRK'!A157),_xlfn.TEXTAFTER('6 - TV Stands &amp; Enterta-WUO_ERR'!A157, ":"))))</f>
        <v/>
      </c>
    </row>
    <row r="158">
      <c r="A158" s="39">
        <f>IF('6 - TV Stands &amp; Enterta'!B158 = "", "", IF('6 - TV Stands &amp; Enterta-WUO_ERR'!A158 = "", "Validated", HYPERLINK("#" &amp; ADDRESS(158, '6 - TV Stands &amp; Enterta-WUO_TRK'!A158),_xlfn.TEXTAFTER('6 - TV Stands &amp; Enterta-WUO_ERR'!A158, ":"))))</f>
        <v/>
      </c>
    </row>
    <row r="159">
      <c r="A159" s="39">
        <f>IF('6 - TV Stands &amp; Enterta'!B159 = "", "", IF('6 - TV Stands &amp; Enterta-WUO_ERR'!A159 = "", "Validated", HYPERLINK("#" &amp; ADDRESS(159, '6 - TV Stands &amp; Enterta-WUO_TRK'!A159),_xlfn.TEXTAFTER('6 - TV Stands &amp; Enterta-WUO_ERR'!A159, ":"))))</f>
        <v/>
      </c>
    </row>
    <row r="160">
      <c r="A160" s="39">
        <f>IF('6 - TV Stands &amp; Enterta'!B160 = "", "", IF('6 - TV Stands &amp; Enterta-WUO_ERR'!A160 = "", "Validated", HYPERLINK("#" &amp; ADDRESS(160, '6 - TV Stands &amp; Enterta-WUO_TRK'!A160),_xlfn.TEXTAFTER('6 - TV Stands &amp; Enterta-WUO_ERR'!A160, ":"))))</f>
        <v/>
      </c>
    </row>
    <row r="161">
      <c r="A161" s="39">
        <f>IF('6 - TV Stands &amp; Enterta'!B161 = "", "", IF('6 - TV Stands &amp; Enterta-WUO_ERR'!A161 = "", "Validated", HYPERLINK("#" &amp; ADDRESS(161, '6 - TV Stands &amp; Enterta-WUO_TRK'!A161),_xlfn.TEXTAFTER('6 - TV Stands &amp; Enterta-WUO_ERR'!A161, ":"))))</f>
        <v/>
      </c>
    </row>
    <row r="162">
      <c r="A162" s="39">
        <f>IF('6 - TV Stands &amp; Enterta'!B162 = "", "", IF('6 - TV Stands &amp; Enterta-WUO_ERR'!A162 = "", "Validated", HYPERLINK("#" &amp; ADDRESS(162, '6 - TV Stands &amp; Enterta-WUO_TRK'!A162),_xlfn.TEXTAFTER('6 - TV Stands &amp; Enterta-WUO_ERR'!A162, ":"))))</f>
        <v/>
      </c>
    </row>
    <row r="163">
      <c r="A163" s="39">
        <f>IF('6 - TV Stands &amp; Enterta'!B163 = "", "", IF('6 - TV Stands &amp; Enterta-WUO_ERR'!A163 = "", "Validated", HYPERLINK("#" &amp; ADDRESS(163, '6 - TV Stands &amp; Enterta-WUO_TRK'!A163),_xlfn.TEXTAFTER('6 - TV Stands &amp; Enterta-WUO_ERR'!A163, ":"))))</f>
        <v/>
      </c>
    </row>
    <row r="164">
      <c r="A164" s="39">
        <f>IF('6 - TV Stands &amp; Enterta'!B164 = "", "", IF('6 - TV Stands &amp; Enterta-WUO_ERR'!A164 = "", "Validated", HYPERLINK("#" &amp; ADDRESS(164, '6 - TV Stands &amp; Enterta-WUO_TRK'!A164),_xlfn.TEXTAFTER('6 - TV Stands &amp; Enterta-WUO_ERR'!A164, ":"))))</f>
        <v/>
      </c>
    </row>
    <row r="165">
      <c r="A165" s="39">
        <f>IF('6 - TV Stands &amp; Enterta'!B165 = "", "", IF('6 - TV Stands &amp; Enterta-WUO_ERR'!A165 = "", "Validated", HYPERLINK("#" &amp; ADDRESS(165, '6 - TV Stands &amp; Enterta-WUO_TRK'!A165),_xlfn.TEXTAFTER('6 - TV Stands &amp; Enterta-WUO_ERR'!A165, ":"))))</f>
        <v/>
      </c>
    </row>
    <row r="166">
      <c r="A166" s="39">
        <f>IF('6 - TV Stands &amp; Enterta'!B166 = "", "", IF('6 - TV Stands &amp; Enterta-WUO_ERR'!A166 = "", "Validated", HYPERLINK("#" &amp; ADDRESS(166, '6 - TV Stands &amp; Enterta-WUO_TRK'!A166),_xlfn.TEXTAFTER('6 - TV Stands &amp; Enterta-WUO_ERR'!A166, ":"))))</f>
        <v/>
      </c>
    </row>
    <row r="167">
      <c r="A167" s="39">
        <f>IF('6 - TV Stands &amp; Enterta'!B167 = "", "", IF('6 - TV Stands &amp; Enterta-WUO_ERR'!A167 = "", "Validated", HYPERLINK("#" &amp; ADDRESS(167, '6 - TV Stands &amp; Enterta-WUO_TRK'!A167),_xlfn.TEXTAFTER('6 - TV Stands &amp; Enterta-WUO_ERR'!A167, ":"))))</f>
        <v/>
      </c>
    </row>
    <row r="168">
      <c r="A168" s="39">
        <f>IF('6 - TV Stands &amp; Enterta'!B168 = "", "", IF('6 - TV Stands &amp; Enterta-WUO_ERR'!A168 = "", "Validated", HYPERLINK("#" &amp; ADDRESS(168, '6 - TV Stands &amp; Enterta-WUO_TRK'!A168),_xlfn.TEXTAFTER('6 - TV Stands &amp; Enterta-WUO_ERR'!A168, ":"))))</f>
        <v/>
      </c>
    </row>
    <row r="169">
      <c r="A169" s="39">
        <f>IF('6 - TV Stands &amp; Enterta'!B169 = "", "", IF('6 - TV Stands &amp; Enterta-WUO_ERR'!A169 = "", "Validated", HYPERLINK("#" &amp; ADDRESS(169, '6 - TV Stands &amp; Enterta-WUO_TRK'!A169),_xlfn.TEXTAFTER('6 - TV Stands &amp; Enterta-WUO_ERR'!A169, ":"))))</f>
        <v/>
      </c>
    </row>
    <row r="170">
      <c r="A170" s="39">
        <f>IF('6 - TV Stands &amp; Enterta'!B170 = "", "", IF('6 - TV Stands &amp; Enterta-WUO_ERR'!A170 = "", "Validated", HYPERLINK("#" &amp; ADDRESS(170, '6 - TV Stands &amp; Enterta-WUO_TRK'!A170),_xlfn.TEXTAFTER('6 - TV Stands &amp; Enterta-WUO_ERR'!A170, ":"))))</f>
        <v/>
      </c>
    </row>
    <row r="171">
      <c r="A171" s="39">
        <f>IF('6 - TV Stands &amp; Enterta'!B171 = "", "", IF('6 - TV Stands &amp; Enterta-WUO_ERR'!A171 = "", "Validated", HYPERLINK("#" &amp; ADDRESS(171, '6 - TV Stands &amp; Enterta-WUO_TRK'!A171),_xlfn.TEXTAFTER('6 - TV Stands &amp; Enterta-WUO_ERR'!A171, ":"))))</f>
        <v/>
      </c>
    </row>
    <row r="172">
      <c r="A172" s="39">
        <f>IF('6 - TV Stands &amp; Enterta'!B172 = "", "", IF('6 - TV Stands &amp; Enterta-WUO_ERR'!A172 = "", "Validated", HYPERLINK("#" &amp; ADDRESS(172, '6 - TV Stands &amp; Enterta-WUO_TRK'!A172),_xlfn.TEXTAFTER('6 - TV Stands &amp; Enterta-WUO_ERR'!A172, ":"))))</f>
        <v/>
      </c>
    </row>
    <row r="173">
      <c r="A173" s="39">
        <f>IF('6 - TV Stands &amp; Enterta'!B173 = "", "", IF('6 - TV Stands &amp; Enterta-WUO_ERR'!A173 = "", "Validated", HYPERLINK("#" &amp; ADDRESS(173, '6 - TV Stands &amp; Enterta-WUO_TRK'!A173),_xlfn.TEXTAFTER('6 - TV Stands &amp; Enterta-WUO_ERR'!A173, ":"))))</f>
        <v/>
      </c>
    </row>
    <row r="174">
      <c r="A174" s="39">
        <f>IF('6 - TV Stands &amp; Enterta'!B174 = "", "", IF('6 - TV Stands &amp; Enterta-WUO_ERR'!A174 = "", "Validated", HYPERLINK("#" &amp; ADDRESS(174, '6 - TV Stands &amp; Enterta-WUO_TRK'!A174),_xlfn.TEXTAFTER('6 - TV Stands &amp; Enterta-WUO_ERR'!A174, ":"))))</f>
        <v/>
      </c>
    </row>
    <row r="175">
      <c r="A175" s="39">
        <f>IF('6 - TV Stands &amp; Enterta'!B175 = "", "", IF('6 - TV Stands &amp; Enterta-WUO_ERR'!A175 = "", "Validated", HYPERLINK("#" &amp; ADDRESS(175, '6 - TV Stands &amp; Enterta-WUO_TRK'!A175),_xlfn.TEXTAFTER('6 - TV Stands &amp; Enterta-WUO_ERR'!A175, ":"))))</f>
        <v/>
      </c>
    </row>
    <row r="176">
      <c r="A176" s="39">
        <f>IF('6 - TV Stands &amp; Enterta'!B176 = "", "", IF('6 - TV Stands &amp; Enterta-WUO_ERR'!A176 = "", "Validated", HYPERLINK("#" &amp; ADDRESS(176, '6 - TV Stands &amp; Enterta-WUO_TRK'!A176),_xlfn.TEXTAFTER('6 - TV Stands &amp; Enterta-WUO_ERR'!A176, ":"))))</f>
        <v/>
      </c>
    </row>
    <row r="177">
      <c r="A177" s="39">
        <f>IF('6 - TV Stands &amp; Enterta'!B177 = "", "", IF('6 - TV Stands &amp; Enterta-WUO_ERR'!A177 = "", "Validated", HYPERLINK("#" &amp; ADDRESS(177, '6 - TV Stands &amp; Enterta-WUO_TRK'!A177),_xlfn.TEXTAFTER('6 - TV Stands &amp; Enterta-WUO_ERR'!A177, ":"))))</f>
        <v/>
      </c>
    </row>
    <row r="178">
      <c r="A178" s="39">
        <f>IF('6 - TV Stands &amp; Enterta'!B178 = "", "", IF('6 - TV Stands &amp; Enterta-WUO_ERR'!A178 = "", "Validated", HYPERLINK("#" &amp; ADDRESS(178, '6 - TV Stands &amp; Enterta-WUO_TRK'!A178),_xlfn.TEXTAFTER('6 - TV Stands &amp; Enterta-WUO_ERR'!A178, ":"))))</f>
        <v/>
      </c>
    </row>
    <row r="179">
      <c r="A179" s="39">
        <f>IF('6 - TV Stands &amp; Enterta'!B179 = "", "", IF('6 - TV Stands &amp; Enterta-WUO_ERR'!A179 = "", "Validated", HYPERLINK("#" &amp; ADDRESS(179, '6 - TV Stands &amp; Enterta-WUO_TRK'!A179),_xlfn.TEXTAFTER('6 - TV Stands &amp; Enterta-WUO_ERR'!A179, ":"))))</f>
        <v/>
      </c>
    </row>
    <row r="180">
      <c r="A180" s="39">
        <f>IF('6 - TV Stands &amp; Enterta'!B180 = "", "", IF('6 - TV Stands &amp; Enterta-WUO_ERR'!A180 = "", "Validated", HYPERLINK("#" &amp; ADDRESS(180, '6 - TV Stands &amp; Enterta-WUO_TRK'!A180),_xlfn.TEXTAFTER('6 - TV Stands &amp; Enterta-WUO_ERR'!A180, ":"))))</f>
        <v/>
      </c>
    </row>
    <row r="181">
      <c r="A181" s="39">
        <f>IF('6 - TV Stands &amp; Enterta'!B181 = "", "", IF('6 - TV Stands &amp; Enterta-WUO_ERR'!A181 = "", "Validated", HYPERLINK("#" &amp; ADDRESS(181, '6 - TV Stands &amp; Enterta-WUO_TRK'!A181),_xlfn.TEXTAFTER('6 - TV Stands &amp; Enterta-WUO_ERR'!A181, ":"))))</f>
        <v/>
      </c>
    </row>
    <row r="182">
      <c r="A182" s="39">
        <f>IF('6 - TV Stands &amp; Enterta'!B182 = "", "", IF('6 - TV Stands &amp; Enterta-WUO_ERR'!A182 = "", "Validated", HYPERLINK("#" &amp; ADDRESS(182, '6 - TV Stands &amp; Enterta-WUO_TRK'!A182),_xlfn.TEXTAFTER('6 - TV Stands &amp; Enterta-WUO_ERR'!A182, ":"))))</f>
        <v/>
      </c>
    </row>
    <row r="183">
      <c r="A183" s="39">
        <f>IF('6 - TV Stands &amp; Enterta'!B183 = "", "", IF('6 - TV Stands &amp; Enterta-WUO_ERR'!A183 = "", "Validated", HYPERLINK("#" &amp; ADDRESS(183, '6 - TV Stands &amp; Enterta-WUO_TRK'!A183),_xlfn.TEXTAFTER('6 - TV Stands &amp; Enterta-WUO_ERR'!A183, ":"))))</f>
        <v/>
      </c>
    </row>
    <row r="184">
      <c r="A184" s="39">
        <f>IF('6 - TV Stands &amp; Enterta'!B184 = "", "", IF('6 - TV Stands &amp; Enterta-WUO_ERR'!A184 = "", "Validated", HYPERLINK("#" &amp; ADDRESS(184, '6 - TV Stands &amp; Enterta-WUO_TRK'!A184),_xlfn.TEXTAFTER('6 - TV Stands &amp; Enterta-WUO_ERR'!A184, ":"))))</f>
        <v/>
      </c>
    </row>
    <row r="185">
      <c r="A185" s="39">
        <f>IF('6 - TV Stands &amp; Enterta'!B185 = "", "", IF('6 - TV Stands &amp; Enterta-WUO_ERR'!A185 = "", "Validated", HYPERLINK("#" &amp; ADDRESS(185, '6 - TV Stands &amp; Enterta-WUO_TRK'!A185),_xlfn.TEXTAFTER('6 - TV Stands &amp; Enterta-WUO_ERR'!A185, ":"))))</f>
        <v/>
      </c>
    </row>
    <row r="186">
      <c r="A186" s="39">
        <f>IF('6 - TV Stands &amp; Enterta'!B186 = "", "", IF('6 - TV Stands &amp; Enterta-WUO_ERR'!A186 = "", "Validated", HYPERLINK("#" &amp; ADDRESS(186, '6 - TV Stands &amp; Enterta-WUO_TRK'!A186),_xlfn.TEXTAFTER('6 - TV Stands &amp; Enterta-WUO_ERR'!A186, ":"))))</f>
        <v/>
      </c>
    </row>
    <row r="187">
      <c r="A187" s="39">
        <f>IF('6 - TV Stands &amp; Enterta'!B187 = "", "", IF('6 - TV Stands &amp; Enterta-WUO_ERR'!A187 = "", "Validated", HYPERLINK("#" &amp; ADDRESS(187, '6 - TV Stands &amp; Enterta-WUO_TRK'!A187),_xlfn.TEXTAFTER('6 - TV Stands &amp; Enterta-WUO_ERR'!A187, ":"))))</f>
        <v/>
      </c>
    </row>
    <row r="188">
      <c r="A188" s="39">
        <f>IF('6 - TV Stands &amp; Enterta'!B188 = "", "", IF('6 - TV Stands &amp; Enterta-WUO_ERR'!A188 = "", "Validated", HYPERLINK("#" &amp; ADDRESS(188, '6 - TV Stands &amp; Enterta-WUO_TRK'!A188),_xlfn.TEXTAFTER('6 - TV Stands &amp; Enterta-WUO_ERR'!A188, ":"))))</f>
        <v/>
      </c>
    </row>
    <row r="189">
      <c r="A189" s="39">
        <f>IF('6 - TV Stands &amp; Enterta'!B189 = "", "", IF('6 - TV Stands &amp; Enterta-WUO_ERR'!A189 = "", "Validated", HYPERLINK("#" &amp; ADDRESS(189, '6 - TV Stands &amp; Enterta-WUO_TRK'!A189),_xlfn.TEXTAFTER('6 - TV Stands &amp; Enterta-WUO_ERR'!A189, ":"))))</f>
        <v/>
      </c>
    </row>
    <row r="190">
      <c r="A190" s="39">
        <f>IF('6 - TV Stands &amp; Enterta'!B190 = "", "", IF('6 - TV Stands &amp; Enterta-WUO_ERR'!A190 = "", "Validated", HYPERLINK("#" &amp; ADDRESS(190, '6 - TV Stands &amp; Enterta-WUO_TRK'!A190),_xlfn.TEXTAFTER('6 - TV Stands &amp; Enterta-WUO_ERR'!A190, ":"))))</f>
        <v/>
      </c>
    </row>
    <row r="191">
      <c r="A191" s="39">
        <f>IF('6 - TV Stands &amp; Enterta'!B191 = "", "", IF('6 - TV Stands &amp; Enterta-WUO_ERR'!A191 = "", "Validated", HYPERLINK("#" &amp; ADDRESS(191, '6 - TV Stands &amp; Enterta-WUO_TRK'!A191),_xlfn.TEXTAFTER('6 - TV Stands &amp; Enterta-WUO_ERR'!A191, ":"))))</f>
        <v/>
      </c>
    </row>
    <row r="192">
      <c r="A192" s="39">
        <f>IF('6 - TV Stands &amp; Enterta'!B192 = "", "", IF('6 - TV Stands &amp; Enterta-WUO_ERR'!A192 = "", "Validated", HYPERLINK("#" &amp; ADDRESS(192, '6 - TV Stands &amp; Enterta-WUO_TRK'!A192),_xlfn.TEXTAFTER('6 - TV Stands &amp; Enterta-WUO_ERR'!A192, ":"))))</f>
        <v/>
      </c>
    </row>
    <row r="193">
      <c r="A193" s="39">
        <f>IF('6 - TV Stands &amp; Enterta'!B193 = "", "", IF('6 - TV Stands &amp; Enterta-WUO_ERR'!A193 = "", "Validated", HYPERLINK("#" &amp; ADDRESS(193, '6 - TV Stands &amp; Enterta-WUO_TRK'!A193),_xlfn.TEXTAFTER('6 - TV Stands &amp; Enterta-WUO_ERR'!A193, ":"))))</f>
        <v/>
      </c>
    </row>
    <row r="194">
      <c r="A194" s="39">
        <f>IF('6 - TV Stands &amp; Enterta'!B194 = "", "", IF('6 - TV Stands &amp; Enterta-WUO_ERR'!A194 = "", "Validated", HYPERLINK("#" &amp; ADDRESS(194, '6 - TV Stands &amp; Enterta-WUO_TRK'!A194),_xlfn.TEXTAFTER('6 - TV Stands &amp; Enterta-WUO_ERR'!A194, ":"))))</f>
        <v/>
      </c>
    </row>
    <row r="195">
      <c r="A195" s="39">
        <f>IF('6 - TV Stands &amp; Enterta'!B195 = "", "", IF('6 - TV Stands &amp; Enterta-WUO_ERR'!A195 = "", "Validated", HYPERLINK("#" &amp; ADDRESS(195, '6 - TV Stands &amp; Enterta-WUO_TRK'!A195),_xlfn.TEXTAFTER('6 - TV Stands &amp; Enterta-WUO_ERR'!A195, ":"))))</f>
        <v/>
      </c>
    </row>
    <row r="196">
      <c r="A196" s="39">
        <f>IF('6 - TV Stands &amp; Enterta'!B196 = "", "", IF('6 - TV Stands &amp; Enterta-WUO_ERR'!A196 = "", "Validated", HYPERLINK("#" &amp; ADDRESS(196, '6 - TV Stands &amp; Enterta-WUO_TRK'!A196),_xlfn.TEXTAFTER('6 - TV Stands &amp; Enterta-WUO_ERR'!A196, ":"))))</f>
        <v/>
      </c>
    </row>
    <row r="197">
      <c r="A197" s="39">
        <f>IF('6 - TV Stands &amp; Enterta'!B197 = "", "", IF('6 - TV Stands &amp; Enterta-WUO_ERR'!A197 = "", "Validated", HYPERLINK("#" &amp; ADDRESS(197, '6 - TV Stands &amp; Enterta-WUO_TRK'!A197),_xlfn.TEXTAFTER('6 - TV Stands &amp; Enterta-WUO_ERR'!A197, ":"))))</f>
        <v/>
      </c>
    </row>
    <row r="198">
      <c r="A198" s="39">
        <f>IF('6 - TV Stands &amp; Enterta'!B198 = "", "", IF('6 - TV Stands &amp; Enterta-WUO_ERR'!A198 = "", "Validated", HYPERLINK("#" &amp; ADDRESS(198, '6 - TV Stands &amp; Enterta-WUO_TRK'!A198),_xlfn.TEXTAFTER('6 - TV Stands &amp; Enterta-WUO_ERR'!A198, ":"))))</f>
        <v/>
      </c>
    </row>
    <row r="199">
      <c r="A199" s="39">
        <f>IF('6 - TV Stands &amp; Enterta'!B199 = "", "", IF('6 - TV Stands &amp; Enterta-WUO_ERR'!A199 = "", "Validated", HYPERLINK("#" &amp; ADDRESS(199, '6 - TV Stands &amp; Enterta-WUO_TRK'!A199),_xlfn.TEXTAFTER('6 - TV Stands &amp; Enterta-WUO_ERR'!A199, ":"))))</f>
        <v/>
      </c>
    </row>
    <row r="200">
      <c r="A200" s="39">
        <f>IF('6 - TV Stands &amp; Enterta'!B200 = "", "", IF('6 - TV Stands &amp; Enterta-WUO_ERR'!A200 = "", "Validated", HYPERLINK("#" &amp; ADDRESS(200, '6 - TV Stands &amp; Enterta-WUO_TRK'!A200),_xlfn.TEXTAFTER('6 - TV Stands &amp; Enterta-WUO_ERR'!A200, ":"))))</f>
        <v/>
      </c>
    </row>
    <row r="201">
      <c r="A201" s="39">
        <f>IF('6 - TV Stands &amp; Enterta'!B201 = "", "", IF('6 - TV Stands &amp; Enterta-WUO_ERR'!A201 = "", "Validated", HYPERLINK("#" &amp; ADDRESS(201, '6 - TV Stands &amp; Enterta-WUO_TRK'!A201),_xlfn.TEXTAFTER('6 - TV Stands &amp; Enterta-WUO_ERR'!A201, ":"))))</f>
        <v/>
      </c>
    </row>
    <row r="202">
      <c r="A202" s="39">
        <f>IF('6 - TV Stands &amp; Enterta'!B202 = "", "", IF('6 - TV Stands &amp; Enterta-WUO_ERR'!A202 = "", "Validated", HYPERLINK("#" &amp; ADDRESS(202, '6 - TV Stands &amp; Enterta-WUO_TRK'!A202),_xlfn.TEXTAFTER('6 - TV Stands &amp; Enterta-WUO_ERR'!A202, ":"))))</f>
        <v/>
      </c>
    </row>
    <row r="203">
      <c r="A203" s="39">
        <f>IF('6 - TV Stands &amp; Enterta'!B203 = "", "", IF('6 - TV Stands &amp; Enterta-WUO_ERR'!A203 = "", "Validated", HYPERLINK("#" &amp; ADDRESS(203, '6 - TV Stands &amp; Enterta-WUO_TRK'!A203),_xlfn.TEXTAFTER('6 - TV Stands &amp; Enterta-WUO_ERR'!A203, ":"))))</f>
        <v/>
      </c>
    </row>
    <row r="204">
      <c r="A204" s="39">
        <f>IF('6 - TV Stands &amp; Enterta'!B204 = "", "", IF('6 - TV Stands &amp; Enterta-WUO_ERR'!A204 = "", "Validated", HYPERLINK("#" &amp; ADDRESS(204, '6 - TV Stands &amp; Enterta-WUO_TRK'!A204),_xlfn.TEXTAFTER('6 - TV Stands &amp; Enterta-WUO_ERR'!A204, ":"))))</f>
        <v/>
      </c>
    </row>
    <row r="205">
      <c r="A205" s="39">
        <f>IF('6 - TV Stands &amp; Enterta'!B205 = "", "", IF('6 - TV Stands &amp; Enterta-WUO_ERR'!A205 = "", "Validated", HYPERLINK("#" &amp; ADDRESS(205, '6 - TV Stands &amp; Enterta-WUO_TRK'!A205),_xlfn.TEXTAFTER('6 - TV Stands &amp; Enterta-WUO_ERR'!A205, ":"))))</f>
        <v/>
      </c>
    </row>
    <row r="206">
      <c r="A206" s="39">
        <f>IF('6 - TV Stands &amp; Enterta'!B206 = "", "", IF('6 - TV Stands &amp; Enterta-WUO_ERR'!A206 = "", "Validated", HYPERLINK("#" &amp; ADDRESS(206, '6 - TV Stands &amp; Enterta-WUO_TRK'!A206),_xlfn.TEXTAFTER('6 - TV Stands &amp; Enterta-WUO_ERR'!A206, ":"))))</f>
        <v/>
      </c>
    </row>
    <row r="207">
      <c r="A207" s="39">
        <f>IF('6 - TV Stands &amp; Enterta'!B207 = "", "", IF('6 - TV Stands &amp; Enterta-WUO_ERR'!A207 = "", "Validated", HYPERLINK("#" &amp; ADDRESS(207, '6 - TV Stands &amp; Enterta-WUO_TRK'!A207),_xlfn.TEXTAFTER('6 - TV Stands &amp; Enterta-WUO_ERR'!A207, ":"))))</f>
        <v/>
      </c>
    </row>
    <row r="208">
      <c r="A208" s="39">
        <f>IF('6 - TV Stands &amp; Enterta'!B208 = "", "", IF('6 - TV Stands &amp; Enterta-WUO_ERR'!A208 = "", "Validated", HYPERLINK("#" &amp; ADDRESS(208, '6 - TV Stands &amp; Enterta-WUO_TRK'!A208),_xlfn.TEXTAFTER('6 - TV Stands &amp; Enterta-WUO_ERR'!A208, ":"))))</f>
        <v/>
      </c>
    </row>
    <row r="209">
      <c r="A209" s="39">
        <f>IF('6 - TV Stands &amp; Enterta'!B209 = "", "", IF('6 - TV Stands &amp; Enterta-WUO_ERR'!A209 = "", "Validated", HYPERLINK("#" &amp; ADDRESS(209, '6 - TV Stands &amp; Enterta-WUO_TRK'!A209),_xlfn.TEXTAFTER('6 - TV Stands &amp; Enterta-WUO_ERR'!A209, ":"))))</f>
        <v/>
      </c>
    </row>
    <row r="210">
      <c r="A210" s="39">
        <f>IF('6 - TV Stands &amp; Enterta'!B210 = "", "", IF('6 - TV Stands &amp; Enterta-WUO_ERR'!A210 = "", "Validated", HYPERLINK("#" &amp; ADDRESS(210, '6 - TV Stands &amp; Enterta-WUO_TRK'!A210),_xlfn.TEXTAFTER('6 - TV Stands &amp; Enterta-WUO_ERR'!A210, ":"))))</f>
        <v/>
      </c>
    </row>
    <row r="211">
      <c r="A211" s="39">
        <f>IF('6 - TV Stands &amp; Enterta'!B211 = "", "", IF('6 - TV Stands &amp; Enterta-WUO_ERR'!A211 = "", "Validated", HYPERLINK("#" &amp; ADDRESS(211, '6 - TV Stands &amp; Enterta-WUO_TRK'!A211),_xlfn.TEXTAFTER('6 - TV Stands &amp; Enterta-WUO_ERR'!A211, ":"))))</f>
        <v/>
      </c>
    </row>
    <row r="212">
      <c r="A212" s="39">
        <f>IF('6 - TV Stands &amp; Enterta'!B212 = "", "", IF('6 - TV Stands &amp; Enterta-WUO_ERR'!A212 = "", "Validated", HYPERLINK("#" &amp; ADDRESS(212, '6 - TV Stands &amp; Enterta-WUO_TRK'!A212),_xlfn.TEXTAFTER('6 - TV Stands &amp; Enterta-WUO_ERR'!A212, ":"))))</f>
        <v/>
      </c>
    </row>
    <row r="213">
      <c r="A213" s="39">
        <f>IF('6 - TV Stands &amp; Enterta'!B213 = "", "", IF('6 - TV Stands &amp; Enterta-WUO_ERR'!A213 = "", "Validated", HYPERLINK("#" &amp; ADDRESS(213, '6 - TV Stands &amp; Enterta-WUO_TRK'!A213),_xlfn.TEXTAFTER('6 - TV Stands &amp; Enterta-WUO_ERR'!A213, ":"))))</f>
        <v/>
      </c>
    </row>
    <row r="214">
      <c r="A214" s="39">
        <f>IF('6 - TV Stands &amp; Enterta'!B214 = "", "", IF('6 - TV Stands &amp; Enterta-WUO_ERR'!A214 = "", "Validated", HYPERLINK("#" &amp; ADDRESS(214, '6 - TV Stands &amp; Enterta-WUO_TRK'!A214),_xlfn.TEXTAFTER('6 - TV Stands &amp; Enterta-WUO_ERR'!A214, ":"))))</f>
        <v/>
      </c>
    </row>
    <row r="215">
      <c r="A215" s="39">
        <f>IF('6 - TV Stands &amp; Enterta'!B215 = "", "", IF('6 - TV Stands &amp; Enterta-WUO_ERR'!A215 = "", "Validated", HYPERLINK("#" &amp; ADDRESS(215, '6 - TV Stands &amp; Enterta-WUO_TRK'!A215),_xlfn.TEXTAFTER('6 - TV Stands &amp; Enterta-WUO_ERR'!A215, ":"))))</f>
        <v/>
      </c>
    </row>
    <row r="216">
      <c r="A216" s="39">
        <f>IF('6 - TV Stands &amp; Enterta'!B216 = "", "", IF('6 - TV Stands &amp; Enterta-WUO_ERR'!A216 = "", "Validated", HYPERLINK("#" &amp; ADDRESS(216, '6 - TV Stands &amp; Enterta-WUO_TRK'!A216),_xlfn.TEXTAFTER('6 - TV Stands &amp; Enterta-WUO_ERR'!A216, ":"))))</f>
        <v/>
      </c>
    </row>
    <row r="217">
      <c r="A217" s="39">
        <f>IF('6 - TV Stands &amp; Enterta'!B217 = "", "", IF('6 - TV Stands &amp; Enterta-WUO_ERR'!A217 = "", "Validated", HYPERLINK("#" &amp; ADDRESS(217, '6 - TV Stands &amp; Enterta-WUO_TRK'!A217),_xlfn.TEXTAFTER('6 - TV Stands &amp; Enterta-WUO_ERR'!A217, ":"))))</f>
        <v/>
      </c>
    </row>
    <row r="218">
      <c r="A218" s="39">
        <f>IF('6 - TV Stands &amp; Enterta'!B218 = "", "", IF('6 - TV Stands &amp; Enterta-WUO_ERR'!A218 = "", "Validated", HYPERLINK("#" &amp; ADDRESS(218, '6 - TV Stands &amp; Enterta-WUO_TRK'!A218),_xlfn.TEXTAFTER('6 - TV Stands &amp; Enterta-WUO_ERR'!A218, ":"))))</f>
        <v/>
      </c>
    </row>
    <row r="219">
      <c r="A219" s="39">
        <f>IF('6 - TV Stands &amp; Enterta'!B219 = "", "", IF('6 - TV Stands &amp; Enterta-WUO_ERR'!A219 = "", "Validated", HYPERLINK("#" &amp; ADDRESS(219, '6 - TV Stands &amp; Enterta-WUO_TRK'!A219),_xlfn.TEXTAFTER('6 - TV Stands &amp; Enterta-WUO_ERR'!A219, ":"))))</f>
        <v/>
      </c>
    </row>
    <row r="220">
      <c r="A220" s="39">
        <f>IF('6 - TV Stands &amp; Enterta'!B220 = "", "", IF('6 - TV Stands &amp; Enterta-WUO_ERR'!A220 = "", "Validated", HYPERLINK("#" &amp; ADDRESS(220, '6 - TV Stands &amp; Enterta-WUO_TRK'!A220),_xlfn.TEXTAFTER('6 - TV Stands &amp; Enterta-WUO_ERR'!A220, ":"))))</f>
        <v/>
      </c>
    </row>
    <row r="221">
      <c r="A221" s="39">
        <f>IF('6 - TV Stands &amp; Enterta'!B221 = "", "", IF('6 - TV Stands &amp; Enterta-WUO_ERR'!A221 = "", "Validated", HYPERLINK("#" &amp; ADDRESS(221, '6 - TV Stands &amp; Enterta-WUO_TRK'!A221),_xlfn.TEXTAFTER('6 - TV Stands &amp; Enterta-WUO_ERR'!A221, ":"))))</f>
        <v/>
      </c>
    </row>
    <row r="222">
      <c r="A222" s="39">
        <f>IF('6 - TV Stands &amp; Enterta'!B222 = "", "", IF('6 - TV Stands &amp; Enterta-WUO_ERR'!A222 = "", "Validated", HYPERLINK("#" &amp; ADDRESS(222, '6 - TV Stands &amp; Enterta-WUO_TRK'!A222),_xlfn.TEXTAFTER('6 - TV Stands &amp; Enterta-WUO_ERR'!A222, ":"))))</f>
        <v/>
      </c>
    </row>
    <row r="223">
      <c r="A223" s="39">
        <f>IF('6 - TV Stands &amp; Enterta'!B223 = "", "", IF('6 - TV Stands &amp; Enterta-WUO_ERR'!A223 = "", "Validated", HYPERLINK("#" &amp; ADDRESS(223, '6 - TV Stands &amp; Enterta-WUO_TRK'!A223),_xlfn.TEXTAFTER('6 - TV Stands &amp; Enterta-WUO_ERR'!A223, ":"))))</f>
        <v/>
      </c>
    </row>
    <row r="224">
      <c r="A224" s="39">
        <f>IF('6 - TV Stands &amp; Enterta'!B224 = "", "", IF('6 - TV Stands &amp; Enterta-WUO_ERR'!A224 = "", "Validated", HYPERLINK("#" &amp; ADDRESS(224, '6 - TV Stands &amp; Enterta-WUO_TRK'!A224),_xlfn.TEXTAFTER('6 - TV Stands &amp; Enterta-WUO_ERR'!A224, ":"))))</f>
        <v/>
      </c>
    </row>
    <row r="225">
      <c r="A225" s="39">
        <f>IF('6 - TV Stands &amp; Enterta'!B225 = "", "", IF('6 - TV Stands &amp; Enterta-WUO_ERR'!A225 = "", "Validated", HYPERLINK("#" &amp; ADDRESS(225, '6 - TV Stands &amp; Enterta-WUO_TRK'!A225),_xlfn.TEXTAFTER('6 - TV Stands &amp; Enterta-WUO_ERR'!A225, ":"))))</f>
        <v/>
      </c>
    </row>
    <row r="226">
      <c r="A226" s="39">
        <f>IF('6 - TV Stands &amp; Enterta'!B226 = "", "", IF('6 - TV Stands &amp; Enterta-WUO_ERR'!A226 = "", "Validated", HYPERLINK("#" &amp; ADDRESS(226, '6 - TV Stands &amp; Enterta-WUO_TRK'!A226),_xlfn.TEXTAFTER('6 - TV Stands &amp; Enterta-WUO_ERR'!A226, ":"))))</f>
        <v/>
      </c>
    </row>
    <row r="227">
      <c r="A227" s="39">
        <f>IF('6 - TV Stands &amp; Enterta'!B227 = "", "", IF('6 - TV Stands &amp; Enterta-WUO_ERR'!A227 = "", "Validated", HYPERLINK("#" &amp; ADDRESS(227, '6 - TV Stands &amp; Enterta-WUO_TRK'!A227),_xlfn.TEXTAFTER('6 - TV Stands &amp; Enterta-WUO_ERR'!A227, ":"))))</f>
        <v/>
      </c>
    </row>
    <row r="228">
      <c r="A228" s="39">
        <f>IF('6 - TV Stands &amp; Enterta'!B228 = "", "", IF('6 - TV Stands &amp; Enterta-WUO_ERR'!A228 = "", "Validated", HYPERLINK("#" &amp; ADDRESS(228, '6 - TV Stands &amp; Enterta-WUO_TRK'!A228),_xlfn.TEXTAFTER('6 - TV Stands &amp; Enterta-WUO_ERR'!A228, ":"))))</f>
        <v/>
      </c>
    </row>
    <row r="229">
      <c r="A229" s="39">
        <f>IF('6 - TV Stands &amp; Enterta'!B229 = "", "", IF('6 - TV Stands &amp; Enterta-WUO_ERR'!A229 = "", "Validated", HYPERLINK("#" &amp; ADDRESS(229, '6 - TV Stands &amp; Enterta-WUO_TRK'!A229),_xlfn.TEXTAFTER('6 - TV Stands &amp; Enterta-WUO_ERR'!A229, ":"))))</f>
        <v/>
      </c>
    </row>
    <row r="230">
      <c r="A230" s="39">
        <f>IF('6 - TV Stands &amp; Enterta'!B230 = "", "", IF('6 - TV Stands &amp; Enterta-WUO_ERR'!A230 = "", "Validated", HYPERLINK("#" &amp; ADDRESS(230, '6 - TV Stands &amp; Enterta-WUO_TRK'!A230),_xlfn.TEXTAFTER('6 - TV Stands &amp; Enterta-WUO_ERR'!A230, ":"))))</f>
        <v/>
      </c>
    </row>
    <row r="231">
      <c r="A231" s="39">
        <f>IF('6 - TV Stands &amp; Enterta'!B231 = "", "", IF('6 - TV Stands &amp; Enterta-WUO_ERR'!A231 = "", "Validated", HYPERLINK("#" &amp; ADDRESS(231, '6 - TV Stands &amp; Enterta-WUO_TRK'!A231),_xlfn.TEXTAFTER('6 - TV Stands &amp; Enterta-WUO_ERR'!A231, ":"))))</f>
        <v/>
      </c>
    </row>
    <row r="232">
      <c r="A232" s="39">
        <f>IF('6 - TV Stands &amp; Enterta'!B232 = "", "", IF('6 - TV Stands &amp; Enterta-WUO_ERR'!A232 = "", "Validated", HYPERLINK("#" &amp; ADDRESS(232, '6 - TV Stands &amp; Enterta-WUO_TRK'!A232),_xlfn.TEXTAFTER('6 - TV Stands &amp; Enterta-WUO_ERR'!A232, ":"))))</f>
        <v/>
      </c>
    </row>
    <row r="233">
      <c r="A233" s="39">
        <f>IF('6 - TV Stands &amp; Enterta'!B233 = "", "", IF('6 - TV Stands &amp; Enterta-WUO_ERR'!A233 = "", "Validated", HYPERLINK("#" &amp; ADDRESS(233, '6 - TV Stands &amp; Enterta-WUO_TRK'!A233),_xlfn.TEXTAFTER('6 - TV Stands &amp; Enterta-WUO_ERR'!A233, ":"))))</f>
        <v/>
      </c>
    </row>
    <row r="234">
      <c r="A234" s="39">
        <f>IF('6 - TV Stands &amp; Enterta'!B234 = "", "", IF('6 - TV Stands &amp; Enterta-WUO_ERR'!A234 = "", "Validated", HYPERLINK("#" &amp; ADDRESS(234, '6 - TV Stands &amp; Enterta-WUO_TRK'!A234),_xlfn.TEXTAFTER('6 - TV Stands &amp; Enterta-WUO_ERR'!A234, ":"))))</f>
        <v/>
      </c>
    </row>
    <row r="235">
      <c r="A235" s="39">
        <f>IF('6 - TV Stands &amp; Enterta'!B235 = "", "", IF('6 - TV Stands &amp; Enterta-WUO_ERR'!A235 = "", "Validated", HYPERLINK("#" &amp; ADDRESS(235, '6 - TV Stands &amp; Enterta-WUO_TRK'!A235),_xlfn.TEXTAFTER('6 - TV Stands &amp; Enterta-WUO_ERR'!A235, ":"))))</f>
        <v/>
      </c>
    </row>
    <row r="236">
      <c r="A236" s="39">
        <f>IF('6 - TV Stands &amp; Enterta'!B236 = "", "", IF('6 - TV Stands &amp; Enterta-WUO_ERR'!A236 = "", "Validated", HYPERLINK("#" &amp; ADDRESS(236, '6 - TV Stands &amp; Enterta-WUO_TRK'!A236),_xlfn.TEXTAFTER('6 - TV Stands &amp; Enterta-WUO_ERR'!A236, ":"))))</f>
        <v/>
      </c>
    </row>
    <row r="237">
      <c r="A237" s="39">
        <f>IF('6 - TV Stands &amp; Enterta'!B237 = "", "", IF('6 - TV Stands &amp; Enterta-WUO_ERR'!A237 = "", "Validated", HYPERLINK("#" &amp; ADDRESS(237, '6 - TV Stands &amp; Enterta-WUO_TRK'!A237),_xlfn.TEXTAFTER('6 - TV Stands &amp; Enterta-WUO_ERR'!A237, ":"))))</f>
        <v/>
      </c>
    </row>
    <row r="238">
      <c r="A238" s="39">
        <f>IF('6 - TV Stands &amp; Enterta'!B238 = "", "", IF('6 - TV Stands &amp; Enterta-WUO_ERR'!A238 = "", "Validated", HYPERLINK("#" &amp; ADDRESS(238, '6 - TV Stands &amp; Enterta-WUO_TRK'!A238),_xlfn.TEXTAFTER('6 - TV Stands &amp; Enterta-WUO_ERR'!A238, ":"))))</f>
        <v/>
      </c>
    </row>
    <row r="239">
      <c r="A239" s="39">
        <f>IF('6 - TV Stands &amp; Enterta'!B239 = "", "", IF('6 - TV Stands &amp; Enterta-WUO_ERR'!A239 = "", "Validated", HYPERLINK("#" &amp; ADDRESS(239, '6 - TV Stands &amp; Enterta-WUO_TRK'!A239),_xlfn.TEXTAFTER('6 - TV Stands &amp; Enterta-WUO_ERR'!A239, ":"))))</f>
        <v/>
      </c>
    </row>
    <row r="240">
      <c r="A240" s="39">
        <f>IF('6 - TV Stands &amp; Enterta'!B240 = "", "", IF('6 - TV Stands &amp; Enterta-WUO_ERR'!A240 = "", "Validated", HYPERLINK("#" &amp; ADDRESS(240, '6 - TV Stands &amp; Enterta-WUO_TRK'!A240),_xlfn.TEXTAFTER('6 - TV Stands &amp; Enterta-WUO_ERR'!A240, ":"))))</f>
        <v/>
      </c>
    </row>
    <row r="241">
      <c r="A241" s="39">
        <f>IF('6 - TV Stands &amp; Enterta'!B241 = "", "", IF('6 - TV Stands &amp; Enterta-WUO_ERR'!A241 = "", "Validated", HYPERLINK("#" &amp; ADDRESS(241, '6 - TV Stands &amp; Enterta-WUO_TRK'!A241),_xlfn.TEXTAFTER('6 - TV Stands &amp; Enterta-WUO_ERR'!A241, ":"))))</f>
        <v/>
      </c>
    </row>
    <row r="242">
      <c r="A242" s="39">
        <f>IF('6 - TV Stands &amp; Enterta'!B242 = "", "", IF('6 - TV Stands &amp; Enterta-WUO_ERR'!A242 = "", "Validated", HYPERLINK("#" &amp; ADDRESS(242, '6 - TV Stands &amp; Enterta-WUO_TRK'!A242),_xlfn.TEXTAFTER('6 - TV Stands &amp; Enterta-WUO_ERR'!A242, ":"))))</f>
        <v/>
      </c>
    </row>
    <row r="243">
      <c r="A243" s="39">
        <f>IF('6 - TV Stands &amp; Enterta'!B243 = "", "", IF('6 - TV Stands &amp; Enterta-WUO_ERR'!A243 = "", "Validated", HYPERLINK("#" &amp; ADDRESS(243, '6 - TV Stands &amp; Enterta-WUO_TRK'!A243),_xlfn.TEXTAFTER('6 - TV Stands &amp; Enterta-WUO_ERR'!A243, ":"))))</f>
        <v/>
      </c>
    </row>
    <row r="244">
      <c r="A244" s="39">
        <f>IF('6 - TV Stands &amp; Enterta'!B244 = "", "", IF('6 - TV Stands &amp; Enterta-WUO_ERR'!A244 = "", "Validated", HYPERLINK("#" &amp; ADDRESS(244, '6 - TV Stands &amp; Enterta-WUO_TRK'!A244),_xlfn.TEXTAFTER('6 - TV Stands &amp; Enterta-WUO_ERR'!A244, ":"))))</f>
        <v/>
      </c>
    </row>
    <row r="245">
      <c r="A245" s="39">
        <f>IF('6 - TV Stands &amp; Enterta'!B245 = "", "", IF('6 - TV Stands &amp; Enterta-WUO_ERR'!A245 = "", "Validated", HYPERLINK("#" &amp; ADDRESS(245, '6 - TV Stands &amp; Enterta-WUO_TRK'!A245),_xlfn.TEXTAFTER('6 - TV Stands &amp; Enterta-WUO_ERR'!A245, ":"))))</f>
        <v/>
      </c>
    </row>
    <row r="246">
      <c r="A246" s="39">
        <f>IF('6 - TV Stands &amp; Enterta'!B246 = "", "", IF('6 - TV Stands &amp; Enterta-WUO_ERR'!A246 = "", "Validated", HYPERLINK("#" &amp; ADDRESS(246, '6 - TV Stands &amp; Enterta-WUO_TRK'!A246),_xlfn.TEXTAFTER('6 - TV Stands &amp; Enterta-WUO_ERR'!A246, ":"))))</f>
        <v/>
      </c>
    </row>
    <row r="247">
      <c r="A247" s="39">
        <f>IF('6 - TV Stands &amp; Enterta'!B247 = "", "", IF('6 - TV Stands &amp; Enterta-WUO_ERR'!A247 = "", "Validated", HYPERLINK("#" &amp; ADDRESS(247, '6 - TV Stands &amp; Enterta-WUO_TRK'!A247),_xlfn.TEXTAFTER('6 - TV Stands &amp; Enterta-WUO_ERR'!A247, ":"))))</f>
        <v/>
      </c>
    </row>
    <row r="248">
      <c r="A248" s="39">
        <f>IF('6 - TV Stands &amp; Enterta'!B248 = "", "", IF('6 - TV Stands &amp; Enterta-WUO_ERR'!A248 = "", "Validated", HYPERLINK("#" &amp; ADDRESS(248, '6 - TV Stands &amp; Enterta-WUO_TRK'!A248),_xlfn.TEXTAFTER('6 - TV Stands &amp; Enterta-WUO_ERR'!A248, ":"))))</f>
        <v/>
      </c>
    </row>
    <row r="249">
      <c r="A249" s="39">
        <f>IF('6 - TV Stands &amp; Enterta'!B249 = "", "", IF('6 - TV Stands &amp; Enterta-WUO_ERR'!A249 = "", "Validated", HYPERLINK("#" &amp; ADDRESS(249, '6 - TV Stands &amp; Enterta-WUO_TRK'!A249),_xlfn.TEXTAFTER('6 - TV Stands &amp; Enterta-WUO_ERR'!A249, ":"))))</f>
        <v/>
      </c>
    </row>
    <row r="250">
      <c r="A250" s="39">
        <f>IF('6 - TV Stands &amp; Enterta'!B250 = "", "", IF('6 - TV Stands &amp; Enterta-WUO_ERR'!A250 = "", "Validated", HYPERLINK("#" &amp; ADDRESS(250, '6 - TV Stands &amp; Enterta-WUO_TRK'!A250),_xlfn.TEXTAFTER('6 - TV Stands &amp; Enterta-WUO_ERR'!A250, ":"))))</f>
        <v/>
      </c>
    </row>
    <row r="251">
      <c r="A251" s="39">
        <f>IF('6 - TV Stands &amp; Enterta'!B251 = "", "", IF('6 - TV Stands &amp; Enterta-WUO_ERR'!A251 = "", "Validated", HYPERLINK("#" &amp; ADDRESS(251, '6 - TV Stands &amp; Enterta-WUO_TRK'!A251),_xlfn.TEXTAFTER('6 - TV Stands &amp; Enterta-WUO_ERR'!A251, ":"))))</f>
        <v/>
      </c>
    </row>
    <row r="252">
      <c r="A252" s="39">
        <f>IF('6 - TV Stands &amp; Enterta'!B252 = "", "", IF('6 - TV Stands &amp; Enterta-WUO_ERR'!A252 = "", "Validated", HYPERLINK("#" &amp; ADDRESS(252, '6 - TV Stands &amp; Enterta-WUO_TRK'!A252),_xlfn.TEXTAFTER('6 - TV Stands &amp; Enterta-WUO_ERR'!A252, ":"))))</f>
        <v/>
      </c>
    </row>
    <row r="253">
      <c r="A253" s="39">
        <f>IF('6 - TV Stands &amp; Enterta'!B253 = "", "", IF('6 - TV Stands &amp; Enterta-WUO_ERR'!A253 = "", "Validated", HYPERLINK("#" &amp; ADDRESS(253, '6 - TV Stands &amp; Enterta-WUO_TRK'!A253),_xlfn.TEXTAFTER('6 - TV Stands &amp; Enterta-WUO_ERR'!A253, ":"))))</f>
        <v/>
      </c>
    </row>
    <row r="254">
      <c r="A254" s="39">
        <f>IF('6 - TV Stands &amp; Enterta'!B254 = "", "", IF('6 - TV Stands &amp; Enterta-WUO_ERR'!A254 = "", "Validated", HYPERLINK("#" &amp; ADDRESS(254, '6 - TV Stands &amp; Enterta-WUO_TRK'!A254),_xlfn.TEXTAFTER('6 - TV Stands &amp; Enterta-WUO_ERR'!A254, ":"))))</f>
        <v/>
      </c>
    </row>
    <row r="255">
      <c r="A255" s="39">
        <f>IF('6 - TV Stands &amp; Enterta'!B255 = "", "", IF('6 - TV Stands &amp; Enterta-WUO_ERR'!A255 = "", "Validated", HYPERLINK("#" &amp; ADDRESS(255, '6 - TV Stands &amp; Enterta-WUO_TRK'!A255),_xlfn.TEXTAFTER('6 - TV Stands &amp; Enterta-WUO_ERR'!A255, ":"))))</f>
        <v/>
      </c>
    </row>
    <row r="256">
      <c r="A256" s="39">
        <f>IF('6 - TV Stands &amp; Enterta'!B256 = "", "", IF('6 - TV Stands &amp; Enterta-WUO_ERR'!A256 = "", "Validated", HYPERLINK("#" &amp; ADDRESS(256, '6 - TV Stands &amp; Enterta-WUO_TRK'!A256),_xlfn.TEXTAFTER('6 - TV Stands &amp; Enterta-WUO_ERR'!A256, ":"))))</f>
        <v/>
      </c>
    </row>
    <row r="257">
      <c r="A257" s="39">
        <f>IF('6 - TV Stands &amp; Enterta'!B257 = "", "", IF('6 - TV Stands &amp; Enterta-WUO_ERR'!A257 = "", "Validated", HYPERLINK("#" &amp; ADDRESS(257, '6 - TV Stands &amp; Enterta-WUO_TRK'!A257),_xlfn.TEXTAFTER('6 - TV Stands &amp; Enterta-WUO_ERR'!A257, ":"))))</f>
        <v/>
      </c>
    </row>
    <row r="258">
      <c r="A258" s="39">
        <f>IF('6 - TV Stands &amp; Enterta'!B258 = "", "", IF('6 - TV Stands &amp; Enterta-WUO_ERR'!A258 = "", "Validated", HYPERLINK("#" &amp; ADDRESS(258, '6 - TV Stands &amp; Enterta-WUO_TRK'!A258),_xlfn.TEXTAFTER('6 - TV Stands &amp; Enterta-WUO_ERR'!A258, ":"))))</f>
        <v/>
      </c>
    </row>
    <row r="259">
      <c r="A259" s="39">
        <f>IF('6 - TV Stands &amp; Enterta'!B259 = "", "", IF('6 - TV Stands &amp; Enterta-WUO_ERR'!A259 = "", "Validated", HYPERLINK("#" &amp; ADDRESS(259, '6 - TV Stands &amp; Enterta-WUO_TRK'!A259),_xlfn.TEXTAFTER('6 - TV Stands &amp; Enterta-WUO_ERR'!A259, ":"))))</f>
        <v/>
      </c>
    </row>
    <row r="260">
      <c r="A260" s="39">
        <f>IF('6 - TV Stands &amp; Enterta'!B260 = "", "", IF('6 - TV Stands &amp; Enterta-WUO_ERR'!A260 = "", "Validated", HYPERLINK("#" &amp; ADDRESS(260, '6 - TV Stands &amp; Enterta-WUO_TRK'!A260),_xlfn.TEXTAFTER('6 - TV Stands &amp; Enterta-WUO_ERR'!A260, ":"))))</f>
        <v/>
      </c>
    </row>
    <row r="261">
      <c r="A261" s="39">
        <f>IF('6 - TV Stands &amp; Enterta'!B261 = "", "", IF('6 - TV Stands &amp; Enterta-WUO_ERR'!A261 = "", "Validated", HYPERLINK("#" &amp; ADDRESS(261, '6 - TV Stands &amp; Enterta-WUO_TRK'!A261),_xlfn.TEXTAFTER('6 - TV Stands &amp; Enterta-WUO_ERR'!A261, ":"))))</f>
        <v/>
      </c>
    </row>
    <row r="262">
      <c r="A262" s="39">
        <f>IF('6 - TV Stands &amp; Enterta'!B262 = "", "", IF('6 - TV Stands &amp; Enterta-WUO_ERR'!A262 = "", "Validated", HYPERLINK("#" &amp; ADDRESS(262, '6 - TV Stands &amp; Enterta-WUO_TRK'!A262),_xlfn.TEXTAFTER('6 - TV Stands &amp; Enterta-WUO_ERR'!A262, ":"))))</f>
        <v/>
      </c>
    </row>
    <row r="263">
      <c r="A263" s="39">
        <f>IF('6 - TV Stands &amp; Enterta'!B263 = "", "", IF('6 - TV Stands &amp; Enterta-WUO_ERR'!A263 = "", "Validated", HYPERLINK("#" &amp; ADDRESS(263, '6 - TV Stands &amp; Enterta-WUO_TRK'!A263),_xlfn.TEXTAFTER('6 - TV Stands &amp; Enterta-WUO_ERR'!A263, ":"))))</f>
        <v/>
      </c>
    </row>
    <row r="264">
      <c r="A264" s="39">
        <f>IF('6 - TV Stands &amp; Enterta'!B264 = "", "", IF('6 - TV Stands &amp; Enterta-WUO_ERR'!A264 = "", "Validated", HYPERLINK("#" &amp; ADDRESS(264, '6 - TV Stands &amp; Enterta-WUO_TRK'!A264),_xlfn.TEXTAFTER('6 - TV Stands &amp; Enterta-WUO_ERR'!A264, ":"))))</f>
        <v/>
      </c>
    </row>
    <row r="265">
      <c r="A265" s="39">
        <f>IF('6 - TV Stands &amp; Enterta'!B265 = "", "", IF('6 - TV Stands &amp; Enterta-WUO_ERR'!A265 = "", "Validated", HYPERLINK("#" &amp; ADDRESS(265, '6 - TV Stands &amp; Enterta-WUO_TRK'!A265),_xlfn.TEXTAFTER('6 - TV Stands &amp; Enterta-WUO_ERR'!A265, ":"))))</f>
        <v/>
      </c>
    </row>
    <row r="266">
      <c r="A266" s="39">
        <f>IF('6 - TV Stands &amp; Enterta'!B266 = "", "", IF('6 - TV Stands &amp; Enterta-WUO_ERR'!A266 = "", "Validated", HYPERLINK("#" &amp; ADDRESS(266, '6 - TV Stands &amp; Enterta-WUO_TRK'!A266),_xlfn.TEXTAFTER('6 - TV Stands &amp; Enterta-WUO_ERR'!A266, ":"))))</f>
        <v/>
      </c>
    </row>
    <row r="267">
      <c r="A267" s="39">
        <f>IF('6 - TV Stands &amp; Enterta'!B267 = "", "", IF('6 - TV Stands &amp; Enterta-WUO_ERR'!A267 = "", "Validated", HYPERLINK("#" &amp; ADDRESS(267, '6 - TV Stands &amp; Enterta-WUO_TRK'!A267),_xlfn.TEXTAFTER('6 - TV Stands &amp; Enterta-WUO_ERR'!A267, ":"))))</f>
        <v/>
      </c>
    </row>
    <row r="268">
      <c r="A268" s="39">
        <f>IF('6 - TV Stands &amp; Enterta'!B268 = "", "", IF('6 - TV Stands &amp; Enterta-WUO_ERR'!A268 = "", "Validated", HYPERLINK("#" &amp; ADDRESS(268, '6 - TV Stands &amp; Enterta-WUO_TRK'!A268),_xlfn.TEXTAFTER('6 - TV Stands &amp; Enterta-WUO_ERR'!A268, ":"))))</f>
        <v/>
      </c>
    </row>
    <row r="269">
      <c r="A269" s="39">
        <f>IF('6 - TV Stands &amp; Enterta'!B269 = "", "", IF('6 - TV Stands &amp; Enterta-WUO_ERR'!A269 = "", "Validated", HYPERLINK("#" &amp; ADDRESS(269, '6 - TV Stands &amp; Enterta-WUO_TRK'!A269),_xlfn.TEXTAFTER('6 - TV Stands &amp; Enterta-WUO_ERR'!A269, ":"))))</f>
        <v/>
      </c>
    </row>
    <row r="270">
      <c r="A270" s="39">
        <f>IF('6 - TV Stands &amp; Enterta'!B270 = "", "", IF('6 - TV Stands &amp; Enterta-WUO_ERR'!A270 = "", "Validated", HYPERLINK("#" &amp; ADDRESS(270, '6 - TV Stands &amp; Enterta-WUO_TRK'!A270),_xlfn.TEXTAFTER('6 - TV Stands &amp; Enterta-WUO_ERR'!A270, ":"))))</f>
        <v/>
      </c>
    </row>
    <row r="271">
      <c r="A271" s="39">
        <f>IF('6 - TV Stands &amp; Enterta'!B271 = "", "", IF('6 - TV Stands &amp; Enterta-WUO_ERR'!A271 = "", "Validated", HYPERLINK("#" &amp; ADDRESS(271, '6 - TV Stands &amp; Enterta-WUO_TRK'!A271),_xlfn.TEXTAFTER('6 - TV Stands &amp; Enterta-WUO_ERR'!A271, ":"))))</f>
        <v/>
      </c>
    </row>
    <row r="272">
      <c r="A272" s="39">
        <f>IF('6 - TV Stands &amp; Enterta'!B272 = "", "", IF('6 - TV Stands &amp; Enterta-WUO_ERR'!A272 = "", "Validated", HYPERLINK("#" &amp; ADDRESS(272, '6 - TV Stands &amp; Enterta-WUO_TRK'!A272),_xlfn.TEXTAFTER('6 - TV Stands &amp; Enterta-WUO_ERR'!A272, ":"))))</f>
        <v/>
      </c>
    </row>
    <row r="273">
      <c r="A273" s="39">
        <f>IF('6 - TV Stands &amp; Enterta'!B273 = "", "", IF('6 - TV Stands &amp; Enterta-WUO_ERR'!A273 = "", "Validated", HYPERLINK("#" &amp; ADDRESS(273, '6 - TV Stands &amp; Enterta-WUO_TRK'!A273),_xlfn.TEXTAFTER('6 - TV Stands &amp; Enterta-WUO_ERR'!A273, ":"))))</f>
        <v/>
      </c>
    </row>
    <row r="274">
      <c r="A274" s="39">
        <f>IF('6 - TV Stands &amp; Enterta'!B274 = "", "", IF('6 - TV Stands &amp; Enterta-WUO_ERR'!A274 = "", "Validated", HYPERLINK("#" &amp; ADDRESS(274, '6 - TV Stands &amp; Enterta-WUO_TRK'!A274),_xlfn.TEXTAFTER('6 - TV Stands &amp; Enterta-WUO_ERR'!A274, ":"))))</f>
        <v/>
      </c>
    </row>
    <row r="275">
      <c r="A275" s="39">
        <f>IF('6 - TV Stands &amp; Enterta'!B275 = "", "", IF('6 - TV Stands &amp; Enterta-WUO_ERR'!A275 = "", "Validated", HYPERLINK("#" &amp; ADDRESS(275, '6 - TV Stands &amp; Enterta-WUO_TRK'!A275),_xlfn.TEXTAFTER('6 - TV Stands &amp; Enterta-WUO_ERR'!A275, ":"))))</f>
        <v/>
      </c>
    </row>
    <row r="276">
      <c r="A276" s="39">
        <f>IF('6 - TV Stands &amp; Enterta'!B276 = "", "", IF('6 - TV Stands &amp; Enterta-WUO_ERR'!A276 = "", "Validated", HYPERLINK("#" &amp; ADDRESS(276, '6 - TV Stands &amp; Enterta-WUO_TRK'!A276),_xlfn.TEXTAFTER('6 - TV Stands &amp; Enterta-WUO_ERR'!A276, ":"))))</f>
        <v/>
      </c>
    </row>
    <row r="277">
      <c r="A277" s="39">
        <f>IF('6 - TV Stands &amp; Enterta'!B277 = "", "", IF('6 - TV Stands &amp; Enterta-WUO_ERR'!A277 = "", "Validated", HYPERLINK("#" &amp; ADDRESS(277, '6 - TV Stands &amp; Enterta-WUO_TRK'!A277),_xlfn.TEXTAFTER('6 - TV Stands &amp; Enterta-WUO_ERR'!A277, ":"))))</f>
        <v/>
      </c>
    </row>
    <row r="278">
      <c r="A278" s="39">
        <f>IF('6 - TV Stands &amp; Enterta'!B278 = "", "", IF('6 - TV Stands &amp; Enterta-WUO_ERR'!A278 = "", "Validated", HYPERLINK("#" &amp; ADDRESS(278, '6 - TV Stands &amp; Enterta-WUO_TRK'!A278),_xlfn.TEXTAFTER('6 - TV Stands &amp; Enterta-WUO_ERR'!A278, ":"))))</f>
        <v/>
      </c>
    </row>
    <row r="279">
      <c r="A279" s="39">
        <f>IF('6 - TV Stands &amp; Enterta'!B279 = "", "", IF('6 - TV Stands &amp; Enterta-WUO_ERR'!A279 = "", "Validated", HYPERLINK("#" &amp; ADDRESS(279, '6 - TV Stands &amp; Enterta-WUO_TRK'!A279),_xlfn.TEXTAFTER('6 - TV Stands &amp; Enterta-WUO_ERR'!A279, ":"))))</f>
        <v/>
      </c>
    </row>
    <row r="280">
      <c r="A280" s="39">
        <f>IF('6 - TV Stands &amp; Enterta'!B280 = "", "", IF('6 - TV Stands &amp; Enterta-WUO_ERR'!A280 = "", "Validated", HYPERLINK("#" &amp; ADDRESS(280, '6 - TV Stands &amp; Enterta-WUO_TRK'!A280),_xlfn.TEXTAFTER('6 - TV Stands &amp; Enterta-WUO_ERR'!A280, ":"))))</f>
        <v/>
      </c>
    </row>
    <row r="281">
      <c r="A281" s="39">
        <f>IF('6 - TV Stands &amp; Enterta'!B281 = "", "", IF('6 - TV Stands &amp; Enterta-WUO_ERR'!A281 = "", "Validated", HYPERLINK("#" &amp; ADDRESS(281, '6 - TV Stands &amp; Enterta-WUO_TRK'!A281),_xlfn.TEXTAFTER('6 - TV Stands &amp; Enterta-WUO_ERR'!A281, ":"))))</f>
        <v/>
      </c>
    </row>
    <row r="282">
      <c r="A282" s="39">
        <f>IF('6 - TV Stands &amp; Enterta'!B282 = "", "", IF('6 - TV Stands &amp; Enterta-WUO_ERR'!A282 = "", "Validated", HYPERLINK("#" &amp; ADDRESS(282, '6 - TV Stands &amp; Enterta-WUO_TRK'!A282),_xlfn.TEXTAFTER('6 - TV Stands &amp; Enterta-WUO_ERR'!A282, ":"))))</f>
        <v/>
      </c>
    </row>
    <row r="283">
      <c r="A283" s="39">
        <f>IF('6 - TV Stands &amp; Enterta'!B283 = "", "", IF('6 - TV Stands &amp; Enterta-WUO_ERR'!A283 = "", "Validated", HYPERLINK("#" &amp; ADDRESS(283, '6 - TV Stands &amp; Enterta-WUO_TRK'!A283),_xlfn.TEXTAFTER('6 - TV Stands &amp; Enterta-WUO_ERR'!A283, ":"))))</f>
        <v/>
      </c>
    </row>
    <row r="284">
      <c r="A284" s="39">
        <f>IF('6 - TV Stands &amp; Enterta'!B284 = "", "", IF('6 - TV Stands &amp; Enterta-WUO_ERR'!A284 = "", "Validated", HYPERLINK("#" &amp; ADDRESS(284, '6 - TV Stands &amp; Enterta-WUO_TRK'!A284),_xlfn.TEXTAFTER('6 - TV Stands &amp; Enterta-WUO_ERR'!A284, ":"))))</f>
        <v/>
      </c>
    </row>
    <row r="285">
      <c r="A285" s="39">
        <f>IF('6 - TV Stands &amp; Enterta'!B285 = "", "", IF('6 - TV Stands &amp; Enterta-WUO_ERR'!A285 = "", "Validated", HYPERLINK("#" &amp; ADDRESS(285, '6 - TV Stands &amp; Enterta-WUO_TRK'!A285),_xlfn.TEXTAFTER('6 - TV Stands &amp; Enterta-WUO_ERR'!A285, ":"))))</f>
        <v/>
      </c>
    </row>
    <row r="286">
      <c r="A286" s="39">
        <f>IF('6 - TV Stands &amp; Enterta'!B286 = "", "", IF('6 - TV Stands &amp; Enterta-WUO_ERR'!A286 = "", "Validated", HYPERLINK("#" &amp; ADDRESS(286, '6 - TV Stands &amp; Enterta-WUO_TRK'!A286),_xlfn.TEXTAFTER('6 - TV Stands &amp; Enterta-WUO_ERR'!A286, ":"))))</f>
        <v/>
      </c>
    </row>
    <row r="287">
      <c r="A287" s="39">
        <f>IF('6 - TV Stands &amp; Enterta'!B287 = "", "", IF('6 - TV Stands &amp; Enterta-WUO_ERR'!A287 = "", "Validated", HYPERLINK("#" &amp; ADDRESS(287, '6 - TV Stands &amp; Enterta-WUO_TRK'!A287),_xlfn.TEXTAFTER('6 - TV Stands &amp; Enterta-WUO_ERR'!A287, ":"))))</f>
        <v/>
      </c>
    </row>
    <row r="288">
      <c r="A288" s="39">
        <f>IF('6 - TV Stands &amp; Enterta'!B288 = "", "", IF('6 - TV Stands &amp; Enterta-WUO_ERR'!A288 = "", "Validated", HYPERLINK("#" &amp; ADDRESS(288, '6 - TV Stands &amp; Enterta-WUO_TRK'!A288),_xlfn.TEXTAFTER('6 - TV Stands &amp; Enterta-WUO_ERR'!A288, ":"))))</f>
        <v/>
      </c>
    </row>
    <row r="289">
      <c r="A289" s="39">
        <f>IF('6 - TV Stands &amp; Enterta'!B289 = "", "", IF('6 - TV Stands &amp; Enterta-WUO_ERR'!A289 = "", "Validated", HYPERLINK("#" &amp; ADDRESS(289, '6 - TV Stands &amp; Enterta-WUO_TRK'!A289),_xlfn.TEXTAFTER('6 - TV Stands &amp; Enterta-WUO_ERR'!A289, ":"))))</f>
        <v/>
      </c>
    </row>
    <row r="290">
      <c r="A290" s="39">
        <f>IF('6 - TV Stands &amp; Enterta'!B290 = "", "", IF('6 - TV Stands &amp; Enterta-WUO_ERR'!A290 = "", "Validated", HYPERLINK("#" &amp; ADDRESS(290, '6 - TV Stands &amp; Enterta-WUO_TRK'!A290),_xlfn.TEXTAFTER('6 - TV Stands &amp; Enterta-WUO_ERR'!A290, ":"))))</f>
        <v/>
      </c>
    </row>
    <row r="291">
      <c r="A291" s="39">
        <f>IF('6 - TV Stands &amp; Enterta'!B291 = "", "", IF('6 - TV Stands &amp; Enterta-WUO_ERR'!A291 = "", "Validated", HYPERLINK("#" &amp; ADDRESS(291, '6 - TV Stands &amp; Enterta-WUO_TRK'!A291),_xlfn.TEXTAFTER('6 - TV Stands &amp; Enterta-WUO_ERR'!A291, ":"))))</f>
        <v/>
      </c>
    </row>
    <row r="292">
      <c r="A292" s="39">
        <f>IF('6 - TV Stands &amp; Enterta'!B292 = "", "", IF('6 - TV Stands &amp; Enterta-WUO_ERR'!A292 = "", "Validated", HYPERLINK("#" &amp; ADDRESS(292, '6 - TV Stands &amp; Enterta-WUO_TRK'!A292),_xlfn.TEXTAFTER('6 - TV Stands &amp; Enterta-WUO_ERR'!A292, ":"))))</f>
        <v/>
      </c>
    </row>
    <row r="293">
      <c r="A293" s="39">
        <f>IF('6 - TV Stands &amp; Enterta'!B293 = "", "", IF('6 - TV Stands &amp; Enterta-WUO_ERR'!A293 = "", "Validated", HYPERLINK("#" &amp; ADDRESS(293, '6 - TV Stands &amp; Enterta-WUO_TRK'!A293),_xlfn.TEXTAFTER('6 - TV Stands &amp; Enterta-WUO_ERR'!A293, ":"))))</f>
        <v/>
      </c>
    </row>
    <row r="294">
      <c r="A294" s="39">
        <f>IF('6 - TV Stands &amp; Enterta'!B294 = "", "", IF('6 - TV Stands &amp; Enterta-WUO_ERR'!A294 = "", "Validated", HYPERLINK("#" &amp; ADDRESS(294, '6 - TV Stands &amp; Enterta-WUO_TRK'!A294),_xlfn.TEXTAFTER('6 - TV Stands &amp; Enterta-WUO_ERR'!A294, ":"))))</f>
        <v/>
      </c>
    </row>
    <row r="295">
      <c r="A295" s="39">
        <f>IF('6 - TV Stands &amp; Enterta'!B295 = "", "", IF('6 - TV Stands &amp; Enterta-WUO_ERR'!A295 = "", "Validated", HYPERLINK("#" &amp; ADDRESS(295, '6 - TV Stands &amp; Enterta-WUO_TRK'!A295),_xlfn.TEXTAFTER('6 - TV Stands &amp; Enterta-WUO_ERR'!A295, ":"))))</f>
        <v/>
      </c>
    </row>
    <row r="296">
      <c r="A296" s="39">
        <f>IF('6 - TV Stands &amp; Enterta'!B296 = "", "", IF('6 - TV Stands &amp; Enterta-WUO_ERR'!A296 = "", "Validated", HYPERLINK("#" &amp; ADDRESS(296, '6 - TV Stands &amp; Enterta-WUO_TRK'!A296),_xlfn.TEXTAFTER('6 - TV Stands &amp; Enterta-WUO_ERR'!A296, ":"))))</f>
        <v/>
      </c>
    </row>
    <row r="297">
      <c r="A297" s="39">
        <f>IF('6 - TV Stands &amp; Enterta'!B297 = "", "", IF('6 - TV Stands &amp; Enterta-WUO_ERR'!A297 = "", "Validated", HYPERLINK("#" &amp; ADDRESS(297, '6 - TV Stands &amp; Enterta-WUO_TRK'!A297),_xlfn.TEXTAFTER('6 - TV Stands &amp; Enterta-WUO_ERR'!A297, ":"))))</f>
        <v/>
      </c>
    </row>
    <row r="298">
      <c r="A298" s="39">
        <f>IF('6 - TV Stands &amp; Enterta'!B298 = "", "", IF('6 - TV Stands &amp; Enterta-WUO_ERR'!A298 = "", "Validated", HYPERLINK("#" &amp; ADDRESS(298, '6 - TV Stands &amp; Enterta-WUO_TRK'!A298),_xlfn.TEXTAFTER('6 - TV Stands &amp; Enterta-WUO_ERR'!A298, ":"))))</f>
        <v/>
      </c>
    </row>
    <row r="299">
      <c r="A299" s="39">
        <f>IF('6 - TV Stands &amp; Enterta'!B299 = "", "", IF('6 - TV Stands &amp; Enterta-WUO_ERR'!A299 = "", "Validated", HYPERLINK("#" &amp; ADDRESS(299, '6 - TV Stands &amp; Enterta-WUO_TRK'!A299),_xlfn.TEXTAFTER('6 - TV Stands &amp; Enterta-WUO_ERR'!A299, ":"))))</f>
        <v/>
      </c>
    </row>
    <row r="300">
      <c r="A300" s="39">
        <f>IF('6 - TV Stands &amp; Enterta'!B300 = "", "", IF('6 - TV Stands &amp; Enterta-WUO_ERR'!A300 = "", "Validated", HYPERLINK("#" &amp; ADDRESS(300, '6 - TV Stands &amp; Enterta-WUO_TRK'!A300),_xlfn.TEXTAFTER('6 - TV Stands &amp; Enterta-WUO_ERR'!A300, ":"))))</f>
        <v/>
      </c>
    </row>
    <row r="301">
      <c r="A301" s="39">
        <f>IF('6 - TV Stands &amp; Enterta'!B301 = "", "", IF('6 - TV Stands &amp; Enterta-WUO_ERR'!A301 = "", "Validated", HYPERLINK("#" &amp; ADDRESS(301, '6 - TV Stands &amp; Enterta-WUO_TRK'!A301),_xlfn.TEXTAFTER('6 - TV Stands &amp; Enterta-WUO_ERR'!A301, ":"))))</f>
        <v/>
      </c>
    </row>
    <row r="302">
      <c r="A302" s="39">
        <f>IF('6 - TV Stands &amp; Enterta'!B302 = "", "", IF('6 - TV Stands &amp; Enterta-WUO_ERR'!A302 = "", "Validated", HYPERLINK("#" &amp; ADDRESS(302, '6 - TV Stands &amp; Enterta-WUO_TRK'!A302),_xlfn.TEXTAFTER('6 - TV Stands &amp; Enterta-WUO_ERR'!A302, ":"))))</f>
        <v/>
      </c>
    </row>
    <row r="303">
      <c r="A303" s="39">
        <f>IF('6 - TV Stands &amp; Enterta'!B303 = "", "", IF('6 - TV Stands &amp; Enterta-WUO_ERR'!A303 = "", "Validated", HYPERLINK("#" &amp; ADDRESS(303, '6 - TV Stands &amp; Enterta-WUO_TRK'!A303),_xlfn.TEXTAFTER('6 - TV Stands &amp; Enterta-WUO_ERR'!A303, ":"))))</f>
        <v/>
      </c>
    </row>
    <row r="304">
      <c r="A304" s="39">
        <f>IF('6 - TV Stands &amp; Enterta'!B304 = "", "", IF('6 - TV Stands &amp; Enterta-WUO_ERR'!A304 = "", "Validated", HYPERLINK("#" &amp; ADDRESS(304, '6 - TV Stands &amp; Enterta-WUO_TRK'!A304),_xlfn.TEXTAFTER('6 - TV Stands &amp; Enterta-WUO_ERR'!A304, ":"))))</f>
        <v/>
      </c>
    </row>
    <row r="305">
      <c r="A305" s="39">
        <f>IF('6 - TV Stands &amp; Enterta'!B305 = "", "", IF('6 - TV Stands &amp; Enterta-WUO_ERR'!A305 = "", "Validated", HYPERLINK("#" &amp; ADDRESS(305, '6 - TV Stands &amp; Enterta-WUO_TRK'!A305),_xlfn.TEXTAFTER('6 - TV Stands &amp; Enterta-WUO_ERR'!A305, ":"))))</f>
        <v/>
      </c>
    </row>
    <row r="306">
      <c r="A306" s="39">
        <f>IF('6 - TV Stands &amp; Enterta'!B306 = "", "", IF('6 - TV Stands &amp; Enterta-WUO_ERR'!A306 = "", "Validated", HYPERLINK("#" &amp; ADDRESS(306, '6 - TV Stands &amp; Enterta-WUO_TRK'!A306),_xlfn.TEXTAFTER('6 - TV Stands &amp; Enterta-WUO_ERR'!A306, ":"))))</f>
        <v/>
      </c>
    </row>
    <row r="307">
      <c r="A307" s="39">
        <f>IF('6 - TV Stands &amp; Enterta'!B307 = "", "", IF('6 - TV Stands &amp; Enterta-WUO_ERR'!A307 = "", "Validated", HYPERLINK("#" &amp; ADDRESS(307, '6 - TV Stands &amp; Enterta-WUO_TRK'!A307),_xlfn.TEXTAFTER('6 - TV Stands &amp; Enterta-WUO_ERR'!A307, ":"))))</f>
        <v/>
      </c>
    </row>
    <row r="308">
      <c r="A308" s="39">
        <f>IF('6 - TV Stands &amp; Enterta'!B308 = "", "", IF('6 - TV Stands &amp; Enterta-WUO_ERR'!A308 = "", "Validated", HYPERLINK("#" &amp; ADDRESS(308, '6 - TV Stands &amp; Enterta-WUO_TRK'!A308),_xlfn.TEXTAFTER('6 - TV Stands &amp; Enterta-WUO_ERR'!A308, ":"))))</f>
        <v/>
      </c>
    </row>
    <row r="309">
      <c r="A309" s="39">
        <f>IF('6 - TV Stands &amp; Enterta'!B309 = "", "", IF('6 - TV Stands &amp; Enterta-WUO_ERR'!A309 = "", "Validated", HYPERLINK("#" &amp; ADDRESS(309, '6 - TV Stands &amp; Enterta-WUO_TRK'!A309),_xlfn.TEXTAFTER('6 - TV Stands &amp; Enterta-WUO_ERR'!A309, ":"))))</f>
        <v/>
      </c>
    </row>
    <row r="310">
      <c r="A310" s="39">
        <f>IF('6 - TV Stands &amp; Enterta'!B310 = "", "", IF('6 - TV Stands &amp; Enterta-WUO_ERR'!A310 = "", "Validated", HYPERLINK("#" &amp; ADDRESS(310, '6 - TV Stands &amp; Enterta-WUO_TRK'!A310),_xlfn.TEXTAFTER('6 - TV Stands &amp; Enterta-WUO_ERR'!A310, ":"))))</f>
        <v/>
      </c>
    </row>
    <row r="311">
      <c r="A311" s="39">
        <f>IF('6 - TV Stands &amp; Enterta'!B311 = "", "", IF('6 - TV Stands &amp; Enterta-WUO_ERR'!A311 = "", "Validated", HYPERLINK("#" &amp; ADDRESS(311, '6 - TV Stands &amp; Enterta-WUO_TRK'!A311),_xlfn.TEXTAFTER('6 - TV Stands &amp; Enterta-WUO_ERR'!A311, ":"))))</f>
        <v/>
      </c>
    </row>
    <row r="312">
      <c r="A312" s="39">
        <f>IF('6 - TV Stands &amp; Enterta'!B312 = "", "", IF('6 - TV Stands &amp; Enterta-WUO_ERR'!A312 = "", "Validated", HYPERLINK("#" &amp; ADDRESS(312, '6 - TV Stands &amp; Enterta-WUO_TRK'!A312),_xlfn.TEXTAFTER('6 - TV Stands &amp; Enterta-WUO_ERR'!A312, ":"))))</f>
        <v/>
      </c>
    </row>
    <row r="313">
      <c r="A313" s="39">
        <f>IF('6 - TV Stands &amp; Enterta'!B313 = "", "", IF('6 - TV Stands &amp; Enterta-WUO_ERR'!A313 = "", "Validated", HYPERLINK("#" &amp; ADDRESS(313, '6 - TV Stands &amp; Enterta-WUO_TRK'!A313),_xlfn.TEXTAFTER('6 - TV Stands &amp; Enterta-WUO_ERR'!A313, ":"))))</f>
        <v/>
      </c>
    </row>
    <row r="314">
      <c r="A314" s="39">
        <f>IF('6 - TV Stands &amp; Enterta'!B314 = "", "", IF('6 - TV Stands &amp; Enterta-WUO_ERR'!A314 = "", "Validated", HYPERLINK("#" &amp; ADDRESS(314, '6 - TV Stands &amp; Enterta-WUO_TRK'!A314),_xlfn.TEXTAFTER('6 - TV Stands &amp; Enterta-WUO_ERR'!A314, ":"))))</f>
        <v/>
      </c>
    </row>
    <row r="315">
      <c r="A315" s="39">
        <f>IF('6 - TV Stands &amp; Enterta'!B315 = "", "", IF('6 - TV Stands &amp; Enterta-WUO_ERR'!A315 = "", "Validated", HYPERLINK("#" &amp; ADDRESS(315, '6 - TV Stands &amp; Enterta-WUO_TRK'!A315),_xlfn.TEXTAFTER('6 - TV Stands &amp; Enterta-WUO_ERR'!A315, ":"))))</f>
        <v/>
      </c>
    </row>
    <row r="316">
      <c r="A316" s="39">
        <f>IF('6 - TV Stands &amp; Enterta'!B316 = "", "", IF('6 - TV Stands &amp; Enterta-WUO_ERR'!A316 = "", "Validated", HYPERLINK("#" &amp; ADDRESS(316, '6 - TV Stands &amp; Enterta-WUO_TRK'!A316),_xlfn.TEXTAFTER('6 - TV Stands &amp; Enterta-WUO_ERR'!A316, ":"))))</f>
        <v/>
      </c>
    </row>
    <row r="317">
      <c r="A317" s="39">
        <f>IF('6 - TV Stands &amp; Enterta'!B317 = "", "", IF('6 - TV Stands &amp; Enterta-WUO_ERR'!A317 = "", "Validated", HYPERLINK("#" &amp; ADDRESS(317, '6 - TV Stands &amp; Enterta-WUO_TRK'!A317),_xlfn.TEXTAFTER('6 - TV Stands &amp; Enterta-WUO_ERR'!A317, ":"))))</f>
        <v/>
      </c>
    </row>
    <row r="318">
      <c r="A318" s="39">
        <f>IF('6 - TV Stands &amp; Enterta'!B318 = "", "", IF('6 - TV Stands &amp; Enterta-WUO_ERR'!A318 = "", "Validated", HYPERLINK("#" &amp; ADDRESS(318, '6 - TV Stands &amp; Enterta-WUO_TRK'!A318),_xlfn.TEXTAFTER('6 - TV Stands &amp; Enterta-WUO_ERR'!A318, ":"))))</f>
        <v/>
      </c>
    </row>
    <row r="319">
      <c r="A319" s="39">
        <f>IF('6 - TV Stands &amp; Enterta'!B319 = "", "", IF('6 - TV Stands &amp; Enterta-WUO_ERR'!A319 = "", "Validated", HYPERLINK("#" &amp; ADDRESS(319, '6 - TV Stands &amp; Enterta-WUO_TRK'!A319),_xlfn.TEXTAFTER('6 - TV Stands &amp; Enterta-WUO_ERR'!A319, ":"))))</f>
        <v/>
      </c>
    </row>
    <row r="320">
      <c r="A320" s="39">
        <f>IF('6 - TV Stands &amp; Enterta'!B320 = "", "", IF('6 - TV Stands &amp; Enterta-WUO_ERR'!A320 = "", "Validated", HYPERLINK("#" &amp; ADDRESS(320, '6 - TV Stands &amp; Enterta-WUO_TRK'!A320),_xlfn.TEXTAFTER('6 - TV Stands &amp; Enterta-WUO_ERR'!A320, ":"))))</f>
        <v/>
      </c>
    </row>
    <row r="321">
      <c r="A321" s="39">
        <f>IF('6 - TV Stands &amp; Enterta'!B321 = "", "", IF('6 - TV Stands &amp; Enterta-WUO_ERR'!A321 = "", "Validated", HYPERLINK("#" &amp; ADDRESS(321, '6 - TV Stands &amp; Enterta-WUO_TRK'!A321),_xlfn.TEXTAFTER('6 - TV Stands &amp; Enterta-WUO_ERR'!A321, ":"))))</f>
        <v/>
      </c>
    </row>
    <row r="322">
      <c r="A322" s="39">
        <f>IF('6 - TV Stands &amp; Enterta'!B322 = "", "", IF('6 - TV Stands &amp; Enterta-WUO_ERR'!A322 = "", "Validated", HYPERLINK("#" &amp; ADDRESS(322, '6 - TV Stands &amp; Enterta-WUO_TRK'!A322),_xlfn.TEXTAFTER('6 - TV Stands &amp; Enterta-WUO_ERR'!A322, ":"))))</f>
        <v/>
      </c>
    </row>
    <row r="323">
      <c r="A323" s="39">
        <f>IF('6 - TV Stands &amp; Enterta'!B323 = "", "", IF('6 - TV Stands &amp; Enterta-WUO_ERR'!A323 = "", "Validated", HYPERLINK("#" &amp; ADDRESS(323, '6 - TV Stands &amp; Enterta-WUO_TRK'!A323),_xlfn.TEXTAFTER('6 - TV Stands &amp; Enterta-WUO_ERR'!A323, ":"))))</f>
        <v/>
      </c>
    </row>
    <row r="324">
      <c r="A324" s="39">
        <f>IF('6 - TV Stands &amp; Enterta'!B324 = "", "", IF('6 - TV Stands &amp; Enterta-WUO_ERR'!A324 = "", "Validated", HYPERLINK("#" &amp; ADDRESS(324, '6 - TV Stands &amp; Enterta-WUO_TRK'!A324),_xlfn.TEXTAFTER('6 - TV Stands &amp; Enterta-WUO_ERR'!A324, ":"))))</f>
        <v/>
      </c>
    </row>
    <row r="325">
      <c r="A325" s="39">
        <f>IF('6 - TV Stands &amp; Enterta'!B325 = "", "", IF('6 - TV Stands &amp; Enterta-WUO_ERR'!A325 = "", "Validated", HYPERLINK("#" &amp; ADDRESS(325, '6 - TV Stands &amp; Enterta-WUO_TRK'!A325),_xlfn.TEXTAFTER('6 - TV Stands &amp; Enterta-WUO_ERR'!A325, ":"))))</f>
        <v/>
      </c>
    </row>
    <row r="326">
      <c r="A326" s="39">
        <f>IF('6 - TV Stands &amp; Enterta'!B326 = "", "", IF('6 - TV Stands &amp; Enterta-WUO_ERR'!A326 = "", "Validated", HYPERLINK("#" &amp; ADDRESS(326, '6 - TV Stands &amp; Enterta-WUO_TRK'!A326),_xlfn.TEXTAFTER('6 - TV Stands &amp; Enterta-WUO_ERR'!A326, ":"))))</f>
        <v/>
      </c>
    </row>
    <row r="327">
      <c r="A327" s="39">
        <f>IF('6 - TV Stands &amp; Enterta'!B327 = "", "", IF('6 - TV Stands &amp; Enterta-WUO_ERR'!A327 = "", "Validated", HYPERLINK("#" &amp; ADDRESS(327, '6 - TV Stands &amp; Enterta-WUO_TRK'!A327),_xlfn.TEXTAFTER('6 - TV Stands &amp; Enterta-WUO_ERR'!A327, ":"))))</f>
        <v/>
      </c>
    </row>
    <row r="328">
      <c r="A328" s="39">
        <f>IF('6 - TV Stands &amp; Enterta'!B328 = "", "", IF('6 - TV Stands &amp; Enterta-WUO_ERR'!A328 = "", "Validated", HYPERLINK("#" &amp; ADDRESS(328, '6 - TV Stands &amp; Enterta-WUO_TRK'!A328),_xlfn.TEXTAFTER('6 - TV Stands &amp; Enterta-WUO_ERR'!A328, ":"))))</f>
        <v/>
      </c>
    </row>
    <row r="329">
      <c r="A329" s="39">
        <f>IF('6 - TV Stands &amp; Enterta'!B329 = "", "", IF('6 - TV Stands &amp; Enterta-WUO_ERR'!A329 = "", "Validated", HYPERLINK("#" &amp; ADDRESS(329, '6 - TV Stands &amp; Enterta-WUO_TRK'!A329),_xlfn.TEXTAFTER('6 - TV Stands &amp; Enterta-WUO_ERR'!A329, ":"))))</f>
        <v/>
      </c>
    </row>
    <row r="330">
      <c r="A330" s="39">
        <f>IF('6 - TV Stands &amp; Enterta'!B330 = "", "", IF('6 - TV Stands &amp; Enterta-WUO_ERR'!A330 = "", "Validated", HYPERLINK("#" &amp; ADDRESS(330, '6 - TV Stands &amp; Enterta-WUO_TRK'!A330),_xlfn.TEXTAFTER('6 - TV Stands &amp; Enterta-WUO_ERR'!A330, ":"))))</f>
        <v/>
      </c>
    </row>
    <row r="331">
      <c r="A331" s="39">
        <f>IF('6 - TV Stands &amp; Enterta'!B331 = "", "", IF('6 - TV Stands &amp; Enterta-WUO_ERR'!A331 = "", "Validated", HYPERLINK("#" &amp; ADDRESS(331, '6 - TV Stands &amp; Enterta-WUO_TRK'!A331),_xlfn.TEXTAFTER('6 - TV Stands &amp; Enterta-WUO_ERR'!A331, ":"))))</f>
        <v/>
      </c>
    </row>
    <row r="332">
      <c r="A332" s="39">
        <f>IF('6 - TV Stands &amp; Enterta'!B332 = "", "", IF('6 - TV Stands &amp; Enterta-WUO_ERR'!A332 = "", "Validated", HYPERLINK("#" &amp; ADDRESS(332, '6 - TV Stands &amp; Enterta-WUO_TRK'!A332),_xlfn.TEXTAFTER('6 - TV Stands &amp; Enterta-WUO_ERR'!A332, ":"))))</f>
        <v/>
      </c>
    </row>
    <row r="333">
      <c r="A333" s="39">
        <f>IF('6 - TV Stands &amp; Enterta'!B333 = "", "", IF('6 - TV Stands &amp; Enterta-WUO_ERR'!A333 = "", "Validated", HYPERLINK("#" &amp; ADDRESS(333, '6 - TV Stands &amp; Enterta-WUO_TRK'!A333),_xlfn.TEXTAFTER('6 - TV Stands &amp; Enterta-WUO_ERR'!A333, ":"))))</f>
        <v/>
      </c>
    </row>
    <row r="334">
      <c r="A334" s="39">
        <f>IF('6 - TV Stands &amp; Enterta'!B334 = "", "", IF('6 - TV Stands &amp; Enterta-WUO_ERR'!A334 = "", "Validated", HYPERLINK("#" &amp; ADDRESS(334, '6 - TV Stands &amp; Enterta-WUO_TRK'!A334),_xlfn.TEXTAFTER('6 - TV Stands &amp; Enterta-WUO_ERR'!A334, ":"))))</f>
        <v/>
      </c>
    </row>
    <row r="335">
      <c r="A335" s="39">
        <f>IF('6 - TV Stands &amp; Enterta'!B335 = "", "", IF('6 - TV Stands &amp; Enterta-WUO_ERR'!A335 = "", "Validated", HYPERLINK("#" &amp; ADDRESS(335, '6 - TV Stands &amp; Enterta-WUO_TRK'!A335),_xlfn.TEXTAFTER('6 - TV Stands &amp; Enterta-WUO_ERR'!A335, ":"))))</f>
        <v/>
      </c>
    </row>
    <row r="336">
      <c r="A336" s="39">
        <f>IF('6 - TV Stands &amp; Enterta'!B336 = "", "", IF('6 - TV Stands &amp; Enterta-WUO_ERR'!A336 = "", "Validated", HYPERLINK("#" &amp; ADDRESS(336, '6 - TV Stands &amp; Enterta-WUO_TRK'!A336),_xlfn.TEXTAFTER('6 - TV Stands &amp; Enterta-WUO_ERR'!A336, ":"))))</f>
        <v/>
      </c>
    </row>
    <row r="337">
      <c r="A337" s="39">
        <f>IF('6 - TV Stands &amp; Enterta'!B337 = "", "", IF('6 - TV Stands &amp; Enterta-WUO_ERR'!A337 = "", "Validated", HYPERLINK("#" &amp; ADDRESS(337, '6 - TV Stands &amp; Enterta-WUO_TRK'!A337),_xlfn.TEXTAFTER('6 - TV Stands &amp; Enterta-WUO_ERR'!A337, ":"))))</f>
        <v/>
      </c>
    </row>
    <row r="338">
      <c r="A338" s="39">
        <f>IF('6 - TV Stands &amp; Enterta'!B338 = "", "", IF('6 - TV Stands &amp; Enterta-WUO_ERR'!A338 = "", "Validated", HYPERLINK("#" &amp; ADDRESS(338, '6 - TV Stands &amp; Enterta-WUO_TRK'!A338),_xlfn.TEXTAFTER('6 - TV Stands &amp; Enterta-WUO_ERR'!A338, ":"))))</f>
        <v/>
      </c>
    </row>
    <row r="339">
      <c r="A339" s="39">
        <f>IF('6 - TV Stands &amp; Enterta'!B339 = "", "", IF('6 - TV Stands &amp; Enterta-WUO_ERR'!A339 = "", "Validated", HYPERLINK("#" &amp; ADDRESS(339, '6 - TV Stands &amp; Enterta-WUO_TRK'!A339),_xlfn.TEXTAFTER('6 - TV Stands &amp; Enterta-WUO_ERR'!A339, ":"))))</f>
        <v/>
      </c>
    </row>
    <row r="340">
      <c r="A340" s="39">
        <f>IF('6 - TV Stands &amp; Enterta'!B340 = "", "", IF('6 - TV Stands &amp; Enterta-WUO_ERR'!A340 = "", "Validated", HYPERLINK("#" &amp; ADDRESS(340, '6 - TV Stands &amp; Enterta-WUO_TRK'!A340),_xlfn.TEXTAFTER('6 - TV Stands &amp; Enterta-WUO_ERR'!A340, ":"))))</f>
        <v/>
      </c>
    </row>
    <row r="341">
      <c r="A341" s="39">
        <f>IF('6 - TV Stands &amp; Enterta'!B341 = "", "", IF('6 - TV Stands &amp; Enterta-WUO_ERR'!A341 = "", "Validated", HYPERLINK("#" &amp; ADDRESS(341, '6 - TV Stands &amp; Enterta-WUO_TRK'!A341),_xlfn.TEXTAFTER('6 - TV Stands &amp; Enterta-WUO_ERR'!A341, ":"))))</f>
        <v/>
      </c>
    </row>
    <row r="342">
      <c r="A342" s="39">
        <f>IF('6 - TV Stands &amp; Enterta'!B342 = "", "", IF('6 - TV Stands &amp; Enterta-WUO_ERR'!A342 = "", "Validated", HYPERLINK("#" &amp; ADDRESS(342, '6 - TV Stands &amp; Enterta-WUO_TRK'!A342),_xlfn.TEXTAFTER('6 - TV Stands &amp; Enterta-WUO_ERR'!A342, ":"))))</f>
        <v/>
      </c>
    </row>
    <row r="343">
      <c r="A343" s="39">
        <f>IF('6 - TV Stands &amp; Enterta'!B343 = "", "", IF('6 - TV Stands &amp; Enterta-WUO_ERR'!A343 = "", "Validated", HYPERLINK("#" &amp; ADDRESS(343, '6 - TV Stands &amp; Enterta-WUO_TRK'!A343),_xlfn.TEXTAFTER('6 - TV Stands &amp; Enterta-WUO_ERR'!A343, ":"))))</f>
        <v/>
      </c>
    </row>
    <row r="344">
      <c r="A344" s="39">
        <f>IF('6 - TV Stands &amp; Enterta'!B344 = "", "", IF('6 - TV Stands &amp; Enterta-WUO_ERR'!A344 = "", "Validated", HYPERLINK("#" &amp; ADDRESS(344, '6 - TV Stands &amp; Enterta-WUO_TRK'!A344),_xlfn.TEXTAFTER('6 - TV Stands &amp; Enterta-WUO_ERR'!A344, ":"))))</f>
        <v/>
      </c>
    </row>
    <row r="345">
      <c r="A345" s="39">
        <f>IF('6 - TV Stands &amp; Enterta'!B345 = "", "", IF('6 - TV Stands &amp; Enterta-WUO_ERR'!A345 = "", "Validated", HYPERLINK("#" &amp; ADDRESS(345, '6 - TV Stands &amp; Enterta-WUO_TRK'!A345),_xlfn.TEXTAFTER('6 - TV Stands &amp; Enterta-WUO_ERR'!A345, ":"))))</f>
        <v/>
      </c>
    </row>
    <row r="346">
      <c r="A346" s="39">
        <f>IF('6 - TV Stands &amp; Enterta'!B346 = "", "", IF('6 - TV Stands &amp; Enterta-WUO_ERR'!A346 = "", "Validated", HYPERLINK("#" &amp; ADDRESS(346, '6 - TV Stands &amp; Enterta-WUO_TRK'!A346),_xlfn.TEXTAFTER('6 - TV Stands &amp; Enterta-WUO_ERR'!A346, ":"))))</f>
        <v/>
      </c>
    </row>
    <row r="347">
      <c r="A347" s="39">
        <f>IF('6 - TV Stands &amp; Enterta'!B347 = "", "", IF('6 - TV Stands &amp; Enterta-WUO_ERR'!A347 = "", "Validated", HYPERLINK("#" &amp; ADDRESS(347, '6 - TV Stands &amp; Enterta-WUO_TRK'!A347),_xlfn.TEXTAFTER('6 - TV Stands &amp; Enterta-WUO_ERR'!A347, ":"))))</f>
        <v/>
      </c>
    </row>
    <row r="348">
      <c r="A348" s="39">
        <f>IF('6 - TV Stands &amp; Enterta'!B348 = "", "", IF('6 - TV Stands &amp; Enterta-WUO_ERR'!A348 = "", "Validated", HYPERLINK("#" &amp; ADDRESS(348, '6 - TV Stands &amp; Enterta-WUO_TRK'!A348),_xlfn.TEXTAFTER('6 - TV Stands &amp; Enterta-WUO_ERR'!A348, ":"))))</f>
        <v/>
      </c>
    </row>
    <row r="349">
      <c r="A349" s="39">
        <f>IF('6 - TV Stands &amp; Enterta'!B349 = "", "", IF('6 - TV Stands &amp; Enterta-WUO_ERR'!A349 = "", "Validated", HYPERLINK("#" &amp; ADDRESS(349, '6 - TV Stands &amp; Enterta-WUO_TRK'!A349),_xlfn.TEXTAFTER('6 - TV Stands &amp; Enterta-WUO_ERR'!A349, ":"))))</f>
        <v/>
      </c>
    </row>
    <row r="350">
      <c r="A350" s="39">
        <f>IF('6 - TV Stands &amp; Enterta'!B350 = "", "", IF('6 - TV Stands &amp; Enterta-WUO_ERR'!A350 = "", "Validated", HYPERLINK("#" &amp; ADDRESS(350, '6 - TV Stands &amp; Enterta-WUO_TRK'!A350),_xlfn.TEXTAFTER('6 - TV Stands &amp; Enterta-WUO_ERR'!A350, ":"))))</f>
        <v/>
      </c>
    </row>
    <row r="351">
      <c r="A351" s="39">
        <f>IF('6 - TV Stands &amp; Enterta'!B351 = "", "", IF('6 - TV Stands &amp; Enterta-WUO_ERR'!A351 = "", "Validated", HYPERLINK("#" &amp; ADDRESS(351, '6 - TV Stands &amp; Enterta-WUO_TRK'!A351),_xlfn.TEXTAFTER('6 - TV Stands &amp; Enterta-WUO_ERR'!A351, ":"))))</f>
        <v/>
      </c>
    </row>
    <row r="352">
      <c r="A352" s="39">
        <f>IF('6 - TV Stands &amp; Enterta'!B352 = "", "", IF('6 - TV Stands &amp; Enterta-WUO_ERR'!A352 = "", "Validated", HYPERLINK("#" &amp; ADDRESS(352, '6 - TV Stands &amp; Enterta-WUO_TRK'!A352),_xlfn.TEXTAFTER('6 - TV Stands &amp; Enterta-WUO_ERR'!A352, ":"))))</f>
        <v/>
      </c>
    </row>
    <row r="353">
      <c r="A353" s="39">
        <f>IF('6 - TV Stands &amp; Enterta'!B353 = "", "", IF('6 - TV Stands &amp; Enterta-WUO_ERR'!A353 = "", "Validated", HYPERLINK("#" &amp; ADDRESS(353, '6 - TV Stands &amp; Enterta-WUO_TRK'!A353),_xlfn.TEXTAFTER('6 - TV Stands &amp; Enterta-WUO_ERR'!A353, ":"))))</f>
        <v/>
      </c>
    </row>
    <row r="354">
      <c r="A354" s="39">
        <f>IF('6 - TV Stands &amp; Enterta'!B354 = "", "", IF('6 - TV Stands &amp; Enterta-WUO_ERR'!A354 = "", "Validated", HYPERLINK("#" &amp; ADDRESS(354, '6 - TV Stands &amp; Enterta-WUO_TRK'!A354),_xlfn.TEXTAFTER('6 - TV Stands &amp; Enterta-WUO_ERR'!A354, ":"))))</f>
        <v/>
      </c>
    </row>
    <row r="355">
      <c r="A355" s="39">
        <f>IF('6 - TV Stands &amp; Enterta'!B355 = "", "", IF('6 - TV Stands &amp; Enterta-WUO_ERR'!A355 = "", "Validated", HYPERLINK("#" &amp; ADDRESS(355, '6 - TV Stands &amp; Enterta-WUO_TRK'!A355),_xlfn.TEXTAFTER('6 - TV Stands &amp; Enterta-WUO_ERR'!A355, ":"))))</f>
        <v/>
      </c>
    </row>
    <row r="356">
      <c r="A356" s="39">
        <f>IF('6 - TV Stands &amp; Enterta'!B356 = "", "", IF('6 - TV Stands &amp; Enterta-WUO_ERR'!A356 = "", "Validated", HYPERLINK("#" &amp; ADDRESS(356, '6 - TV Stands &amp; Enterta-WUO_TRK'!A356),_xlfn.TEXTAFTER('6 - TV Stands &amp; Enterta-WUO_ERR'!A356, ":"))))</f>
        <v/>
      </c>
    </row>
    <row r="357">
      <c r="A357" s="39">
        <f>IF('6 - TV Stands &amp; Enterta'!B357 = "", "", IF('6 - TV Stands &amp; Enterta-WUO_ERR'!A357 = "", "Validated", HYPERLINK("#" &amp; ADDRESS(357, '6 - TV Stands &amp; Enterta-WUO_TRK'!A357),_xlfn.TEXTAFTER('6 - TV Stands &amp; Enterta-WUO_ERR'!A357, ":"))))</f>
        <v/>
      </c>
    </row>
    <row r="358">
      <c r="A358" s="39">
        <f>IF('6 - TV Stands &amp; Enterta'!B358 = "", "", IF('6 - TV Stands &amp; Enterta-WUO_ERR'!A358 = "", "Validated", HYPERLINK("#" &amp; ADDRESS(358, '6 - TV Stands &amp; Enterta-WUO_TRK'!A358),_xlfn.TEXTAFTER('6 - TV Stands &amp; Enterta-WUO_ERR'!A358, ":"))))</f>
        <v/>
      </c>
    </row>
    <row r="359">
      <c r="A359" s="39">
        <f>IF('6 - TV Stands &amp; Enterta'!B359 = "", "", IF('6 - TV Stands &amp; Enterta-WUO_ERR'!A359 = "", "Validated", HYPERLINK("#" &amp; ADDRESS(359, '6 - TV Stands &amp; Enterta-WUO_TRK'!A359),_xlfn.TEXTAFTER('6 - TV Stands &amp; Enterta-WUO_ERR'!A359, ":"))))</f>
        <v/>
      </c>
    </row>
    <row r="360">
      <c r="A360" s="39">
        <f>IF('6 - TV Stands &amp; Enterta'!B360 = "", "", IF('6 - TV Stands &amp; Enterta-WUO_ERR'!A360 = "", "Validated", HYPERLINK("#" &amp; ADDRESS(360, '6 - TV Stands &amp; Enterta-WUO_TRK'!A360),_xlfn.TEXTAFTER('6 - TV Stands &amp; Enterta-WUO_ERR'!A360, ":"))))</f>
        <v/>
      </c>
    </row>
    <row r="361">
      <c r="A361" s="39">
        <f>IF('6 - TV Stands &amp; Enterta'!B361 = "", "", IF('6 - TV Stands &amp; Enterta-WUO_ERR'!A361 = "", "Validated", HYPERLINK("#" &amp; ADDRESS(361, '6 - TV Stands &amp; Enterta-WUO_TRK'!A361),_xlfn.TEXTAFTER('6 - TV Stands &amp; Enterta-WUO_ERR'!A361, ":"))))</f>
        <v/>
      </c>
    </row>
    <row r="362">
      <c r="A362" s="39">
        <f>IF('6 - TV Stands &amp; Enterta'!B362 = "", "", IF('6 - TV Stands &amp; Enterta-WUO_ERR'!A362 = "", "Validated", HYPERLINK("#" &amp; ADDRESS(362, '6 - TV Stands &amp; Enterta-WUO_TRK'!A362),_xlfn.TEXTAFTER('6 - TV Stands &amp; Enterta-WUO_ERR'!A362, ":"))))</f>
        <v/>
      </c>
    </row>
    <row r="363">
      <c r="A363" s="39">
        <f>IF('6 - TV Stands &amp; Enterta'!B363 = "", "", IF('6 - TV Stands &amp; Enterta-WUO_ERR'!A363 = "", "Validated", HYPERLINK("#" &amp; ADDRESS(363, '6 - TV Stands &amp; Enterta-WUO_TRK'!A363),_xlfn.TEXTAFTER('6 - TV Stands &amp; Enterta-WUO_ERR'!A363, ":"))))</f>
        <v/>
      </c>
    </row>
    <row r="364">
      <c r="A364" s="39">
        <f>IF('6 - TV Stands &amp; Enterta'!B364 = "", "", IF('6 - TV Stands &amp; Enterta-WUO_ERR'!A364 = "", "Validated", HYPERLINK("#" &amp; ADDRESS(364, '6 - TV Stands &amp; Enterta-WUO_TRK'!A364),_xlfn.TEXTAFTER('6 - TV Stands &amp; Enterta-WUO_ERR'!A364, ":"))))</f>
        <v/>
      </c>
    </row>
    <row r="365">
      <c r="A365" s="39">
        <f>IF('6 - TV Stands &amp; Enterta'!B365 = "", "", IF('6 - TV Stands &amp; Enterta-WUO_ERR'!A365 = "", "Validated", HYPERLINK("#" &amp; ADDRESS(365, '6 - TV Stands &amp; Enterta-WUO_TRK'!A365),_xlfn.TEXTAFTER('6 - TV Stands &amp; Enterta-WUO_ERR'!A365, ":"))))</f>
        <v/>
      </c>
    </row>
    <row r="366">
      <c r="A366" s="39">
        <f>IF('6 - TV Stands &amp; Enterta'!B366 = "", "", IF('6 - TV Stands &amp; Enterta-WUO_ERR'!A366 = "", "Validated", HYPERLINK("#" &amp; ADDRESS(366, '6 - TV Stands &amp; Enterta-WUO_TRK'!A366),_xlfn.TEXTAFTER('6 - TV Stands &amp; Enterta-WUO_ERR'!A366, ":"))))</f>
        <v/>
      </c>
    </row>
    <row r="367">
      <c r="A367" s="39">
        <f>IF('6 - TV Stands &amp; Enterta'!B367 = "", "", IF('6 - TV Stands &amp; Enterta-WUO_ERR'!A367 = "", "Validated", HYPERLINK("#" &amp; ADDRESS(367, '6 - TV Stands &amp; Enterta-WUO_TRK'!A367),_xlfn.TEXTAFTER('6 - TV Stands &amp; Enterta-WUO_ERR'!A367, ":"))))</f>
        <v/>
      </c>
    </row>
    <row r="368">
      <c r="A368" s="39">
        <f>IF('6 - TV Stands &amp; Enterta'!B368 = "", "", IF('6 - TV Stands &amp; Enterta-WUO_ERR'!A368 = "", "Validated", HYPERLINK("#" &amp; ADDRESS(368, '6 - TV Stands &amp; Enterta-WUO_TRK'!A368),_xlfn.TEXTAFTER('6 - TV Stands &amp; Enterta-WUO_ERR'!A368, ":"))))</f>
        <v/>
      </c>
    </row>
    <row r="369">
      <c r="A369" s="39">
        <f>IF('6 - TV Stands &amp; Enterta'!B369 = "", "", IF('6 - TV Stands &amp; Enterta-WUO_ERR'!A369 = "", "Validated", HYPERLINK("#" &amp; ADDRESS(369, '6 - TV Stands &amp; Enterta-WUO_TRK'!A369),_xlfn.TEXTAFTER('6 - TV Stands &amp; Enterta-WUO_ERR'!A369, ":"))))</f>
        <v/>
      </c>
    </row>
    <row r="370">
      <c r="A370" s="39">
        <f>IF('6 - TV Stands &amp; Enterta'!B370 = "", "", IF('6 - TV Stands &amp; Enterta-WUO_ERR'!A370 = "", "Validated", HYPERLINK("#" &amp; ADDRESS(370, '6 - TV Stands &amp; Enterta-WUO_TRK'!A370),_xlfn.TEXTAFTER('6 - TV Stands &amp; Enterta-WUO_ERR'!A370, ":"))))</f>
        <v/>
      </c>
    </row>
    <row r="371">
      <c r="A371" s="39">
        <f>IF('6 - TV Stands &amp; Enterta'!B371 = "", "", IF('6 - TV Stands &amp; Enterta-WUO_ERR'!A371 = "", "Validated", HYPERLINK("#" &amp; ADDRESS(371, '6 - TV Stands &amp; Enterta-WUO_TRK'!A371),_xlfn.TEXTAFTER('6 - TV Stands &amp; Enterta-WUO_ERR'!A371, ":"))))</f>
        <v/>
      </c>
    </row>
    <row r="372">
      <c r="A372" s="39">
        <f>IF('6 - TV Stands &amp; Enterta'!B372 = "", "", IF('6 - TV Stands &amp; Enterta-WUO_ERR'!A372 = "", "Validated", HYPERLINK("#" &amp; ADDRESS(372, '6 - TV Stands &amp; Enterta-WUO_TRK'!A372),_xlfn.TEXTAFTER('6 - TV Stands &amp; Enterta-WUO_ERR'!A372, ":"))))</f>
        <v/>
      </c>
    </row>
    <row r="373">
      <c r="A373" s="39">
        <f>IF('6 - TV Stands &amp; Enterta'!B373 = "", "", IF('6 - TV Stands &amp; Enterta-WUO_ERR'!A373 = "", "Validated", HYPERLINK("#" &amp; ADDRESS(373, '6 - TV Stands &amp; Enterta-WUO_TRK'!A373),_xlfn.TEXTAFTER('6 - TV Stands &amp; Enterta-WUO_ERR'!A373, ":"))))</f>
        <v/>
      </c>
    </row>
    <row r="374">
      <c r="A374" s="39">
        <f>IF('6 - TV Stands &amp; Enterta'!B374 = "", "", IF('6 - TV Stands &amp; Enterta-WUO_ERR'!A374 = "", "Validated", HYPERLINK("#" &amp; ADDRESS(374, '6 - TV Stands &amp; Enterta-WUO_TRK'!A374),_xlfn.TEXTAFTER('6 - TV Stands &amp; Enterta-WUO_ERR'!A374, ":"))))</f>
        <v/>
      </c>
    </row>
    <row r="375">
      <c r="A375" s="39">
        <f>IF('6 - TV Stands &amp; Enterta'!B375 = "", "", IF('6 - TV Stands &amp; Enterta-WUO_ERR'!A375 = "", "Validated", HYPERLINK("#" &amp; ADDRESS(375, '6 - TV Stands &amp; Enterta-WUO_TRK'!A375),_xlfn.TEXTAFTER('6 - TV Stands &amp; Enterta-WUO_ERR'!A375, ":"))))</f>
        <v/>
      </c>
    </row>
    <row r="376">
      <c r="A376" s="39">
        <f>IF('6 - TV Stands &amp; Enterta'!B376 = "", "", IF('6 - TV Stands &amp; Enterta-WUO_ERR'!A376 = "", "Validated", HYPERLINK("#" &amp; ADDRESS(376, '6 - TV Stands &amp; Enterta-WUO_TRK'!A376),_xlfn.TEXTAFTER('6 - TV Stands &amp; Enterta-WUO_ERR'!A376, ":"))))</f>
        <v/>
      </c>
    </row>
    <row r="377">
      <c r="A377" s="39">
        <f>IF('6 - TV Stands &amp; Enterta'!B377 = "", "", IF('6 - TV Stands &amp; Enterta-WUO_ERR'!A377 = "", "Validated", HYPERLINK("#" &amp; ADDRESS(377, '6 - TV Stands &amp; Enterta-WUO_TRK'!A377),_xlfn.TEXTAFTER('6 - TV Stands &amp; Enterta-WUO_ERR'!A377, ":"))))</f>
        <v/>
      </c>
    </row>
    <row r="378">
      <c r="A378" s="39">
        <f>IF('6 - TV Stands &amp; Enterta'!B378 = "", "", IF('6 - TV Stands &amp; Enterta-WUO_ERR'!A378 = "", "Validated", HYPERLINK("#" &amp; ADDRESS(378, '6 - TV Stands &amp; Enterta-WUO_TRK'!A378),_xlfn.TEXTAFTER('6 - TV Stands &amp; Enterta-WUO_ERR'!A378, ":"))))</f>
        <v/>
      </c>
    </row>
    <row r="379">
      <c r="A379" s="39">
        <f>IF('6 - TV Stands &amp; Enterta'!B379 = "", "", IF('6 - TV Stands &amp; Enterta-WUO_ERR'!A379 = "", "Validated", HYPERLINK("#" &amp; ADDRESS(379, '6 - TV Stands &amp; Enterta-WUO_TRK'!A379),_xlfn.TEXTAFTER('6 - TV Stands &amp; Enterta-WUO_ERR'!A379, ":"))))</f>
        <v/>
      </c>
    </row>
    <row r="380">
      <c r="A380" s="39">
        <f>IF('6 - TV Stands &amp; Enterta'!B380 = "", "", IF('6 - TV Stands &amp; Enterta-WUO_ERR'!A380 = "", "Validated", HYPERLINK("#" &amp; ADDRESS(380, '6 - TV Stands &amp; Enterta-WUO_TRK'!A380),_xlfn.TEXTAFTER('6 - TV Stands &amp; Enterta-WUO_ERR'!A380, ":"))))</f>
        <v/>
      </c>
    </row>
    <row r="381">
      <c r="A381" s="39">
        <f>IF('6 - TV Stands &amp; Enterta'!B381 = "", "", IF('6 - TV Stands &amp; Enterta-WUO_ERR'!A381 = "", "Validated", HYPERLINK("#" &amp; ADDRESS(381, '6 - TV Stands &amp; Enterta-WUO_TRK'!A381),_xlfn.TEXTAFTER('6 - TV Stands &amp; Enterta-WUO_ERR'!A381, ":"))))</f>
        <v/>
      </c>
    </row>
    <row r="382">
      <c r="A382" s="39">
        <f>IF('6 - TV Stands &amp; Enterta'!B382 = "", "", IF('6 - TV Stands &amp; Enterta-WUO_ERR'!A382 = "", "Validated", HYPERLINK("#" &amp; ADDRESS(382, '6 - TV Stands &amp; Enterta-WUO_TRK'!A382),_xlfn.TEXTAFTER('6 - TV Stands &amp; Enterta-WUO_ERR'!A382, ":"))))</f>
        <v/>
      </c>
    </row>
    <row r="383">
      <c r="A383" s="39">
        <f>IF('6 - TV Stands &amp; Enterta'!B383 = "", "", IF('6 - TV Stands &amp; Enterta-WUO_ERR'!A383 = "", "Validated", HYPERLINK("#" &amp; ADDRESS(383, '6 - TV Stands &amp; Enterta-WUO_TRK'!A383),_xlfn.TEXTAFTER('6 - TV Stands &amp; Enterta-WUO_ERR'!A383, ":"))))</f>
        <v/>
      </c>
    </row>
    <row r="384">
      <c r="A384" s="39">
        <f>IF('6 - TV Stands &amp; Enterta'!B384 = "", "", IF('6 - TV Stands &amp; Enterta-WUO_ERR'!A384 = "", "Validated", HYPERLINK("#" &amp; ADDRESS(384, '6 - TV Stands &amp; Enterta-WUO_TRK'!A384),_xlfn.TEXTAFTER('6 - TV Stands &amp; Enterta-WUO_ERR'!A384, ":"))))</f>
        <v/>
      </c>
    </row>
    <row r="385">
      <c r="A385" s="39">
        <f>IF('6 - TV Stands &amp; Enterta'!B385 = "", "", IF('6 - TV Stands &amp; Enterta-WUO_ERR'!A385 = "", "Validated", HYPERLINK("#" &amp; ADDRESS(385, '6 - TV Stands &amp; Enterta-WUO_TRK'!A385),_xlfn.TEXTAFTER('6 - TV Stands &amp; Enterta-WUO_ERR'!A385, ":"))))</f>
        <v/>
      </c>
    </row>
    <row r="386">
      <c r="A386" s="39">
        <f>IF('6 - TV Stands &amp; Enterta'!B386 = "", "", IF('6 - TV Stands &amp; Enterta-WUO_ERR'!A386 = "", "Validated", HYPERLINK("#" &amp; ADDRESS(386, '6 - TV Stands &amp; Enterta-WUO_TRK'!A386),_xlfn.TEXTAFTER('6 - TV Stands &amp; Enterta-WUO_ERR'!A386, ":"))))</f>
        <v/>
      </c>
    </row>
    <row r="387">
      <c r="A387" s="39">
        <f>IF('6 - TV Stands &amp; Enterta'!B387 = "", "", IF('6 - TV Stands &amp; Enterta-WUO_ERR'!A387 = "", "Validated", HYPERLINK("#" &amp; ADDRESS(387, '6 - TV Stands &amp; Enterta-WUO_TRK'!A387),_xlfn.TEXTAFTER('6 - TV Stands &amp; Enterta-WUO_ERR'!A387, ":"))))</f>
        <v/>
      </c>
    </row>
    <row r="388">
      <c r="A388" s="39">
        <f>IF('6 - TV Stands &amp; Enterta'!B388 = "", "", IF('6 - TV Stands &amp; Enterta-WUO_ERR'!A388 = "", "Validated", HYPERLINK("#" &amp; ADDRESS(388, '6 - TV Stands &amp; Enterta-WUO_TRK'!A388),_xlfn.TEXTAFTER('6 - TV Stands &amp; Enterta-WUO_ERR'!A388, ":"))))</f>
        <v/>
      </c>
    </row>
    <row r="389">
      <c r="A389" s="39">
        <f>IF('6 - TV Stands &amp; Enterta'!B389 = "", "", IF('6 - TV Stands &amp; Enterta-WUO_ERR'!A389 = "", "Validated", HYPERLINK("#" &amp; ADDRESS(389, '6 - TV Stands &amp; Enterta-WUO_TRK'!A389),_xlfn.TEXTAFTER('6 - TV Stands &amp; Enterta-WUO_ERR'!A389, ":"))))</f>
        <v/>
      </c>
    </row>
    <row r="390">
      <c r="A390" s="39">
        <f>IF('6 - TV Stands &amp; Enterta'!B390 = "", "", IF('6 - TV Stands &amp; Enterta-WUO_ERR'!A390 = "", "Validated", HYPERLINK("#" &amp; ADDRESS(390, '6 - TV Stands &amp; Enterta-WUO_TRK'!A390),_xlfn.TEXTAFTER('6 - TV Stands &amp; Enterta-WUO_ERR'!A390, ":"))))</f>
        <v/>
      </c>
    </row>
    <row r="391">
      <c r="A391" s="39">
        <f>IF('6 - TV Stands &amp; Enterta'!B391 = "", "", IF('6 - TV Stands &amp; Enterta-WUO_ERR'!A391 = "", "Validated", HYPERLINK("#" &amp; ADDRESS(391, '6 - TV Stands &amp; Enterta-WUO_TRK'!A391),_xlfn.TEXTAFTER('6 - TV Stands &amp; Enterta-WUO_ERR'!A391, ":"))))</f>
        <v/>
      </c>
    </row>
    <row r="392">
      <c r="A392" s="39">
        <f>IF('6 - TV Stands &amp; Enterta'!B392 = "", "", IF('6 - TV Stands &amp; Enterta-WUO_ERR'!A392 = "", "Validated", HYPERLINK("#" &amp; ADDRESS(392, '6 - TV Stands &amp; Enterta-WUO_TRK'!A392),_xlfn.TEXTAFTER('6 - TV Stands &amp; Enterta-WUO_ERR'!A392, ":"))))</f>
        <v/>
      </c>
    </row>
    <row r="393">
      <c r="A393" s="39">
        <f>IF('6 - TV Stands &amp; Enterta'!B393 = "", "", IF('6 - TV Stands &amp; Enterta-WUO_ERR'!A393 = "", "Validated", HYPERLINK("#" &amp; ADDRESS(393, '6 - TV Stands &amp; Enterta-WUO_TRK'!A393),_xlfn.TEXTAFTER('6 - TV Stands &amp; Enterta-WUO_ERR'!A393, ":"))))</f>
        <v/>
      </c>
    </row>
    <row r="394">
      <c r="A394" s="39">
        <f>IF('6 - TV Stands &amp; Enterta'!B394 = "", "", IF('6 - TV Stands &amp; Enterta-WUO_ERR'!A394 = "", "Validated", HYPERLINK("#" &amp; ADDRESS(394, '6 - TV Stands &amp; Enterta-WUO_TRK'!A394),_xlfn.TEXTAFTER('6 - TV Stands &amp; Enterta-WUO_ERR'!A394, ":"))))</f>
        <v/>
      </c>
    </row>
    <row r="395">
      <c r="A395" s="39">
        <f>IF('6 - TV Stands &amp; Enterta'!B395 = "", "", IF('6 - TV Stands &amp; Enterta-WUO_ERR'!A395 = "", "Validated", HYPERLINK("#" &amp; ADDRESS(395, '6 - TV Stands &amp; Enterta-WUO_TRK'!A395),_xlfn.TEXTAFTER('6 - TV Stands &amp; Enterta-WUO_ERR'!A395, ":"))))</f>
        <v/>
      </c>
    </row>
    <row r="396">
      <c r="A396" s="39">
        <f>IF('6 - TV Stands &amp; Enterta'!B396 = "", "", IF('6 - TV Stands &amp; Enterta-WUO_ERR'!A396 = "", "Validated", HYPERLINK("#" &amp; ADDRESS(396, '6 - TV Stands &amp; Enterta-WUO_TRK'!A396),_xlfn.TEXTAFTER('6 - TV Stands &amp; Enterta-WUO_ERR'!A396, ":"))))</f>
        <v/>
      </c>
    </row>
    <row r="397">
      <c r="A397" s="39">
        <f>IF('6 - TV Stands &amp; Enterta'!B397 = "", "", IF('6 - TV Stands &amp; Enterta-WUO_ERR'!A397 = "", "Validated", HYPERLINK("#" &amp; ADDRESS(397, '6 - TV Stands &amp; Enterta-WUO_TRK'!A397),_xlfn.TEXTAFTER('6 - TV Stands &amp; Enterta-WUO_ERR'!A397, ":"))))</f>
        <v/>
      </c>
    </row>
    <row r="398">
      <c r="A398" s="39">
        <f>IF('6 - TV Stands &amp; Enterta'!B398 = "", "", IF('6 - TV Stands &amp; Enterta-WUO_ERR'!A398 = "", "Validated", HYPERLINK("#" &amp; ADDRESS(398, '6 - TV Stands &amp; Enterta-WUO_TRK'!A398),_xlfn.TEXTAFTER('6 - TV Stands &amp; Enterta-WUO_ERR'!A398, ":"))))</f>
        <v/>
      </c>
    </row>
    <row r="399">
      <c r="A399" s="39">
        <f>IF('6 - TV Stands &amp; Enterta'!B399 = "", "", IF('6 - TV Stands &amp; Enterta-WUO_ERR'!A399 = "", "Validated", HYPERLINK("#" &amp; ADDRESS(399, '6 - TV Stands &amp; Enterta-WUO_TRK'!A399),_xlfn.TEXTAFTER('6 - TV Stands &amp; Enterta-WUO_ERR'!A399, ":"))))</f>
        <v/>
      </c>
    </row>
    <row r="400">
      <c r="A400" s="39">
        <f>IF('6 - TV Stands &amp; Enterta'!B400 = "", "", IF('6 - TV Stands &amp; Enterta-WUO_ERR'!A400 = "", "Validated", HYPERLINK("#" &amp; ADDRESS(400, '6 - TV Stands &amp; Enterta-WUO_TRK'!A400),_xlfn.TEXTAFTER('6 - TV Stands &amp; Enterta-WUO_ERR'!A400, ":"))))</f>
        <v/>
      </c>
    </row>
    <row r="401">
      <c r="A401" s="39">
        <f>IF('6 - TV Stands &amp; Enterta'!B401 = "", "", IF('6 - TV Stands &amp; Enterta-WUO_ERR'!A401 = "", "Validated", HYPERLINK("#" &amp; ADDRESS(401, '6 - TV Stands &amp; Enterta-WUO_TRK'!A401),_xlfn.TEXTAFTER('6 - TV Stands &amp; Enterta-WUO_ERR'!A401, ":"))))</f>
        <v/>
      </c>
    </row>
    <row r="402">
      <c r="A402" s="39">
        <f>IF('6 - TV Stands &amp; Enterta'!B402 = "", "", IF('6 - TV Stands &amp; Enterta-WUO_ERR'!A402 = "", "Validated", HYPERLINK("#" &amp; ADDRESS(402, '6 - TV Stands &amp; Enterta-WUO_TRK'!A402),_xlfn.TEXTAFTER('6 - TV Stands &amp; Enterta-WUO_ERR'!A402, ":"))))</f>
        <v/>
      </c>
    </row>
    <row r="403">
      <c r="A403" s="39">
        <f>IF('6 - TV Stands &amp; Enterta'!B403 = "", "", IF('6 - TV Stands &amp; Enterta-WUO_ERR'!A403 = "", "Validated", HYPERLINK("#" &amp; ADDRESS(403, '6 - TV Stands &amp; Enterta-WUO_TRK'!A403),_xlfn.TEXTAFTER('6 - TV Stands &amp; Enterta-WUO_ERR'!A403, ":"))))</f>
        <v/>
      </c>
    </row>
    <row r="404">
      <c r="A404" s="39">
        <f>IF('6 - TV Stands &amp; Enterta'!B404 = "", "", IF('6 - TV Stands &amp; Enterta-WUO_ERR'!A404 = "", "Validated", HYPERLINK("#" &amp; ADDRESS(404, '6 - TV Stands &amp; Enterta-WUO_TRK'!A404),_xlfn.TEXTAFTER('6 - TV Stands &amp; Enterta-WUO_ERR'!A404, ":"))))</f>
        <v/>
      </c>
    </row>
    <row r="405">
      <c r="A405" s="39">
        <f>IF('6 - TV Stands &amp; Enterta'!B405 = "", "", IF('6 - TV Stands &amp; Enterta-WUO_ERR'!A405 = "", "Validated", HYPERLINK("#" &amp; ADDRESS(405, '6 - TV Stands &amp; Enterta-WUO_TRK'!A405),_xlfn.TEXTAFTER('6 - TV Stands &amp; Enterta-WUO_ERR'!A405, ":"))))</f>
        <v/>
      </c>
    </row>
    <row r="406">
      <c r="A406" s="39">
        <f>IF('6 - TV Stands &amp; Enterta'!B406 = "", "", IF('6 - TV Stands &amp; Enterta-WUO_ERR'!A406 = "", "Validated", HYPERLINK("#" &amp; ADDRESS(406, '6 - TV Stands &amp; Enterta-WUO_TRK'!A406),_xlfn.TEXTAFTER('6 - TV Stands &amp; Enterta-WUO_ERR'!A406, ":"))))</f>
        <v/>
      </c>
    </row>
    <row r="407">
      <c r="A407" s="39">
        <f>IF('6 - TV Stands &amp; Enterta'!B407 = "", "", IF('6 - TV Stands &amp; Enterta-WUO_ERR'!A407 = "", "Validated", HYPERLINK("#" &amp; ADDRESS(407, '6 - TV Stands &amp; Enterta-WUO_TRK'!A407),_xlfn.TEXTAFTER('6 - TV Stands &amp; Enterta-WUO_ERR'!A407, ":"))))</f>
        <v/>
      </c>
    </row>
    <row r="408">
      <c r="A408" s="39">
        <f>IF('6 - TV Stands &amp; Enterta'!B408 = "", "", IF('6 - TV Stands &amp; Enterta-WUO_ERR'!A408 = "", "Validated", HYPERLINK("#" &amp; ADDRESS(408, '6 - TV Stands &amp; Enterta-WUO_TRK'!A408),_xlfn.TEXTAFTER('6 - TV Stands &amp; Enterta-WUO_ERR'!A408, ":"))))</f>
        <v/>
      </c>
    </row>
    <row r="409">
      <c r="A409" s="39">
        <f>IF('6 - TV Stands &amp; Enterta'!B409 = "", "", IF('6 - TV Stands &amp; Enterta-WUO_ERR'!A409 = "", "Validated", HYPERLINK("#" &amp; ADDRESS(409, '6 - TV Stands &amp; Enterta-WUO_TRK'!A409),_xlfn.TEXTAFTER('6 - TV Stands &amp; Enterta-WUO_ERR'!A409, ":"))))</f>
        <v/>
      </c>
    </row>
    <row r="410">
      <c r="A410" s="39">
        <f>IF('6 - TV Stands &amp; Enterta'!B410 = "", "", IF('6 - TV Stands &amp; Enterta-WUO_ERR'!A410 = "", "Validated", HYPERLINK("#" &amp; ADDRESS(410, '6 - TV Stands &amp; Enterta-WUO_TRK'!A410),_xlfn.TEXTAFTER('6 - TV Stands &amp; Enterta-WUO_ERR'!A410, ":"))))</f>
        <v/>
      </c>
    </row>
    <row r="411">
      <c r="A411" s="39">
        <f>IF('6 - TV Stands &amp; Enterta'!B411 = "", "", IF('6 - TV Stands &amp; Enterta-WUO_ERR'!A411 = "", "Validated", HYPERLINK("#" &amp; ADDRESS(411, '6 - TV Stands &amp; Enterta-WUO_TRK'!A411),_xlfn.TEXTAFTER('6 - TV Stands &amp; Enterta-WUO_ERR'!A411, ":"))))</f>
        <v/>
      </c>
    </row>
    <row r="412">
      <c r="A412" s="39">
        <f>IF('6 - TV Stands &amp; Enterta'!B412 = "", "", IF('6 - TV Stands &amp; Enterta-WUO_ERR'!A412 = "", "Validated", HYPERLINK("#" &amp; ADDRESS(412, '6 - TV Stands &amp; Enterta-WUO_TRK'!A412),_xlfn.TEXTAFTER('6 - TV Stands &amp; Enterta-WUO_ERR'!A412, ":"))))</f>
        <v/>
      </c>
    </row>
    <row r="413">
      <c r="A413" s="39">
        <f>IF('6 - TV Stands &amp; Enterta'!B413 = "", "", IF('6 - TV Stands &amp; Enterta-WUO_ERR'!A413 = "", "Validated", HYPERLINK("#" &amp; ADDRESS(413, '6 - TV Stands &amp; Enterta-WUO_TRK'!A413),_xlfn.TEXTAFTER('6 - TV Stands &amp; Enterta-WUO_ERR'!A413, ":"))))</f>
        <v/>
      </c>
    </row>
    <row r="414">
      <c r="A414" s="39">
        <f>IF('6 - TV Stands &amp; Enterta'!B414 = "", "", IF('6 - TV Stands &amp; Enterta-WUO_ERR'!A414 = "", "Validated", HYPERLINK("#" &amp; ADDRESS(414, '6 - TV Stands &amp; Enterta-WUO_TRK'!A414),_xlfn.TEXTAFTER('6 - TV Stands &amp; Enterta-WUO_ERR'!A414, ":"))))</f>
        <v/>
      </c>
    </row>
    <row r="415">
      <c r="A415" s="39">
        <f>IF('6 - TV Stands &amp; Enterta'!B415 = "", "", IF('6 - TV Stands &amp; Enterta-WUO_ERR'!A415 = "", "Validated", HYPERLINK("#" &amp; ADDRESS(415, '6 - TV Stands &amp; Enterta-WUO_TRK'!A415),_xlfn.TEXTAFTER('6 - TV Stands &amp; Enterta-WUO_ERR'!A415, ":"))))</f>
        <v/>
      </c>
    </row>
    <row r="416">
      <c r="A416" s="39">
        <f>IF('6 - TV Stands &amp; Enterta'!B416 = "", "", IF('6 - TV Stands &amp; Enterta-WUO_ERR'!A416 = "", "Validated", HYPERLINK("#" &amp; ADDRESS(416, '6 - TV Stands &amp; Enterta-WUO_TRK'!A416),_xlfn.TEXTAFTER('6 - TV Stands &amp; Enterta-WUO_ERR'!A416, ":"))))</f>
        <v/>
      </c>
    </row>
    <row r="417">
      <c r="A417" s="39">
        <f>IF('6 - TV Stands &amp; Enterta'!B417 = "", "", IF('6 - TV Stands &amp; Enterta-WUO_ERR'!A417 = "", "Validated", HYPERLINK("#" &amp; ADDRESS(417, '6 - TV Stands &amp; Enterta-WUO_TRK'!A417),_xlfn.TEXTAFTER('6 - TV Stands &amp; Enterta-WUO_ERR'!A417, ":"))))</f>
        <v/>
      </c>
    </row>
    <row r="418">
      <c r="A418" s="39">
        <f>IF('6 - TV Stands &amp; Enterta'!B418 = "", "", IF('6 - TV Stands &amp; Enterta-WUO_ERR'!A418 = "", "Validated", HYPERLINK("#" &amp; ADDRESS(418, '6 - TV Stands &amp; Enterta-WUO_TRK'!A418),_xlfn.TEXTAFTER('6 - TV Stands &amp; Enterta-WUO_ERR'!A418, ":"))))</f>
        <v/>
      </c>
    </row>
    <row r="419">
      <c r="A419" s="39">
        <f>IF('6 - TV Stands &amp; Enterta'!B419 = "", "", IF('6 - TV Stands &amp; Enterta-WUO_ERR'!A419 = "", "Validated", HYPERLINK("#" &amp; ADDRESS(419, '6 - TV Stands &amp; Enterta-WUO_TRK'!A419),_xlfn.TEXTAFTER('6 - TV Stands &amp; Enterta-WUO_ERR'!A419, ":"))))</f>
        <v/>
      </c>
    </row>
    <row r="420">
      <c r="A420" s="39">
        <f>IF('6 - TV Stands &amp; Enterta'!B420 = "", "", IF('6 - TV Stands &amp; Enterta-WUO_ERR'!A420 = "", "Validated", HYPERLINK("#" &amp; ADDRESS(420, '6 - TV Stands &amp; Enterta-WUO_TRK'!A420),_xlfn.TEXTAFTER('6 - TV Stands &amp; Enterta-WUO_ERR'!A420, ":"))))</f>
        <v/>
      </c>
    </row>
    <row r="421">
      <c r="A421" s="39">
        <f>IF('6 - TV Stands &amp; Enterta'!B421 = "", "", IF('6 - TV Stands &amp; Enterta-WUO_ERR'!A421 = "", "Validated", HYPERLINK("#" &amp; ADDRESS(421, '6 - TV Stands &amp; Enterta-WUO_TRK'!A421),_xlfn.TEXTAFTER('6 - TV Stands &amp; Enterta-WUO_ERR'!A421, ":"))))</f>
        <v/>
      </c>
    </row>
    <row r="422">
      <c r="A422" s="39">
        <f>IF('6 - TV Stands &amp; Enterta'!B422 = "", "", IF('6 - TV Stands &amp; Enterta-WUO_ERR'!A422 = "", "Validated", HYPERLINK("#" &amp; ADDRESS(422, '6 - TV Stands &amp; Enterta-WUO_TRK'!A422),_xlfn.TEXTAFTER('6 - TV Stands &amp; Enterta-WUO_ERR'!A422, ":"))))</f>
        <v/>
      </c>
    </row>
    <row r="423">
      <c r="A423" s="39">
        <f>IF('6 - TV Stands &amp; Enterta'!B423 = "", "", IF('6 - TV Stands &amp; Enterta-WUO_ERR'!A423 = "", "Validated", HYPERLINK("#" &amp; ADDRESS(423, '6 - TV Stands &amp; Enterta-WUO_TRK'!A423),_xlfn.TEXTAFTER('6 - TV Stands &amp; Enterta-WUO_ERR'!A423, ":"))))</f>
        <v/>
      </c>
    </row>
    <row r="424">
      <c r="A424" s="39">
        <f>IF('6 - TV Stands &amp; Enterta'!B424 = "", "", IF('6 - TV Stands &amp; Enterta-WUO_ERR'!A424 = "", "Validated", HYPERLINK("#" &amp; ADDRESS(424, '6 - TV Stands &amp; Enterta-WUO_TRK'!A424),_xlfn.TEXTAFTER('6 - TV Stands &amp; Enterta-WUO_ERR'!A424, ":"))))</f>
        <v/>
      </c>
    </row>
    <row r="425">
      <c r="A425" s="39">
        <f>IF('6 - TV Stands &amp; Enterta'!B425 = "", "", IF('6 - TV Stands &amp; Enterta-WUO_ERR'!A425 = "", "Validated", HYPERLINK("#" &amp; ADDRESS(425, '6 - TV Stands &amp; Enterta-WUO_TRK'!A425),_xlfn.TEXTAFTER('6 - TV Stands &amp; Enterta-WUO_ERR'!A425, ":"))))</f>
        <v/>
      </c>
    </row>
    <row r="426">
      <c r="A426" s="39">
        <f>IF('6 - TV Stands &amp; Enterta'!B426 = "", "", IF('6 - TV Stands &amp; Enterta-WUO_ERR'!A426 = "", "Validated", HYPERLINK("#" &amp; ADDRESS(426, '6 - TV Stands &amp; Enterta-WUO_TRK'!A426),_xlfn.TEXTAFTER('6 - TV Stands &amp; Enterta-WUO_ERR'!A426, ":"))))</f>
        <v/>
      </c>
    </row>
    <row r="427">
      <c r="A427" s="39">
        <f>IF('6 - TV Stands &amp; Enterta'!B427 = "", "", IF('6 - TV Stands &amp; Enterta-WUO_ERR'!A427 = "", "Validated", HYPERLINK("#" &amp; ADDRESS(427, '6 - TV Stands &amp; Enterta-WUO_TRK'!A427),_xlfn.TEXTAFTER('6 - TV Stands &amp; Enterta-WUO_ERR'!A427, ":"))))</f>
        <v/>
      </c>
    </row>
    <row r="428">
      <c r="A428" s="39">
        <f>IF('6 - TV Stands &amp; Enterta'!B428 = "", "", IF('6 - TV Stands &amp; Enterta-WUO_ERR'!A428 = "", "Validated", HYPERLINK("#" &amp; ADDRESS(428, '6 - TV Stands &amp; Enterta-WUO_TRK'!A428),_xlfn.TEXTAFTER('6 - TV Stands &amp; Enterta-WUO_ERR'!A428, ":"))))</f>
        <v/>
      </c>
    </row>
    <row r="429">
      <c r="A429" s="39">
        <f>IF('6 - TV Stands &amp; Enterta'!B429 = "", "", IF('6 - TV Stands &amp; Enterta-WUO_ERR'!A429 = "", "Validated", HYPERLINK("#" &amp; ADDRESS(429, '6 - TV Stands &amp; Enterta-WUO_TRK'!A429),_xlfn.TEXTAFTER('6 - TV Stands &amp; Enterta-WUO_ERR'!A429, ":"))))</f>
        <v/>
      </c>
    </row>
    <row r="430">
      <c r="A430" s="39">
        <f>IF('6 - TV Stands &amp; Enterta'!B430 = "", "", IF('6 - TV Stands &amp; Enterta-WUO_ERR'!A430 = "", "Validated", HYPERLINK("#" &amp; ADDRESS(430, '6 - TV Stands &amp; Enterta-WUO_TRK'!A430),_xlfn.TEXTAFTER('6 - TV Stands &amp; Enterta-WUO_ERR'!A430, ":"))))</f>
        <v/>
      </c>
    </row>
    <row r="431">
      <c r="A431" s="39">
        <f>IF('6 - TV Stands &amp; Enterta'!B431 = "", "", IF('6 - TV Stands &amp; Enterta-WUO_ERR'!A431 = "", "Validated", HYPERLINK("#" &amp; ADDRESS(431, '6 - TV Stands &amp; Enterta-WUO_TRK'!A431),_xlfn.TEXTAFTER('6 - TV Stands &amp; Enterta-WUO_ERR'!A431, ":"))))</f>
        <v/>
      </c>
    </row>
    <row r="432">
      <c r="A432" s="39">
        <f>IF('6 - TV Stands &amp; Enterta'!B432 = "", "", IF('6 - TV Stands &amp; Enterta-WUO_ERR'!A432 = "", "Validated", HYPERLINK("#" &amp; ADDRESS(432, '6 - TV Stands &amp; Enterta-WUO_TRK'!A432),_xlfn.TEXTAFTER('6 - TV Stands &amp; Enterta-WUO_ERR'!A432, ":"))))</f>
        <v/>
      </c>
    </row>
    <row r="433">
      <c r="A433" s="39">
        <f>IF('6 - TV Stands &amp; Enterta'!B433 = "", "", IF('6 - TV Stands &amp; Enterta-WUO_ERR'!A433 = "", "Validated", HYPERLINK("#" &amp; ADDRESS(433, '6 - TV Stands &amp; Enterta-WUO_TRK'!A433),_xlfn.TEXTAFTER('6 - TV Stands &amp; Enterta-WUO_ERR'!A433, ":"))))</f>
        <v/>
      </c>
    </row>
    <row r="434">
      <c r="A434" s="39">
        <f>IF('6 - TV Stands &amp; Enterta'!B434 = "", "", IF('6 - TV Stands &amp; Enterta-WUO_ERR'!A434 = "", "Validated", HYPERLINK("#" &amp; ADDRESS(434, '6 - TV Stands &amp; Enterta-WUO_TRK'!A434),_xlfn.TEXTAFTER('6 - TV Stands &amp; Enterta-WUO_ERR'!A434, ":"))))</f>
        <v/>
      </c>
    </row>
    <row r="435">
      <c r="A435" s="39">
        <f>IF('6 - TV Stands &amp; Enterta'!B435 = "", "", IF('6 - TV Stands &amp; Enterta-WUO_ERR'!A435 = "", "Validated", HYPERLINK("#" &amp; ADDRESS(435, '6 - TV Stands &amp; Enterta-WUO_TRK'!A435),_xlfn.TEXTAFTER('6 - TV Stands &amp; Enterta-WUO_ERR'!A435, ":"))))</f>
        <v/>
      </c>
    </row>
    <row r="436">
      <c r="A436" s="39">
        <f>IF('6 - TV Stands &amp; Enterta'!B436 = "", "", IF('6 - TV Stands &amp; Enterta-WUO_ERR'!A436 = "", "Validated", HYPERLINK("#" &amp; ADDRESS(436, '6 - TV Stands &amp; Enterta-WUO_TRK'!A436),_xlfn.TEXTAFTER('6 - TV Stands &amp; Enterta-WUO_ERR'!A436, ":"))))</f>
        <v/>
      </c>
    </row>
    <row r="437">
      <c r="A437" s="39">
        <f>IF('6 - TV Stands &amp; Enterta'!B437 = "", "", IF('6 - TV Stands &amp; Enterta-WUO_ERR'!A437 = "", "Validated", HYPERLINK("#" &amp; ADDRESS(437, '6 - TV Stands &amp; Enterta-WUO_TRK'!A437),_xlfn.TEXTAFTER('6 - TV Stands &amp; Enterta-WUO_ERR'!A437, ":"))))</f>
        <v/>
      </c>
    </row>
    <row r="438">
      <c r="A438" s="39">
        <f>IF('6 - TV Stands &amp; Enterta'!B438 = "", "", IF('6 - TV Stands &amp; Enterta-WUO_ERR'!A438 = "", "Validated", HYPERLINK("#" &amp; ADDRESS(438, '6 - TV Stands &amp; Enterta-WUO_TRK'!A438),_xlfn.TEXTAFTER('6 - TV Stands &amp; Enterta-WUO_ERR'!A438, ":"))))</f>
        <v/>
      </c>
    </row>
    <row r="439">
      <c r="A439" s="39">
        <f>IF('6 - TV Stands &amp; Enterta'!B439 = "", "", IF('6 - TV Stands &amp; Enterta-WUO_ERR'!A439 = "", "Validated", HYPERLINK("#" &amp; ADDRESS(439, '6 - TV Stands &amp; Enterta-WUO_TRK'!A439),_xlfn.TEXTAFTER('6 - TV Stands &amp; Enterta-WUO_ERR'!A439, ":"))))</f>
        <v/>
      </c>
    </row>
    <row r="440">
      <c r="A440" s="39">
        <f>IF('6 - TV Stands &amp; Enterta'!B440 = "", "", IF('6 - TV Stands &amp; Enterta-WUO_ERR'!A440 = "", "Validated", HYPERLINK("#" &amp; ADDRESS(440, '6 - TV Stands &amp; Enterta-WUO_TRK'!A440),_xlfn.TEXTAFTER('6 - TV Stands &amp; Enterta-WUO_ERR'!A440, ":"))))</f>
        <v/>
      </c>
    </row>
    <row r="441">
      <c r="A441" s="39">
        <f>IF('6 - TV Stands &amp; Enterta'!B441 = "", "", IF('6 - TV Stands &amp; Enterta-WUO_ERR'!A441 = "", "Validated", HYPERLINK("#" &amp; ADDRESS(441, '6 - TV Stands &amp; Enterta-WUO_TRK'!A441),_xlfn.TEXTAFTER('6 - TV Stands &amp; Enterta-WUO_ERR'!A441, ":"))))</f>
        <v/>
      </c>
    </row>
    <row r="442">
      <c r="A442" s="39">
        <f>IF('6 - TV Stands &amp; Enterta'!B442 = "", "", IF('6 - TV Stands &amp; Enterta-WUO_ERR'!A442 = "", "Validated", HYPERLINK("#" &amp; ADDRESS(442, '6 - TV Stands &amp; Enterta-WUO_TRK'!A442),_xlfn.TEXTAFTER('6 - TV Stands &amp; Enterta-WUO_ERR'!A442, ":"))))</f>
        <v/>
      </c>
    </row>
    <row r="443">
      <c r="A443" s="39">
        <f>IF('6 - TV Stands &amp; Enterta'!B443 = "", "", IF('6 - TV Stands &amp; Enterta-WUO_ERR'!A443 = "", "Validated", HYPERLINK("#" &amp; ADDRESS(443, '6 - TV Stands &amp; Enterta-WUO_TRK'!A443),_xlfn.TEXTAFTER('6 - TV Stands &amp; Enterta-WUO_ERR'!A443, ":"))))</f>
        <v/>
      </c>
    </row>
    <row r="444">
      <c r="A444" s="39">
        <f>IF('6 - TV Stands &amp; Enterta'!B444 = "", "", IF('6 - TV Stands &amp; Enterta-WUO_ERR'!A444 = "", "Validated", HYPERLINK("#" &amp; ADDRESS(444, '6 - TV Stands &amp; Enterta-WUO_TRK'!A444),_xlfn.TEXTAFTER('6 - TV Stands &amp; Enterta-WUO_ERR'!A444, ":"))))</f>
        <v/>
      </c>
    </row>
    <row r="445">
      <c r="A445" s="39">
        <f>IF('6 - TV Stands &amp; Enterta'!B445 = "", "", IF('6 - TV Stands &amp; Enterta-WUO_ERR'!A445 = "", "Validated", HYPERLINK("#" &amp; ADDRESS(445, '6 - TV Stands &amp; Enterta-WUO_TRK'!A445),_xlfn.TEXTAFTER('6 - TV Stands &amp; Enterta-WUO_ERR'!A445, ":"))))</f>
        <v/>
      </c>
    </row>
    <row r="446">
      <c r="A446" s="39">
        <f>IF('6 - TV Stands &amp; Enterta'!B446 = "", "", IF('6 - TV Stands &amp; Enterta-WUO_ERR'!A446 = "", "Validated", HYPERLINK("#" &amp; ADDRESS(446, '6 - TV Stands &amp; Enterta-WUO_TRK'!A446),_xlfn.TEXTAFTER('6 - TV Stands &amp; Enterta-WUO_ERR'!A446, ":"))))</f>
        <v/>
      </c>
    </row>
    <row r="447">
      <c r="A447" s="39">
        <f>IF('6 - TV Stands &amp; Enterta'!B447 = "", "", IF('6 - TV Stands &amp; Enterta-WUO_ERR'!A447 = "", "Validated", HYPERLINK("#" &amp; ADDRESS(447, '6 - TV Stands &amp; Enterta-WUO_TRK'!A447),_xlfn.TEXTAFTER('6 - TV Stands &amp; Enterta-WUO_ERR'!A447, ":"))))</f>
        <v/>
      </c>
    </row>
    <row r="448">
      <c r="A448" s="39">
        <f>IF('6 - TV Stands &amp; Enterta'!B448 = "", "", IF('6 - TV Stands &amp; Enterta-WUO_ERR'!A448 = "", "Validated", HYPERLINK("#" &amp; ADDRESS(448, '6 - TV Stands &amp; Enterta-WUO_TRK'!A448),_xlfn.TEXTAFTER('6 - TV Stands &amp; Enterta-WUO_ERR'!A448, ":"))))</f>
        <v/>
      </c>
    </row>
    <row r="449">
      <c r="A449" s="39">
        <f>IF('6 - TV Stands &amp; Enterta'!B449 = "", "", IF('6 - TV Stands &amp; Enterta-WUO_ERR'!A449 = "", "Validated", HYPERLINK("#" &amp; ADDRESS(449, '6 - TV Stands &amp; Enterta-WUO_TRK'!A449),_xlfn.TEXTAFTER('6 - TV Stands &amp; Enterta-WUO_ERR'!A449, ":"))))</f>
        <v/>
      </c>
    </row>
    <row r="450">
      <c r="A450" s="39">
        <f>IF('6 - TV Stands &amp; Enterta'!B450 = "", "", IF('6 - TV Stands &amp; Enterta-WUO_ERR'!A450 = "", "Validated", HYPERLINK("#" &amp; ADDRESS(450, '6 - TV Stands &amp; Enterta-WUO_TRK'!A450),_xlfn.TEXTAFTER('6 - TV Stands &amp; Enterta-WUO_ERR'!A450, ":"))))</f>
        <v/>
      </c>
    </row>
    <row r="451">
      <c r="A451" s="39">
        <f>IF('6 - TV Stands &amp; Enterta'!B451 = "", "", IF('6 - TV Stands &amp; Enterta-WUO_ERR'!A451 = "", "Validated", HYPERLINK("#" &amp; ADDRESS(451, '6 - TV Stands &amp; Enterta-WUO_TRK'!A451),_xlfn.TEXTAFTER('6 - TV Stands &amp; Enterta-WUO_ERR'!A451, ":"))))</f>
        <v/>
      </c>
    </row>
    <row r="452">
      <c r="A452" s="39">
        <f>IF('6 - TV Stands &amp; Enterta'!B452 = "", "", IF('6 - TV Stands &amp; Enterta-WUO_ERR'!A452 = "", "Validated", HYPERLINK("#" &amp; ADDRESS(452, '6 - TV Stands &amp; Enterta-WUO_TRK'!A452),_xlfn.TEXTAFTER('6 - TV Stands &amp; Enterta-WUO_ERR'!A452, ":"))))</f>
        <v/>
      </c>
    </row>
    <row r="453">
      <c r="A453" s="39">
        <f>IF('6 - TV Stands &amp; Enterta'!B453 = "", "", IF('6 - TV Stands &amp; Enterta-WUO_ERR'!A453 = "", "Validated", HYPERLINK("#" &amp; ADDRESS(453, '6 - TV Stands &amp; Enterta-WUO_TRK'!A453),_xlfn.TEXTAFTER('6 - TV Stands &amp; Enterta-WUO_ERR'!A453, ":"))))</f>
        <v/>
      </c>
    </row>
    <row r="454">
      <c r="A454" s="39">
        <f>IF('6 - TV Stands &amp; Enterta'!B454 = "", "", IF('6 - TV Stands &amp; Enterta-WUO_ERR'!A454 = "", "Validated", HYPERLINK("#" &amp; ADDRESS(454, '6 - TV Stands &amp; Enterta-WUO_TRK'!A454),_xlfn.TEXTAFTER('6 - TV Stands &amp; Enterta-WUO_ERR'!A454, ":"))))</f>
        <v/>
      </c>
    </row>
    <row r="455">
      <c r="A455" s="39">
        <f>IF('6 - TV Stands &amp; Enterta'!B455 = "", "", IF('6 - TV Stands &amp; Enterta-WUO_ERR'!A455 = "", "Validated", HYPERLINK("#" &amp; ADDRESS(455, '6 - TV Stands &amp; Enterta-WUO_TRK'!A455),_xlfn.TEXTAFTER('6 - TV Stands &amp; Enterta-WUO_ERR'!A455, ":"))))</f>
        <v/>
      </c>
    </row>
    <row r="456">
      <c r="A456" s="39">
        <f>IF('6 - TV Stands &amp; Enterta'!B456 = "", "", IF('6 - TV Stands &amp; Enterta-WUO_ERR'!A456 = "", "Validated", HYPERLINK("#" &amp; ADDRESS(456, '6 - TV Stands &amp; Enterta-WUO_TRK'!A456),_xlfn.TEXTAFTER('6 - TV Stands &amp; Enterta-WUO_ERR'!A456, ":"))))</f>
        <v/>
      </c>
    </row>
    <row r="457">
      <c r="A457" s="39">
        <f>IF('6 - TV Stands &amp; Enterta'!B457 = "", "", IF('6 - TV Stands &amp; Enterta-WUO_ERR'!A457 = "", "Validated", HYPERLINK("#" &amp; ADDRESS(457, '6 - TV Stands &amp; Enterta-WUO_TRK'!A457),_xlfn.TEXTAFTER('6 - TV Stands &amp; Enterta-WUO_ERR'!A457, ":"))))</f>
        <v/>
      </c>
    </row>
    <row r="458">
      <c r="A458" s="39">
        <f>IF('6 - TV Stands &amp; Enterta'!B458 = "", "", IF('6 - TV Stands &amp; Enterta-WUO_ERR'!A458 = "", "Validated", HYPERLINK("#" &amp; ADDRESS(458, '6 - TV Stands &amp; Enterta-WUO_TRK'!A458),_xlfn.TEXTAFTER('6 - TV Stands &amp; Enterta-WUO_ERR'!A458, ":"))))</f>
        <v/>
      </c>
    </row>
    <row r="459">
      <c r="A459" s="39">
        <f>IF('6 - TV Stands &amp; Enterta'!B459 = "", "", IF('6 - TV Stands &amp; Enterta-WUO_ERR'!A459 = "", "Validated", HYPERLINK("#" &amp; ADDRESS(459, '6 - TV Stands &amp; Enterta-WUO_TRK'!A459),_xlfn.TEXTAFTER('6 - TV Stands &amp; Enterta-WUO_ERR'!A459, ":"))))</f>
        <v/>
      </c>
    </row>
    <row r="460">
      <c r="A460" s="39">
        <f>IF('6 - TV Stands &amp; Enterta'!B460 = "", "", IF('6 - TV Stands &amp; Enterta-WUO_ERR'!A460 = "", "Validated", HYPERLINK("#" &amp; ADDRESS(460, '6 - TV Stands &amp; Enterta-WUO_TRK'!A460),_xlfn.TEXTAFTER('6 - TV Stands &amp; Enterta-WUO_ERR'!A460, ":"))))</f>
        <v/>
      </c>
    </row>
    <row r="461">
      <c r="A461" s="39">
        <f>IF('6 - TV Stands &amp; Enterta'!B461 = "", "", IF('6 - TV Stands &amp; Enterta-WUO_ERR'!A461 = "", "Validated", HYPERLINK("#" &amp; ADDRESS(461, '6 - TV Stands &amp; Enterta-WUO_TRK'!A461),_xlfn.TEXTAFTER('6 - TV Stands &amp; Enterta-WUO_ERR'!A461, ":"))))</f>
        <v/>
      </c>
    </row>
    <row r="462">
      <c r="A462" s="39">
        <f>IF('6 - TV Stands &amp; Enterta'!B462 = "", "", IF('6 - TV Stands &amp; Enterta-WUO_ERR'!A462 = "", "Validated", HYPERLINK("#" &amp; ADDRESS(462, '6 - TV Stands &amp; Enterta-WUO_TRK'!A462),_xlfn.TEXTAFTER('6 - TV Stands &amp; Enterta-WUO_ERR'!A462, ":"))))</f>
        <v/>
      </c>
    </row>
    <row r="463">
      <c r="A463" s="39">
        <f>IF('6 - TV Stands &amp; Enterta'!B463 = "", "", IF('6 - TV Stands &amp; Enterta-WUO_ERR'!A463 = "", "Validated", HYPERLINK("#" &amp; ADDRESS(463, '6 - TV Stands &amp; Enterta-WUO_TRK'!A463),_xlfn.TEXTAFTER('6 - TV Stands &amp; Enterta-WUO_ERR'!A463, ":"))))</f>
        <v/>
      </c>
    </row>
    <row r="464">
      <c r="A464" s="39">
        <f>IF('6 - TV Stands &amp; Enterta'!B464 = "", "", IF('6 - TV Stands &amp; Enterta-WUO_ERR'!A464 = "", "Validated", HYPERLINK("#" &amp; ADDRESS(464, '6 - TV Stands &amp; Enterta-WUO_TRK'!A464),_xlfn.TEXTAFTER('6 - TV Stands &amp; Enterta-WUO_ERR'!A464, ":"))))</f>
        <v/>
      </c>
    </row>
    <row r="465">
      <c r="A465" s="39">
        <f>IF('6 - TV Stands &amp; Enterta'!B465 = "", "", IF('6 - TV Stands &amp; Enterta-WUO_ERR'!A465 = "", "Validated", HYPERLINK("#" &amp; ADDRESS(465, '6 - TV Stands &amp; Enterta-WUO_TRK'!A465),_xlfn.TEXTAFTER('6 - TV Stands &amp; Enterta-WUO_ERR'!A465, ":"))))</f>
        <v/>
      </c>
    </row>
    <row r="466">
      <c r="A466" s="39">
        <f>IF('6 - TV Stands &amp; Enterta'!B466 = "", "", IF('6 - TV Stands &amp; Enterta-WUO_ERR'!A466 = "", "Validated", HYPERLINK("#" &amp; ADDRESS(466, '6 - TV Stands &amp; Enterta-WUO_TRK'!A466),_xlfn.TEXTAFTER('6 - TV Stands &amp; Enterta-WUO_ERR'!A466, ":"))))</f>
        <v/>
      </c>
    </row>
    <row r="467">
      <c r="A467" s="39">
        <f>IF('6 - TV Stands &amp; Enterta'!B467 = "", "", IF('6 - TV Stands &amp; Enterta-WUO_ERR'!A467 = "", "Validated", HYPERLINK("#" &amp; ADDRESS(467, '6 - TV Stands &amp; Enterta-WUO_TRK'!A467),_xlfn.TEXTAFTER('6 - TV Stands &amp; Enterta-WUO_ERR'!A467, ":"))))</f>
        <v/>
      </c>
    </row>
    <row r="468">
      <c r="A468" s="39">
        <f>IF('6 - TV Stands &amp; Enterta'!B468 = "", "", IF('6 - TV Stands &amp; Enterta-WUO_ERR'!A468 = "", "Validated", HYPERLINK("#" &amp; ADDRESS(468, '6 - TV Stands &amp; Enterta-WUO_TRK'!A468),_xlfn.TEXTAFTER('6 - TV Stands &amp; Enterta-WUO_ERR'!A468, ":"))))</f>
        <v/>
      </c>
    </row>
    <row r="469">
      <c r="A469" s="39">
        <f>IF('6 - TV Stands &amp; Enterta'!B469 = "", "", IF('6 - TV Stands &amp; Enterta-WUO_ERR'!A469 = "", "Validated", HYPERLINK("#" &amp; ADDRESS(469, '6 - TV Stands &amp; Enterta-WUO_TRK'!A469),_xlfn.TEXTAFTER('6 - TV Stands &amp; Enterta-WUO_ERR'!A469, ":"))))</f>
        <v/>
      </c>
    </row>
    <row r="470">
      <c r="A470" s="39">
        <f>IF('6 - TV Stands &amp; Enterta'!B470 = "", "", IF('6 - TV Stands &amp; Enterta-WUO_ERR'!A470 = "", "Validated", HYPERLINK("#" &amp; ADDRESS(470, '6 - TV Stands &amp; Enterta-WUO_TRK'!A470),_xlfn.TEXTAFTER('6 - TV Stands &amp; Enterta-WUO_ERR'!A470, ":"))))</f>
        <v/>
      </c>
    </row>
    <row r="471">
      <c r="A471" s="39">
        <f>IF('6 - TV Stands &amp; Enterta'!B471 = "", "", IF('6 - TV Stands &amp; Enterta-WUO_ERR'!A471 = "", "Validated", HYPERLINK("#" &amp; ADDRESS(471, '6 - TV Stands &amp; Enterta-WUO_TRK'!A471),_xlfn.TEXTAFTER('6 - TV Stands &amp; Enterta-WUO_ERR'!A471, ":"))))</f>
        <v/>
      </c>
    </row>
    <row r="472">
      <c r="A472" s="39">
        <f>IF('6 - TV Stands &amp; Enterta'!B472 = "", "", IF('6 - TV Stands &amp; Enterta-WUO_ERR'!A472 = "", "Validated", HYPERLINK("#" &amp; ADDRESS(472, '6 - TV Stands &amp; Enterta-WUO_TRK'!A472),_xlfn.TEXTAFTER('6 - TV Stands &amp; Enterta-WUO_ERR'!A472, ":"))))</f>
        <v/>
      </c>
    </row>
    <row r="473">
      <c r="A473" s="39">
        <f>IF('6 - TV Stands &amp; Enterta'!B473 = "", "", IF('6 - TV Stands &amp; Enterta-WUO_ERR'!A473 = "", "Validated", HYPERLINK("#" &amp; ADDRESS(473, '6 - TV Stands &amp; Enterta-WUO_TRK'!A473),_xlfn.TEXTAFTER('6 - TV Stands &amp; Enterta-WUO_ERR'!A473, ":"))))</f>
        <v/>
      </c>
    </row>
    <row r="474">
      <c r="A474" s="39">
        <f>IF('6 - TV Stands &amp; Enterta'!B474 = "", "", IF('6 - TV Stands &amp; Enterta-WUO_ERR'!A474 = "", "Validated", HYPERLINK("#" &amp; ADDRESS(474, '6 - TV Stands &amp; Enterta-WUO_TRK'!A474),_xlfn.TEXTAFTER('6 - TV Stands &amp; Enterta-WUO_ERR'!A474, ":"))))</f>
        <v/>
      </c>
    </row>
    <row r="475">
      <c r="A475" s="39">
        <f>IF('6 - TV Stands &amp; Enterta'!B475 = "", "", IF('6 - TV Stands &amp; Enterta-WUO_ERR'!A475 = "", "Validated", HYPERLINK("#" &amp; ADDRESS(475, '6 - TV Stands &amp; Enterta-WUO_TRK'!A475),_xlfn.TEXTAFTER('6 - TV Stands &amp; Enterta-WUO_ERR'!A475, ":"))))</f>
        <v/>
      </c>
    </row>
    <row r="476">
      <c r="A476" s="39">
        <f>IF('6 - TV Stands &amp; Enterta'!B476 = "", "", IF('6 - TV Stands &amp; Enterta-WUO_ERR'!A476 = "", "Validated", HYPERLINK("#" &amp; ADDRESS(476, '6 - TV Stands &amp; Enterta-WUO_TRK'!A476),_xlfn.TEXTAFTER('6 - TV Stands &amp; Enterta-WUO_ERR'!A476, ":"))))</f>
        <v/>
      </c>
    </row>
    <row r="477">
      <c r="A477" s="39">
        <f>IF('6 - TV Stands &amp; Enterta'!B477 = "", "", IF('6 - TV Stands &amp; Enterta-WUO_ERR'!A477 = "", "Validated", HYPERLINK("#" &amp; ADDRESS(477, '6 - TV Stands &amp; Enterta-WUO_TRK'!A477),_xlfn.TEXTAFTER('6 - TV Stands &amp; Enterta-WUO_ERR'!A477, ":"))))</f>
        <v/>
      </c>
    </row>
    <row r="478">
      <c r="A478" s="39">
        <f>IF('6 - TV Stands &amp; Enterta'!B478 = "", "", IF('6 - TV Stands &amp; Enterta-WUO_ERR'!A478 = "", "Validated", HYPERLINK("#" &amp; ADDRESS(478, '6 - TV Stands &amp; Enterta-WUO_TRK'!A478),_xlfn.TEXTAFTER('6 - TV Stands &amp; Enterta-WUO_ERR'!A478, ":"))))</f>
        <v/>
      </c>
    </row>
    <row r="479">
      <c r="A479" s="39">
        <f>IF('6 - TV Stands &amp; Enterta'!B479 = "", "", IF('6 - TV Stands &amp; Enterta-WUO_ERR'!A479 = "", "Validated", HYPERLINK("#" &amp; ADDRESS(479, '6 - TV Stands &amp; Enterta-WUO_TRK'!A479),_xlfn.TEXTAFTER('6 - TV Stands &amp; Enterta-WUO_ERR'!A479, ":"))))</f>
        <v/>
      </c>
    </row>
    <row r="480">
      <c r="A480" s="39">
        <f>IF('6 - TV Stands &amp; Enterta'!B480 = "", "", IF('6 - TV Stands &amp; Enterta-WUO_ERR'!A480 = "", "Validated", HYPERLINK("#" &amp; ADDRESS(480, '6 - TV Stands &amp; Enterta-WUO_TRK'!A480),_xlfn.TEXTAFTER('6 - TV Stands &amp; Enterta-WUO_ERR'!A480, ":"))))</f>
        <v/>
      </c>
    </row>
    <row r="481">
      <c r="A481" s="39">
        <f>IF('6 - TV Stands &amp; Enterta'!B481 = "", "", IF('6 - TV Stands &amp; Enterta-WUO_ERR'!A481 = "", "Validated", HYPERLINK("#" &amp; ADDRESS(481, '6 - TV Stands &amp; Enterta-WUO_TRK'!A481),_xlfn.TEXTAFTER('6 - TV Stands &amp; Enterta-WUO_ERR'!A481, ":"))))</f>
        <v/>
      </c>
    </row>
    <row r="482">
      <c r="A482" s="39">
        <f>IF('6 - TV Stands &amp; Enterta'!B482 = "", "", IF('6 - TV Stands &amp; Enterta-WUO_ERR'!A482 = "", "Validated", HYPERLINK("#" &amp; ADDRESS(482, '6 - TV Stands &amp; Enterta-WUO_TRK'!A482),_xlfn.TEXTAFTER('6 - TV Stands &amp; Enterta-WUO_ERR'!A482, ":"))))</f>
        <v/>
      </c>
    </row>
    <row r="483">
      <c r="A483" s="39">
        <f>IF('6 - TV Stands &amp; Enterta'!B483 = "", "", IF('6 - TV Stands &amp; Enterta-WUO_ERR'!A483 = "", "Validated", HYPERLINK("#" &amp; ADDRESS(483, '6 - TV Stands &amp; Enterta-WUO_TRK'!A483),_xlfn.TEXTAFTER('6 - TV Stands &amp; Enterta-WUO_ERR'!A483, ":"))))</f>
        <v/>
      </c>
    </row>
    <row r="484">
      <c r="A484" s="39">
        <f>IF('6 - TV Stands &amp; Enterta'!B484 = "", "", IF('6 - TV Stands &amp; Enterta-WUO_ERR'!A484 = "", "Validated", HYPERLINK("#" &amp; ADDRESS(484, '6 - TV Stands &amp; Enterta-WUO_TRK'!A484),_xlfn.TEXTAFTER('6 - TV Stands &amp; Enterta-WUO_ERR'!A484, ":"))))</f>
        <v/>
      </c>
    </row>
    <row r="485">
      <c r="A485" s="39">
        <f>IF('6 - TV Stands &amp; Enterta'!B485 = "", "", IF('6 - TV Stands &amp; Enterta-WUO_ERR'!A485 = "", "Validated", HYPERLINK("#" &amp; ADDRESS(485, '6 - TV Stands &amp; Enterta-WUO_TRK'!A485),_xlfn.TEXTAFTER('6 - TV Stands &amp; Enterta-WUO_ERR'!A485, ":"))))</f>
        <v/>
      </c>
    </row>
    <row r="486">
      <c r="A486" s="39">
        <f>IF('6 - TV Stands &amp; Enterta'!B486 = "", "", IF('6 - TV Stands &amp; Enterta-WUO_ERR'!A486 = "", "Validated", HYPERLINK("#" &amp; ADDRESS(486, '6 - TV Stands &amp; Enterta-WUO_TRK'!A486),_xlfn.TEXTAFTER('6 - TV Stands &amp; Enterta-WUO_ERR'!A486, ":"))))</f>
        <v/>
      </c>
    </row>
    <row r="487">
      <c r="A487" s="39">
        <f>IF('6 - TV Stands &amp; Enterta'!B487 = "", "", IF('6 - TV Stands &amp; Enterta-WUO_ERR'!A487 = "", "Validated", HYPERLINK("#" &amp; ADDRESS(487, '6 - TV Stands &amp; Enterta-WUO_TRK'!A487),_xlfn.TEXTAFTER('6 - TV Stands &amp; Enterta-WUO_ERR'!A487, ":"))))</f>
        <v/>
      </c>
    </row>
    <row r="488">
      <c r="A488" s="39">
        <f>IF('6 - TV Stands &amp; Enterta'!B488 = "", "", IF('6 - TV Stands &amp; Enterta-WUO_ERR'!A488 = "", "Validated", HYPERLINK("#" &amp; ADDRESS(488, '6 - TV Stands &amp; Enterta-WUO_TRK'!A488),_xlfn.TEXTAFTER('6 - TV Stands &amp; Enterta-WUO_ERR'!A488, ":"))))</f>
        <v/>
      </c>
    </row>
    <row r="489">
      <c r="A489" s="39">
        <f>IF('6 - TV Stands &amp; Enterta'!B489 = "", "", IF('6 - TV Stands &amp; Enterta-WUO_ERR'!A489 = "", "Validated", HYPERLINK("#" &amp; ADDRESS(489, '6 - TV Stands &amp; Enterta-WUO_TRK'!A489),_xlfn.TEXTAFTER('6 - TV Stands &amp; Enterta-WUO_ERR'!A489, ":"))))</f>
        <v/>
      </c>
    </row>
    <row r="490">
      <c r="A490" s="39">
        <f>IF('6 - TV Stands &amp; Enterta'!B490 = "", "", IF('6 - TV Stands &amp; Enterta-WUO_ERR'!A490 = "", "Validated", HYPERLINK("#" &amp; ADDRESS(490, '6 - TV Stands &amp; Enterta-WUO_TRK'!A490),_xlfn.TEXTAFTER('6 - TV Stands &amp; Enterta-WUO_ERR'!A490, ":"))))</f>
        <v/>
      </c>
    </row>
    <row r="491">
      <c r="A491" s="39">
        <f>IF('6 - TV Stands &amp; Enterta'!B491 = "", "", IF('6 - TV Stands &amp; Enterta-WUO_ERR'!A491 = "", "Validated", HYPERLINK("#" &amp; ADDRESS(491, '6 - TV Stands &amp; Enterta-WUO_TRK'!A491),_xlfn.TEXTAFTER('6 - TV Stands &amp; Enterta-WUO_ERR'!A491, ":"))))</f>
        <v/>
      </c>
    </row>
    <row r="492">
      <c r="A492" s="39">
        <f>IF('6 - TV Stands &amp; Enterta'!B492 = "", "", IF('6 - TV Stands &amp; Enterta-WUO_ERR'!A492 = "", "Validated", HYPERLINK("#" &amp; ADDRESS(492, '6 - TV Stands &amp; Enterta-WUO_TRK'!A492),_xlfn.TEXTAFTER('6 - TV Stands &amp; Enterta-WUO_ERR'!A492, ":"))))</f>
        <v/>
      </c>
    </row>
    <row r="493">
      <c r="A493" s="39">
        <f>IF('6 - TV Stands &amp; Enterta'!B493 = "", "", IF('6 - TV Stands &amp; Enterta-WUO_ERR'!A493 = "", "Validated", HYPERLINK("#" &amp; ADDRESS(493, '6 - TV Stands &amp; Enterta-WUO_TRK'!A493),_xlfn.TEXTAFTER('6 - TV Stands &amp; Enterta-WUO_ERR'!A493, ":"))))</f>
        <v/>
      </c>
    </row>
    <row r="494">
      <c r="A494" s="39">
        <f>IF('6 - TV Stands &amp; Enterta'!B494 = "", "", IF('6 - TV Stands &amp; Enterta-WUO_ERR'!A494 = "", "Validated", HYPERLINK("#" &amp; ADDRESS(494, '6 - TV Stands &amp; Enterta-WUO_TRK'!A494),_xlfn.TEXTAFTER('6 - TV Stands &amp; Enterta-WUO_ERR'!A494, ":"))))</f>
        <v/>
      </c>
    </row>
    <row r="495">
      <c r="A495" s="39">
        <f>IF('6 - TV Stands &amp; Enterta'!B495 = "", "", IF('6 - TV Stands &amp; Enterta-WUO_ERR'!A495 = "", "Validated", HYPERLINK("#" &amp; ADDRESS(495, '6 - TV Stands &amp; Enterta-WUO_TRK'!A495),_xlfn.TEXTAFTER('6 - TV Stands &amp; Enterta-WUO_ERR'!A495, ":"))))</f>
        <v/>
      </c>
    </row>
    <row r="496">
      <c r="A496" s="39">
        <f>IF('6 - TV Stands &amp; Enterta'!B496 = "", "", IF('6 - TV Stands &amp; Enterta-WUO_ERR'!A496 = "", "Validated", HYPERLINK("#" &amp; ADDRESS(496, '6 - TV Stands &amp; Enterta-WUO_TRK'!A496),_xlfn.TEXTAFTER('6 - TV Stands &amp; Enterta-WUO_ERR'!A496, ":"))))</f>
        <v/>
      </c>
    </row>
    <row r="497">
      <c r="A497" s="39">
        <f>IF('6 - TV Stands &amp; Enterta'!B497 = "", "", IF('6 - TV Stands &amp; Enterta-WUO_ERR'!A497 = "", "Validated", HYPERLINK("#" &amp; ADDRESS(497, '6 - TV Stands &amp; Enterta-WUO_TRK'!A497),_xlfn.TEXTAFTER('6 - TV Stands &amp; Enterta-WUO_ERR'!A497, ":"))))</f>
        <v/>
      </c>
    </row>
    <row r="498">
      <c r="A498" s="39">
        <f>IF('6 - TV Stands &amp; Enterta'!B498 = "", "", IF('6 - TV Stands &amp; Enterta-WUO_ERR'!A498 = "", "Validated", HYPERLINK("#" &amp; ADDRESS(498, '6 - TV Stands &amp; Enterta-WUO_TRK'!A498),_xlfn.TEXTAFTER('6 - TV Stands &amp; Enterta-WUO_ERR'!A498, ":"))))</f>
        <v/>
      </c>
    </row>
    <row r="499">
      <c r="A499" s="39">
        <f>IF('6 - TV Stands &amp; Enterta'!B499 = "", "", IF('6 - TV Stands &amp; Enterta-WUO_ERR'!A499 = "", "Validated", HYPERLINK("#" &amp; ADDRESS(499, '6 - TV Stands &amp; Enterta-WUO_TRK'!A499),_xlfn.TEXTAFTER('6 - TV Stands &amp; Enterta-WUO_ERR'!A499, ":"))))</f>
        <v/>
      </c>
    </row>
    <row r="500">
      <c r="A500" s="39">
        <f>IF('6 - TV Stands &amp; Enterta'!B500 = "", "", IF('6 - TV Stands &amp; Enterta-WUO_ERR'!A500 = "", "Validated", HYPERLINK("#" &amp; ADDRESS(500, '6 - TV Stands &amp; Enterta-WUO_TRK'!A500),_xlfn.TEXTAFTER('6 - TV Stands &amp; Enterta-WUO_ERR'!A500, ":"))))</f>
        <v/>
      </c>
    </row>
    <row r="501">
      <c r="A501" s="39">
        <f>IF('6 - TV Stands &amp; Enterta'!B501 = "", "", IF('6 - TV Stands &amp; Enterta-WUO_ERR'!A501 = "", "Validated", HYPERLINK("#" &amp; ADDRESS(501, '6 - TV Stands &amp; Enterta-WUO_TRK'!A501),_xlfn.TEXTAFTER('6 - TV Stands &amp; Enterta-WUO_ERR'!A501, ":"))))</f>
        <v/>
      </c>
    </row>
    <row r="502">
      <c r="A502" s="39">
        <f>IF('6 - TV Stands &amp; Enterta'!B502 = "", "", IF('6 - TV Stands &amp; Enterta-WUO_ERR'!A502 = "", "Validated", HYPERLINK("#" &amp; ADDRESS(502, '6 - TV Stands &amp; Enterta-WUO_TRK'!A502),_xlfn.TEXTAFTER('6 - TV Stands &amp; Enterta-WUO_ERR'!A502, ":"))))</f>
        <v/>
      </c>
    </row>
    <row r="503">
      <c r="A503" s="39">
        <f>IF('6 - TV Stands &amp; Enterta'!B503 = "", "", IF('6 - TV Stands &amp; Enterta-WUO_ERR'!A503 = "", "Validated", HYPERLINK("#" &amp; ADDRESS(503, '6 - TV Stands &amp; Enterta-WUO_TRK'!A503),_xlfn.TEXTAFTER('6 - TV Stands &amp; Enterta-WUO_ERR'!A503, ":"))))</f>
        <v/>
      </c>
    </row>
    <row r="504">
      <c r="A504" s="39">
        <f>IF('6 - TV Stands &amp; Enterta'!B504 = "", "", IF('6 - TV Stands &amp; Enterta-WUO_ERR'!A504 = "", "Validated", HYPERLINK("#" &amp; ADDRESS(504, '6 - TV Stands &amp; Enterta-WUO_TRK'!A504),_xlfn.TEXTAFTER('6 - TV Stands &amp; Enterta-WUO_ERR'!A504, ":"))))</f>
        <v/>
      </c>
    </row>
    <row r="505">
      <c r="A505" s="39">
        <f>IF('6 - TV Stands &amp; Enterta'!B505 = "", "", IF('6 - TV Stands &amp; Enterta-WUO_ERR'!A505 = "", "Validated", HYPERLINK("#" &amp; ADDRESS(505, '6 - TV Stands &amp; Enterta-WUO_TRK'!A505),_xlfn.TEXTAFTER('6 - TV Stands &amp; Enterta-WUO_ERR'!A505, ":"))))</f>
        <v/>
      </c>
    </row>
    <row r="506">
      <c r="A506" s="39">
        <f>IF('6 - TV Stands &amp; Enterta'!B506 = "", "", IF('6 - TV Stands &amp; Enterta-WUO_ERR'!A506 = "", "Validated", HYPERLINK("#" &amp; ADDRESS(506, '6 - TV Stands &amp; Enterta-WUO_TRK'!A506),_xlfn.TEXTAFTER('6 - TV Stands &amp; Enterta-WUO_ERR'!A506, ":"))))</f>
        <v/>
      </c>
    </row>
    <row r="507">
      <c r="A507" s="39">
        <f>IF('6 - TV Stands &amp; Enterta'!B507 = "", "", IF('6 - TV Stands &amp; Enterta-WUO_ERR'!A507 = "", "Validated", HYPERLINK("#" &amp; ADDRESS(507, '6 - TV Stands &amp; Enterta-WUO_TRK'!A507),_xlfn.TEXTAFTER('6 - TV Stands &amp; Enterta-WUO_ERR'!A507, ":"))))</f>
        <v/>
      </c>
    </row>
  </sheetData>
  <sheetProtection selectLockedCells="0" selectUnlockedCells="0" sheet="1" objects="1" insertRows="1" insertHyperlinks="1" autoFilter="1" scenarios="1" formatColumns="0" deleteColumns="1" insertColumns="1" pivotTables="1" deleteRows="1" formatCells="1" formatRows="0" sort="1" password="E3BE"/>
  <mergeCells count="9">
    <mergeCell ref="AL2:AO2"/>
    <mergeCell ref="AP2:AS2"/>
    <mergeCell ref="U2:Z2"/>
    <mergeCell ref="R2:T2"/>
    <mergeCell ref="B2:I2"/>
    <mergeCell ref="AA2:AK2"/>
    <mergeCell ref="AT2:BN2"/>
    <mergeCell ref="BO2:FB2"/>
    <mergeCell ref="J2:Q2"/>
  </mergeCells>
  <conditionalFormatting sqref="A8:A507">
    <cfRule type="expression" priority="5" dxfId="4">
      <formula>A8="Validated"</formula>
    </cfRule>
    <cfRule type="expression" priority="6" dxfId="5">
      <formula>OR(COUNTIF('6 - TV Stands &amp; Enterta-WUO_TRK'!B8:FC8,"Error"),COUNTIF('6 - TV Stands &amp; Enterta-WUO_TRK'!B8:FC8,"Required"))</formula>
    </cfRule>
    <cfRule type="expression" priority="7" dxfId="6">
      <formula>COUNTIF('6 - TV Stands &amp; Enterta-WUO_TRK'!B8:FC8,"Warning")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C507">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83">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'WAYFAIR_USE_ONLY'!$BD$7:$BD9</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8:BP250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'WAYFAIR_USE_ONLY'!$BE$7:$BE10</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8:BQ2500" showDropDown="0" showInputMessage="1" showErrorMessage="1" allowBlank="1" errorTitle="Invalid Drawers Included" error="The value provided is not a valid Drawers Included." promptTitle="Drawers Included" prompt="Please select a valid Drawers Included" type="list">
      <formula1>'WAYFAIR_USE_ONLY'!$BF$7:$BF9</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8:BR250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8:BS2500" showDropDown="0" showInputMessage="1" showErrorMessage="1" allowBlank="1" errorTitle="Invalid Cabinets Included" error="The value provided is not a valid Cabinets Included." promptTitle="Cabinets Included" prompt="Please select a valid Cabinets Included" type="list">
      <formula1>'WAYFAIR_USE_ONLY'!$BG$7:$BG9</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8:BT2500" showDropDown="0" showInputMessage="1" showErrorMessage="1" allowBlank="1" errorTitle="Invalid Shelves Included" error="The value provided is not a valid Shelves Included." promptTitle="Shelves Included" prompt="Please select a valid Shelves Included" type="list">
      <formula1>'WAYFAIR_USE_ONLY'!$BH$7:$BH10</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8:BU250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'WAYFAIR_USE_ONLY'!$BI$7:$BI9</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8:BV250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'WAYFAIR_USE_ONLY'!$BJ$7:$BJ10</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8:BW2500" showDropDown="0" showInputMessage="1" showErrorMessage="1" allowBlank="1" errorTitle="Invalid Bridge Included" error="The value provided is not a valid Bridge Included." promptTitle="Bridge Included" prompt="Please select a valid Bridge Included" type="list">
      <formula1>'WAYFAIR_USE_ONLY'!$BK$7:$BK10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Gloss Finish" error="The value provided is not a valid Gloss Finish." promptTitle="Gloss Finish" prompt="Please select a valid Gloss Finish" type="list">
      <formula1>'WAYFAIR_USE_ONLY'!$BL$7:$BL10</formula1>
    </dataValidation>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8:CC2500" showDropDown="0" showInputMessage="1" showErrorMessage="1" allowBlank="1" errorTitle="Invalid Mirrored" error="The value provided is not a valid Mirrored." promptTitle="Mirrored" prompt="Please select a valid Mirrored" type="list">
      <formula1>'WAYFAIR_USE_ONLY'!$BM$7:$BM10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8:CD250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'WAYFAIR_USE_ONLY'!$BN$7:$BN10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8:CE2500" showDropDown="0" showInputMessage="1" showErrorMessage="1" allowBlank="1" errorTitle="Invalid Adjustable Shelves" error="The value provided is not a valid Adjustable Shelves." promptTitle="Adjustable Shelves" prompt="Please select a valid Adjustable Shelves" type="list">
      <formula1>'WAYFAIR_USE_ONLY'!$BO$7:$BO10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8:CF250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'WAYFAIR_USE_ONLY'!$BP$7:$BP10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8:CG2500" showDropDown="0" showInputMessage="1" showErrorMessage="1" allowBlank="1" errorTitle="Invalid Cable Management" error="The value provided is not a valid Cable Management." promptTitle="Cable Management" prompt="Please select a valid Cable Management" type="list">
      <formula1>'WAYFAIR_USE_ONLY'!$BQ$7:$BQ10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8:CH250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'WAYFAIR_USE_ONLY'!$BR$7:$BR9</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8:CI2500" showDropDown="0" showInputMessage="1" showErrorMessage="1" allowBlank="1" errorTitle="Invalid Fireplace Included" error="The value provided is not a valid Fireplace Included." promptTitle="Fireplace Included" prompt="Please select a valid Fireplace Included" type="list">
      <formula1>'WAYFAIR_USE_ONLY'!$BS$7:$BS9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8:CJ2500" showDropDown="0" showInputMessage="1" showErrorMessage="1" allowBlank="1" errorTitle="Invalid Plug-In" error="The value provided is not a valid Plug-In." promptTitle="Plug-In" prompt="Please select a valid Plug-In" type="list">
      <formula1>'WAYFAIR_USE_ONLY'!$BT$7:$BT9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8:CK2500" showDropDown="0" showInputMessage="1" showErrorMessage="1" allowBlank="1" errorTitle="Invalid Tipover Restraint Device" error="The value provided is not a valid Tipover Restraint Device Included." promptTitle="Tipover Restraint Device Include" prompt="Please select a valid Tipover Restraint Device Included" type="list">
      <formula1>'WAYFAIR_USE_ONLY'!$BU$7:$BU9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8:CL250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'WAYFAIR_USE_ONLY'!$BV$7:$BV10</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8:CM2500" showDropDown="0" showInputMessage="1" showErrorMessage="1" allowBlank="1" errorTitle="Invalid Adjustable Height" error="The value provided is not a valid Adjustable Height." promptTitle="Adjustable Height" prompt="Please select a valid Adjustable Height" type="list">
      <formula1>'WAYFAIR_USE_ONLY'!$BW$7:$BW10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8:CP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'WAYFAIR_USE_ONLY'!$BX$7:$BX26</formula1>
    </dataValidation>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8:CQ2500" showDropDown="0" showInputMessage="1" showErrorMessage="1" allowBlank="1" errorTitle="Invalid Kiln-Dried Wood" error="The value provided is not a valid Kiln-Dried Wood." promptTitle="Kiln-Dried Wood" prompt="Please select a valid Kiln-Dried Wood" type="list">
      <formula1>'WAYFAIR_USE_ONLY'!$BY$7:$BY11</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'WAYFAIR_USE_ONLY'!$CG$7:$CG10</formula1>
    </dataValidation>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8:CT2500" showDropDown="0" showInputMessage="1" showErrorMessage="1" allowBlank="1" errorTitle="Invalid Battery Composition" error="The value provided is not a valid Battery Composition." promptTitle="Battery Composition" prompt="Please select a valid Battery Composition" type="list">
      <formula1>'WAYFAIR_USE_ONLY'!$BZ$7:$BZ17</formula1>
    </dataValidation>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8:CU2500" showDropDown="0" showInputMessage="1" showErrorMessage="1" allowBlank="1" errorTitle="Invalid Battery Type" error="The value provided is not a valid Battery Type." promptTitle="Battery Type" prompt="Please select a valid Battery Type" type="list">
      <formula1>'WAYFAIR_USE_ONLY'!$CA$7:$CA11</formula1>
    </dataValidation>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8:CV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'WAYFAIR_USE_ONLY'!$CB$7:$CB19</formula1>
    </dataValidation>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8:CW2500" showDropDown="0" showInputMessage="1" showErrorMessage="1" allowBlank="1" errorTitle="Invalid Battery Shipment" error="The value provided is not a valid Battery Shipment." promptTitle="Battery Shipment" prompt="Please select a valid Battery Shipment" type="list">
      <formula1>'WAYFAIR_USE_ONLY'!$CC$7:$CC11</formula1>
    </dataValidation>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8:CX2500" showDropDown="0" showInputMessage="1" showErrorMessage="1" allowBlank="1" errorTitle="Invalid Lithium Content" error="The value provided is not a valid Lithium Content." promptTitle="Lithium Content" prompt="Please select a valid Lithium Content" type="list">
      <formula1>'WAYFAIR_USE_ONLY'!$CD$7:$CD14</formula1>
    </dataValidation>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8:CY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'WAYFAIR_USE_ONLY'!$CE$7:$CE14</formula1>
    </dataValidation>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8:CZ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'WAYFAIR_USE_ONLY'!$CF$7:$CF12</formula1>
    </dataValidation>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8:DA250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'WAYFAIR_USE_ONLY'!$CH$7:$CH11</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8:DB2500" showDropDown="0" showInputMessage="1" showErrorMessage="1" allowBlank="1" errorTitle="Invalid Adjustable Flame" error="The value provided is not a valid Adjustable Flame." promptTitle="Adjustable Flame" prompt="Please select a valid Adjustable Flame" type="list">
      <formula1>'WAYFAIR_USE_ONLY'!$CI$7:$CI10</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8:DC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8:DE2500" showDropDown="0" showInputMessage="1" showErrorMessage="1" allowBlank="1" errorTitle="Invalid Unfinished" error="The value provided is not a valid Unfinished." promptTitle="Unfinished" prompt="Please select a valid Unfinished" type="list">
      <formula1>'WAYFAIR_USE_ONLY'!$CJ$7:$CJ10</formula1>
    </dataValidation>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8:DI2500" showDropDown="0" showInputMessage="1" showErrorMessage="1" allowBlank="1" errorTitle="Invalid Vent Type" error="The value provided is not a valid Vent Type." promptTitle="Vent Type" prompt="Please select a valid Vent Type" type="list">
      <formula1>'WAYFAIR_USE_ONLY'!$CK$7:$CK15</formula1>
    </dataValidation>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8:DL2500" showDropDown="0" showInputMessage="1" showErrorMessage="1" allowBlank="1" errorTitle="Invalid Ribbed Detailing" error="The value provided is not a valid Ribbed Detailing." promptTitle="Ribbed Detailing" prompt="Please select a valid Ribbed Detailing" type="list">
      <formula1>'WAYFAIR_USE_ONLY'!$CL$7:$CL11</formula1>
    </dataValidation>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8:DM2500" showDropDown="0" showInputMessage="1" showErrorMessage="1" allowBlank="1" errorTitle="Invalid Fluted Detailing" error="The value provided is not a valid Fluted Detailing." promptTitle="Fluted Detailing" prompt="Please select a valid Fluted Detailing" type="list">
      <formula1>'WAYFAIR_USE_ONLY'!$CM$7:$CM11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8:DO250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8:DP2500" showDropDown="0" showInputMessage="1" showErrorMessage="1" allowBlank="1" errorTitle="Invalid Drawer Safety Stop" error="The value provided is not a valid Drawer Safety Stop." promptTitle="Drawer Safety Stop" prompt="Please select a valid Drawer Safety Stop" type="list">
      <formula1>'WAYFAIR_USE_ONLY'!$CN$7:$CN11</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8:DR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'WAYFAIR_USE_ONLY'!$CO$7:$CO10</formula1>
    </dataValidation>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8:DS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'WAYFAIR_USE_ONLY'!$CS$7:$CS10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8:DT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'WAYFAIR_USE_ONLY'!$CP$7:$CP10</formula1>
    </dataValidation>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8:DU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'WAYFAIR_USE_ONLY'!$CQ$7:$CQ10</formula1>
    </dataValidation>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8:DV2500" showDropDown="0" showInputMessage="1" showErrorMessage="1" allowBlank="1" errorTitle="Invalid CANFER Compliant" error="The value provided is not a valid CANFER Compliant." promptTitle="CANFER Compliant" prompt="Please select a valid CANFER Compliant" type="list">
      <formula1>'WAYFAIR_USE_ONLY'!$CR$7:$CR11</formula1>
    </dataValidation>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8:DW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'WAYFAIR_USE_ONLY'!$CT$7:$CT9</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8:DX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'WAYFAIR_USE_ONLY'!$CU$7:$CU9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8:DZ2500" showDropDown="0" showInputMessage="1" showErrorMessage="1" allowBlank="1" errorTitle="Invalid UL 1678 Listed" error="The value provided is not a valid UL 1678 Listed." promptTitle="UL 1678 Listed" prompt="Please select a valid UL 1678 Listed" type="list">
      <formula1>'WAYFAIR_USE_ONLY'!$CV$7:$CV11</formula1>
    </dataValidation>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8:EA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'WAYFAIR_USE_ONLY'!$CZ$7:$CZ9</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8:EC2500" showDropDown="0" showInputMessage="1" showErrorMessage="1" allowBlank="1" errorTitle="Invalid Hazard Class(es)" error="The value provided is not a valid Hazard Class(es)." promptTitle="Hazard Class(es)" prompt="Please select a valid Hazard Class(es)" type="list">
      <formula1>'WAYFAIR_USE_ONLY'!$CW$7:$CW23</formula1>
    </dataValidation>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8:ED2500" showDropDown="0" showInputMessage="1" showErrorMessage="1" allowBlank="1" errorTitle="Invalid Packing Group" error="The value provided is not a valid Packing Group." promptTitle="Packing Group" prompt="Please select a valid Packing Group" type="list">
      <formula1>'WAYFAIR_USE_ONLY'!$CX$7:$CX12</formula1>
    </dataValidation>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8:EE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'WAYFAIR_USE_ONLY'!$CY$7:$CY19</formula1>
    </dataValidation>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8:EF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'WAYFAIR_USE_ONLY'!$DA$7:$DA12</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8:EH250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8:EI250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'WAYFAIR_USE_ONLY'!$DB$7:$DB11</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8:EJ2500" showDropDown="0" showInputMessage="1" showErrorMessage="1" allowBlank="1" errorTitle="Invalid ISTA Certified" error="The value provided is not a valid ISTA Certified." promptTitle="ISTA Certified" prompt="Please select a valid ISTA Certified" type="list">
      <formula1>'WAYFAIR_USE_ONLY'!$DC$7:$DC10</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8:EK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'WAYFAIR_USE_ONLY'!$DD$7:$DD10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8:EL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'WAYFAIR_USE_ONLY'!$DE$7:$DE12</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8:EM250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8:EN250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8:EO250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8:EP250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8:EQ250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8:ER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8:ES250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'WAYFAIR_USE_ONLY'!$DF$7:$DF26</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8:ET250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8:EU2500" showDropDown="0" showInputMessage="1" showErrorMessage="1" allowBlank="1" errorTitle="Invalid Assembly Required" error="The value provided is not a valid Assembly Required." promptTitle="Assembly Required" prompt="Please select a valid Assembly Required" type="list">
      <formula1>'WAYFAIR_USE_ONLY'!$DG$7:$DG9</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8:EV2500" showDropDown="0" showInputMessage="1" showErrorMessage="1" allowBlank="1" errorTitle="Invalid Level of Assembly" error="The value provided is not a valid Level of Assembly." promptTitle="Level of Assembly" prompt="Please select a valid Level of Assembly" type="list">
      <formula1>'WAYFAIR_USE_ONLY'!$DH$7:$DH11</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8:EX2500" showDropDown="0" showInputMessage="1" showErrorMessage="1" allowBlank="1" errorTitle="Invalid Commercial Warranty" error="The value provided is not a valid Commercial Warranty." promptTitle="Commercial Warranty" prompt="Please select a valid Commercial Warranty" type="list">
      <formula1>'WAYFAIR_USE_ONLY'!$DJ$7:$DJ10</formula1>
    </dataValidation>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8:EY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'WAYFAIR_USE_ONLY'!$DI$7:$DI32</formula1>
    </dataValidation>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8:EZ2500" showDropDown="0" showInputMessage="1" showErrorMessage="1" allowBlank="1" errorTitle="Invalid Product Warranty" error="The value provided is not a valid Product Warranty." promptTitle="Product Warranty" prompt="Please select a valid Product Warranty" type="list">
      <formula1>'WAYFAIR_USE_ONLY'!$DK$7:$DK9</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8:FA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'WAYFAIR_USE_ONLY'!$DL$7:$DL10</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B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f t="array" ref="A8">_xlfn.BYROW(B8:FC507,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_xlfn.MAP('6 - TV Stands &amp; Enterta'!B8:B507, '6 - TV Stands &amp; Enterta'!B8:B507,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s="22">
        <f t="array" ref="C8">_xlfn.MAP('6 - TV Stands &amp; Enterta'!B8:B507, '6 - TV Stands &amp; Enterta'!C8:C507, _xlfn.LAMBDA(_xlpm.part, _xlpm.val, IF(_xlpm.part = "", "", IF(AND(_xlpm.val = "", C$3="Required"), IF(OR('6 - TV Stands &amp; Enterta'!C$7 = "", '6 - TV Stands &amp; Enterta'!C$7 = "N/A"), "3:ASIN or Amazon Seller SKU - Value is required", ""), ""))))</f>
        <v/>
      </c>
      <c r="D8" s="22">
        <f t="array" ref="D8">_xlfn.MAP('6 - TV Stands &amp; Enterta'!B8:B507, '6 - TV Stands &amp; Enterta'!D8:D507, '6 - TV Stands &amp; Enterta'!J8:J507, _xlfn.LAMBDA(_xlpm.part, _xlpm.val, _xlpm.dep1, IF(_xlpm.part = "", "", _xlfn.LET(_xlpm.check1, IF(AND(_xlpm.val = "", _xlpm.dep1 = "NON-PRIMARY VARIANT"), "2:Autofill", ""), IF(LEN(_xlpm.check1) &gt; 0, _xlpm.check1, IF(AND(_xlpm.val = "", D$3="Required"), IF(OR('6 - TV Stands &amp; Enterta'!D$7 = "", '6 - TV Stands &amp; Enterta'!D$7 = "N/A"), "3:Brand - Value is required", ""), ""))))))</f>
        <v/>
      </c>
      <c r="E8" s="22">
        <f t="array" ref="E8">_xlfn.MAP('6 - TV Stands &amp; Enterta'!B8:B507, '6 - TV Stands &amp; Enterta'!E8:E507,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s="22">
        <f t="array" ref="F8">_xlfn.MAP('6 - TV Stands &amp; Enterta'!B8:B507, '6 - TV Stands &amp; Enterta'!F8:F507,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s="22">
        <f t="array" ref="G8">_xlfn.MAP('6 - TV Stands &amp; Enterta'!B8:B507, '6 - TV Stands &amp; Enterta'!G8:G507, _xlfn.LAMBDA(_xlpm.part, _xlpm.val, IF(_xlpm.part = "", "",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s="22">
        <f t="array" ref="H8">_xlfn.MAP('6 - TV Stands &amp; Enterta'!B8:B507, '6 - TV Stands &amp; Enterta'!H8:H507, '6 - TV Stands &amp; Enterta'!J8:J507, _xlfn.LAMBDA(_xlpm.part, _xlpm.val, _xlpm.dep1, IF(_xlpm.part = "", "", _xlfn.LET(_xlpm.check1, IF(AND(_xlpm.val = "", _xlpm.dep1 = "NON-PRIMARY VARIANT"), "2:Autofill", ""), IF(LEN(_xlpm.check1) &gt; 0, _xlpm.check1, IF(AND(_xlpm.val = "", H$3="Required"), IF(OR('6 - TV Stands &amp; Enterta'!H$7 = "", '6 - TV Stands &amp; Enterta'!H$7 = "N/A"), "3:Collection Name - Value is required", ""), ""))))))</f>
        <v/>
      </c>
      <c r="I8" s="22">
        <f t="array" ref="I8">_xlfn.MAP('6 - TV Stands &amp; Enterta'!B8:B507, '6 - TV Stands &amp; Enterta'!I8:I507, _xlfn.LAMBDA(_xlpm.part, _xlpm.val, IF(_xlpm.part = "", "", IF(AND(_xlpm.val = "", I$3="Required"), IF(OR('6 - TV Stands &amp; Enterta'!I$7 = "", '6 - TV Stands &amp; Enterta'!I$7 = "N/A"), "3:Manufacturer Product URL - Value is required", ""), ""))))</f>
        <v/>
      </c>
      <c r="J8" s="22">
        <f t="array" ref="J8">_xlfn.MAP('6 - TV Stands &amp; Enterta'!B8:B507, '6 - TV Stands &amp; Enterta'!J8:J507, _xlfn.LAMBDA(_xlpm.part, _xlpm.val, IF(_xlpm.part = "", "", IF(AND(_xlpm.val = "", J$3="Required"), IF(OR('6 - TV Stands &amp; Enterta'!J$7 = "", '6 - TV Stands &amp; Enterta'!J$7 = "N/A"), "3:Variant Type - Value is required", ""), ""))))</f>
        <v/>
      </c>
      <c r="K8" s="22">
        <f t="array" ref="K8">_xlfn.MAP('6 - TV Stands &amp; Enterta'!B8:B507, '6 - TV Stands &amp; Enterta'!K8:K507, '6 - TV Stands &amp; Enterta'!J8:J507,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IF(OR('6 - TV Stands &amp; Enterta'!K$7 = "", '6 - TV Stands &amp; Enterta'!K$7 = "N/A"), "3:Group Reference ID - Value is required", ""), ""), IF(LEN(_xlpm.check2) &gt; 0, _xlpm.check2, _xlfn.LET(_xlpm.check3, IF(_xlpm.dep1 = "PRIMARY VARIANT", IF(_xlpm.val = "", IF(OR('6 - TV Stands &amp; Enterta'!K$7 = "", '6 - TV Stands &amp; Enterta'!K$7 = "N/A"), "3:Variant Group Reference Id is required for primary-variant", ""), ""), ""), IF(LEN(_xlpm.check3) &gt; 0, _xlpm.check3, IF(_xlpm.dep1 = "NON-PRIMARY VARIANT", IF(_xlpm.val = "", IF(OR('6 - TV Stands &amp; Enterta'!K$7 = "", '6 - TV Stands &amp; Enterta'!K$7 = "N/A"), "3:Variant Group Reference Id is required for non-primary variant", ""), ""), ""))))))))))</f>
        <v/>
      </c>
      <c r="L8" s="22">
        <f t="array" ref="L8">_xlfn.MAP('6 - TV Stands &amp; Enterta'!B8:B507, '6 - TV Stands &amp; Enterta'!L8:L507,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IF(OR('6 - TV Stands &amp; Enterta'!L$7 = "", '6 - TV Stands &amp; Enterta'!L$7 = "N/A"), "3:Variant Grouping - Value is required", ""), ""), IF(LEN(_xlpm.check5) &gt; 0, _xlpm.check5, IF(_xlpm.dep1 = "PRIMARY VARIANT", IF(_xlpm.val = "", IF(OR('6 - TV Stands &amp; Enterta'!L$7 = "", '6 - TV Stands &amp; Enterta'!L$7 = "N/A"), "3:Variant grouping value must be specified for primary variant", ""), ""), ""))))))))))))))</f>
        <v/>
      </c>
      <c r="M8" s="22">
        <f t="array" ref="M8">_xlfn.MAP('6 - TV Stands &amp; Enterta'!B8:B507, '6 - TV Stands &amp; Enterta'!M8:M507, '6 - TV Stands &amp; Enterta'!J8:J507, '6 - TV Stands &amp; Enterta'!L8:L507,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IF(OR('6 - TV Stands &amp; Enterta'!M$7 = "", '6 - TV Stands &amp; Enterta'!M$7 = "N/A"), "3:Variant Attribute Name On Site - Value is required", ""), ""), IF(LEN(_xlpm.check3) &gt; 0, _xlpm.check3, _xlfn.LET(_xlpm.check4, IF(AND(_xlpm.dep2 &lt;&gt; "", _xlpm.dep2 &lt;&gt; "Finish", _xlpm.dep2 &lt;&gt; "Assembly"), IF(_xlpm.val = "", IF(OR('6 - TV Stands &amp; Enterta'!M$7 = "", '6 - TV Stands &amp; Enterta'!M$7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Enterta'!M$7 = "", '6 - TV Stands &amp; Enterta'!M$7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Enterta'!M$7 = "", '6 - TV Stands &amp; Enterta'!M$7 = "N/A"), "3:Name on site is required when variant grouping value is provided", ""), ""), ""), IF(LEN(_xlpm.check6) &gt; 0, _xlpm.check6, _xlfn.LET(_xlpm.check7, IF(AND(_xlpm.dep2 &lt;&gt; "", _xlpm.dep2 &lt;&gt; "Color"), IF(_xlpm.val = "", IF(OR('6 - TV Stands &amp; Enterta'!M$7 = "", '6 - TV Stands &amp; Enterta'!M$7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Enterta'!M$7 = "", '6 - TV Stands &amp; Enterta'!M$7 = "N/A"), "3:Name on site is required when variant grouping value is provided", ""), ""), ""))))))))))))))))))</f>
        <v/>
      </c>
      <c r="N8" s="22">
        <f t="array" ref="N8">_xlfn.MAP('6 - TV Stands &amp; Enterta'!B8:B507, '6 - TV Stands &amp; Enterta'!N8:N507,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IF(OR('6 - TV Stands &amp; Enterta'!N$7 = "", '6 - TV Stands &amp; Enterta'!N$7 = "N/A"), "3:Variant Grouping - Value is required", ""), ""))))))))))))</f>
        <v/>
      </c>
      <c r="O8" s="22">
        <f t="array" ref="O8">_xlfn.MAP('6 - TV Stands &amp; Enterta'!B8:B507, '6 - TV Stands &amp; Enterta'!O8:O507, '6 - TV Stands &amp; Enterta'!J8:J507, '6 - TV Stands &amp; Enterta'!N8:N507,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IF(OR('6 - TV Stands &amp; Enterta'!O$7 = "", '6 - TV Stands &amp; Enterta'!O$7 = "N/A"), "3:Variant Attribute Name On Site - Value is required", ""), ""), IF(LEN(_xlpm.check3) &gt; 0, _xlpm.check3, _xlfn.LET(_xlpm.check4, IF(AND(_xlpm.dep2 &lt;&gt; "", _xlpm.dep2 &lt;&gt; "Finish", _xlpm.dep2 &lt;&gt; "Assembly"), IF(_xlpm.val = "", IF(OR('6 - TV Stands &amp; Enterta'!O$7 = "", '6 - TV Stands &amp; Enterta'!O$7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Enterta'!O$7 = "", '6 - TV Stands &amp; Enterta'!O$7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Enterta'!O$7 = "", '6 - TV Stands &amp; Enterta'!O$7 = "N/A"), "3:Name on site is required when variant grouping value is provided", ""), ""), ""), IF(LEN(_xlpm.check6) &gt; 0, _xlpm.check6, _xlfn.LET(_xlpm.check7, IF(AND(_xlpm.dep2 &lt;&gt; "", _xlpm.dep2 &lt;&gt; "Color"), IF(_xlpm.val = "", IF(OR('6 - TV Stands &amp; Enterta'!O$7 = "", '6 - TV Stands &amp; Enterta'!O$7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Enterta'!O$7 = "", '6 - TV Stands &amp; Enterta'!O$7 = "N/A"), "3:Name on site is required when variant grouping value is provided", ""), ""), ""))))))))))))))))))</f>
        <v/>
      </c>
      <c r="P8" s="22">
        <f t="array" ref="P8">_xlfn.MAP('6 - TV Stands &amp; Enterta'!B8:B507, '6 - TV Stands &amp; Enterta'!P8:P507,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IF(OR('6 - TV Stands &amp; Enterta'!P$7 = "", '6 - TV Stands &amp; Enterta'!P$7 = "N/A"), "3:Variant Grouping - Value is required", ""), ""))))))))))))</f>
        <v/>
      </c>
      <c r="Q8" s="22">
        <f t="array" ref="Q8">_xlfn.MAP('6 - TV Stands &amp; Enterta'!B8:B507, '6 - TV Stands &amp; Enterta'!Q8:Q507, '6 - TV Stands &amp; Enterta'!J8:J507, '6 - TV Stands &amp; Enterta'!P8:P507,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IF(OR('6 - TV Stands &amp; Enterta'!Q$7 = "", '6 - TV Stands &amp; Enterta'!Q$7 = "N/A"), "3:Variant Attribute Name On Site - Value is required", ""), ""), IF(LEN(_xlpm.check3) &gt; 0, _xlpm.check3, _xlfn.LET(_xlpm.check4, IF(AND(_xlpm.dep2 &lt;&gt; "", _xlpm.dep2 &lt;&gt; "Finish", _xlpm.dep2 &lt;&gt; "Assembly"), IF(_xlpm.val = "", IF(OR('6 - TV Stands &amp; Enterta'!Q$7 = "", '6 - TV Stands &amp; Enterta'!Q$7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Enterta'!Q$7 = "", '6 - TV Stands &amp; Enterta'!Q$7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Enterta'!Q$7 = "", '6 - TV Stands &amp; Enterta'!Q$7 = "N/A"), "3:Name on site is required when variant grouping value is provided", ""), ""), ""), IF(LEN(_xlpm.check6) &gt; 0, _xlpm.check6, _xlfn.LET(_xlpm.check7, IF(AND(_xlpm.dep2 &lt;&gt; "", _xlpm.dep2 &lt;&gt; "Color"), IF(_xlpm.val = "", IF(OR('6 - TV Stands &amp; Enterta'!Q$7 = "", '6 - TV Stands &amp; Enterta'!Q$7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Enterta'!Q$7 = "", '6 - TV Stands &amp; Enterta'!Q$7 = "N/A"), "3:Name on site is required when variant grouping value is provided", ""), ""), ""))))))))))))))))))</f>
        <v/>
      </c>
      <c r="R8" s="22">
        <f t="array" ref="R8">_xlfn.MAP('6 - TV Stands &amp; Enterta'!B8:B507, '6 - TV Stands &amp; Enterta'!R8:R507, _xlfn.LAMBDA(_xlpm.part, _xlpm.val, IF(_xlpm.part = "", "", _xlfn.LET(_xlpm.check1, IF(AND(NOT(ISBLANK(_xlpm.val)),OR(NOT(ISNUMBER(IFERROR(VALUE(_xlpm.val), ""))), IFERROR(VALUE(_xlpm.val), -1) &lt; 0)), "1:Base Cost - Value should be numeric", ""), IF(LEN(_xlpm.check1) &gt; 0, _xlpm.check1, IF(AND(_xlpm.val = "", R$3="Required"), IF(OR('6 - TV Stands &amp; Enterta'!R$7 = "", '6 - TV Stands &amp; Enterta'!R$7 = "N/A"), "3:Base Cost - Value is required", ""), ""))))))</f>
        <v/>
      </c>
      <c r="S8" s="22">
        <f t="array" ref="S8">_xlfn.MAP('6 - TV Stands &amp; Enterta'!B8:B507, '6 - TV Stands &amp; Enterta'!S8:S507, _xlfn.LAMBDA(_xlpm.part, _xlpm.val, IF(_xlpm.part = "", "", _xlfn.LET(_xlpm.check1, IF(AND(NOT(ISBLANK(_xlpm.val)),OR(NOT(ISNUMBER(IFERROR(VALUE(_xlpm.val), ""))), IFERROR(VALUE(_xlpm.val), -1) &lt; 0)), "1:Minimum Advertised Price - Value should be numeric", ""), IF(LEN(_xlpm.check1) &gt; 0, _xlpm.check1, IF(AND(_xlpm.val = "", S$3="Required"), IF(OR('6 - TV Stands &amp; Enterta'!S$7 = "", '6 - TV Stands &amp; Enterta'!S$7 = "N/A"), "3:Minimum Advertised Price - Value is required", ""), ""))))))</f>
        <v/>
      </c>
      <c r="T8" s="22">
        <f t="array" ref="T8">_xlfn.MAP('6 - TV Stands &amp; Enterta'!B8:B507, '6 - TV Stands &amp; Enterta'!T8:T507,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IF(OR('6 - TV Stands &amp; Enterta'!T$7 = "", '6 - TV Stands &amp; Enterta'!T$7 = "N/A"), "3:Manufacturer Suggested Retail Price - Value is required", ""), ""))))))</f>
        <v/>
      </c>
      <c r="U8" s="22">
        <f t="array" ref="U8">_xlfn.MAP('6 - TV Stands &amp; Enterta'!B8:B507, '6 - TV Stands &amp; Enterta'!U8:U507, '6 - TV Stands &amp; Enterta'!J8:J507, '6 - TV Stands &amp; Enterta'!V8:V507, '6 - TV Stands &amp; Enterta'!W8:W507, '6 - TV Stands &amp; Enterta'!X8:X507,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IF(OR('6 - TV Stands &amp; Enterta'!U$7 = "", '6 - TV Stands &amp; Enterta'!U$7 = "N/A"), "3:Marketing Copy - Value is required", ""), ""), IF(LEN(_xlpm.check4) &gt; 0, _xlpm.check4, IF(OR(_xlpm.dep2 = "", _xlpm.dep3 = "", _xlpm.dep4 = ""), IF(_xlpm.val = "", IF(OR('6 - TV Stands &amp; Enterta'!U$7 = "", '6 - TV Stands &amp; Enterta'!U$7 = "N/A"), "3:Either the Marketing Copy or at least three Feature Bullets are required for this part.", ""), ""), ""))))))))))))</f>
        <v/>
      </c>
      <c r="V8" s="22">
        <f t="array" ref="V8">_xlfn.MAP('6 - TV Stands &amp; Enterta'!B8:B507, '6 - TV Stands &amp; Enterta'!V8:V507, '6 - TV Stands &amp; Enterta'!J8:J507, '6 - TV Stands &amp; Enterta'!W8:W507, '6 - TV Stands &amp; Enterta'!X8:X507,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IF(OR('6 - TV Stands &amp; Enterta'!V$7 = "", '6 - TV Stands &amp; Enterta'!V$7 = "N/A"), "3:Feature Bullet - Value is required", ""), ""), IF(LEN(_xlpm.check3) &gt; 0, _xlpm.check3, _xlfn.LET(_xlpm.check4, IF(AND(AND(_xlpm.dep2 = "", _xlpm.dep3 = ""), _xlpm.dep4 = ""), IF(_xlpm.val = "", IF(OR('6 - TV Stands &amp; Enterta'!V$7 = "", '6 - TV Stands &amp; Enterta'!V$7 = "N/A"), "3:Either the Marketing Copy or at least three Feature Bullets are required for this part.", ""), ""), ""), IF(LEN(_xlpm.check4) &gt; 0, _xlpm.check4, IF(_xlpm.dep4 = "", IF(_xlpm.val = "", IF(OR('6 - TV Stands &amp; Enterta'!V$7 = "", '6 - TV Stands &amp; Enterta'!V$7 = "N/A"), "3:Three feature bullets must be filled", ""), ""), ""))))))))))))</f>
        <v/>
      </c>
      <c r="W8" s="22">
        <f t="array" ref="W8">_xlfn.MAP('6 - TV Stands &amp; Enterta'!B8:B507, '6 - TV Stands &amp; Enterta'!W8:W507, '6 - TV Stands &amp; Enterta'!J8:J507, '6 - TV Stands &amp; Enterta'!V8:V507, '6 - TV Stands &amp; Enterta'!X8:X507,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IF(OR('6 - TV Stands &amp; Enterta'!W$7 = "", '6 - TV Stands &amp; Enterta'!W$7 = "N/A"), "3:Feature Bullet - Value is required", ""), ""), IF(LEN(_xlpm.check3) &gt; 0, _xlpm.check3, _xlfn.LET(_xlpm.check4, IF(AND(AND(_xlpm.dep2 = "", _xlpm.dep3 = ""), _xlpm.dep4 = ""), IF(_xlpm.val = "", IF(OR('6 - TV Stands &amp; Enterta'!W$7 = "", '6 - TV Stands &amp; Enterta'!W$7 = "N/A"), "3:Either the Marketing Copy or at least three Feature Bullets are required for this part.", ""), ""), ""), IF(LEN(_xlpm.check4) &gt; 0, _xlpm.check4, IF(_xlpm.dep4 = "", IF(_xlpm.val = "", IF(OR('6 - TV Stands &amp; Enterta'!W$7 = "", '6 - TV Stands &amp; Enterta'!W$7 = "N/A"), "3:Three feature bullets must be filled", ""), ""), ""))))))))))))</f>
        <v/>
      </c>
      <c r="X8" s="22">
        <f t="array" ref="X8">_xlfn.MAP('6 - TV Stands &amp; Enterta'!B8:B507, '6 - TV Stands &amp; Enterta'!X8:X507, '6 - TV Stands &amp; Enterta'!J8:J507, '6 - TV Stands &amp; Enterta'!V8:V507, '6 - TV Stands &amp; Enterta'!W8:W507,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IF(OR('6 - TV Stands &amp; Enterta'!X$7 = "", '6 - TV Stands &amp; Enterta'!X$7 = "N/A"), "3:Feature Bullet - Value is required", ""), ""), IF(LEN(_xlpm.check3) &gt; 0, _xlpm.check3, _xlfn.LET(_xlpm.check4, IF(AND(AND(_xlpm.dep2 = "", _xlpm.dep3 = ""), _xlpm.dep4 = ""), IF(_xlpm.val = "", IF(OR('6 - TV Stands &amp; Enterta'!X$7 = "", '6 - TV Stands &amp; Enterta'!X$7 = "N/A"), "3:Either the Marketing Copy or at least three Feature Bullets are required for this part.", ""), ""), ""), IF(LEN(_xlpm.check4) &gt; 0, _xlpm.check4, IF(_xlpm.dep4 = "", IF(_xlpm.val = "", IF(OR('6 - TV Stands &amp; Enterta'!X$7 = "", '6 - TV Stands &amp; Enterta'!X$7 = "N/A"), "3:Three feature bullets must be filled", ""), ""), ""))))))))))))</f>
        <v/>
      </c>
      <c r="Y8" s="22">
        <f t="array" ref="Y8">_xlfn.MAP('6 - TV Stands &amp; Enterta'!B8:B507, '6 - TV Stands &amp; Enterta'!Y8:Y507, '6 - TV Stands &amp; Enterta'!J8:J507,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IF(OR('6 - TV Stands &amp; Enterta'!Y$7 = "", '6 - TV Stands &amp; Enterta'!Y$7 = "N/A"), "3:Feature Bullet - Value is required", ""), ""))))))))</f>
        <v/>
      </c>
      <c r="Z8" s="22">
        <f t="array" ref="Z8">_xlfn.MAP('6 - TV Stands &amp; Enterta'!B8:B507, '6 - TV Stands &amp; Enterta'!Z8:Z507, '6 - TV Stands &amp; Enterta'!J8:J507,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IF(OR('6 - TV Stands &amp; Enterta'!Z$7 = "", '6 - TV Stands &amp; Enterta'!Z$7 = "N/A"), "3:Feature Bullet - Value is required", ""), ""))))))))</f>
        <v/>
      </c>
      <c r="AA8" s="22">
        <f t="array" ref="AA8">_xlfn.MAP('6 - TV Stands &amp; Enterta'!B8:B507, '6 - TV Stands &amp; Enterta'!AA8:AA507,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IF(OR('6 - TV Stands &amp; Enterta'!AA$7 = "", '6 - TV Stands &amp; Enterta'!AA$7 = "N/A"), "3:Minimum Order Quantity - Value is required", ""), ""))))))))))))</f>
        <v/>
      </c>
      <c r="AB8" s="22">
        <f t="array" ref="AB8">_xlfn.MAP('6 - TV Stands &amp; Enterta'!B8:B507, '6 - TV Stands &amp; Enterta'!AB8:AB507,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IF(OR('6 - TV Stands &amp; Enterta'!AB$7 = "", '6 - TV Stands &amp; Enterta'!AB$7 = "N/A"), "3:Force Quantity Multiplier - Value is required", ""), ""))))))))))))</f>
        <v/>
      </c>
      <c r="AC8" s="22">
        <f t="array" ref="AC8">_xlfn.MAP('6 - TV Stands &amp; Enterta'!B8:B507, '6 - TV Stands &amp; Enterta'!AC8:AC507,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IF(OR('6 - TV Stands &amp; Enterta'!AC$7 = "", '6 - TV Stands &amp; Enterta'!AC$7 = "N/A"), "3:Display Set Quantity - Value is required", ""), ""))))))))))))</f>
        <v/>
      </c>
      <c r="AD8" s="22">
        <f t="array" ref="AD8">_xlfn.MAP('6 - TV Stands &amp; Enterta'!B8:B507, '6 - TV Stands &amp; Enterta'!AD8:AD507,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IF(OR('6 - TV Stands &amp; Enterta'!AD$7 = "", '6 - TV Stands &amp; Enterta'!AD$7 = "N/A"), "3:Product Weight - Value is required", ""), ""))))))))))</f>
        <v/>
      </c>
      <c r="AE8" s="22">
        <f t="array" ref="AE8">_xlfn.MAP('6 - TV Stands &amp; Enterta'!B8:B507, '6 - TV Stands &amp; Enterta'!AE8:AE507, '6 - TV Stands &amp; Enterta'!J8:J507, _xlfn.LAMBDA(_xlpm.part, _xlpm.val, _xlpm.dep1, IF(_xlpm.part = "", "", _xlfn.LET(_xlpm.check1, IF(AND(_xlpm.val = "", _xlpm.dep1 = "NON-PRIMARY VARIANT"), "2:Autofill", ""), IF(LEN(_xlpm.check1) &gt; 0, _xlpm.check1, IF(AND(_xlpm.val = "", AE$3="Required"), IF(OR('6 - TV Stands &amp; Enterta'!AE$7 = "", '6 - TV Stands &amp; Enterta'!AE$7 = "N/A"), "3:Ship Type - Value is required", ""), ""))))))</f>
        <v/>
      </c>
      <c r="AF8" s="22">
        <f t="array" ref="AF8">_xlfn.MAP('6 - TV Stands &amp; Enterta'!B8:B507, '6 - TV Stands &amp; Enterta'!AF8:AF507, '6 - TV Stands &amp; Enterta'!J8:J507, _xlfn.LAMBDA(_xlpm.part, _xlpm.val, _xlpm.dep1, IF(_xlpm.part = "", "", _xlfn.LET(_xlpm.check1, IF(AND(_xlpm.val = "", _xlpm.dep1 = "NON-PRIMARY VARIANT"), "2:Autofill", ""), IF(LEN(_xlpm.check1) &gt; 0, _xlpm.check1, IF(AND(_xlpm.val = "", AF$3="Required"), IF(OR('6 - TV Stands &amp; Enterta'!AF$7 = "", '6 - TV Stands &amp; Enterta'!AF$7 = "N/A"), "3:Freight Class - Value is required", ""), ""))))))</f>
        <v/>
      </c>
      <c r="AG8" s="22">
        <f t="array" ref="AG8">_xlfn.MAP('6 - TV Stands &amp; Enterta'!B8:B507, '6 - TV Stands &amp; Enterta'!AG8:AG507, '6 - TV Stands &amp; Enterta'!J8:J507, _xlfn.LAMBDA(_xlpm.part, _xlpm.val, _xlpm.dep1, IF(_xlpm.part = "", "", _xlfn.LET(_xlpm.check1, IF(AND(_xlpm.val = "", _xlpm.dep1 = "NON-PRIMARY VARIANT"), "2:Autofill", ""), IF(LEN(_xlpm.check1) &gt; 0, _xlpm.check1, IF(AND(_xlpm.val = "", AG$3="Required"), IF(OR('6 - TV Stands &amp; Enterta'!AG$7 = "", '6 - TV Stands &amp; Enterta'!AG$7 = "N/A"), "3:Lead Time - Value is required", ""), ""))))))</f>
        <v/>
      </c>
      <c r="AH8" s="22">
        <f t="array" ref="AH8">_xlfn.MAP('6 - TV Stands &amp; Enterta'!B8:B507, '6 - TV Stands &amp; Enterta'!AH8:AH507, '6 - TV Stands &amp; Enterta'!J8:J507, _xlfn.LAMBDA(_xlpm.part, _xlpm.val, _xlpm.dep1, IF(_xlpm.part = "", "", _xlfn.LET(_xlpm.check1, IF(AND(_xlpm.val = "", _xlpm.dep1 = "NON-PRIMARY VARIANT"), "2:Autofill", ""), IF(LEN(_xlpm.check1) &gt; 0, _xlpm.check1, IF(AND(_xlpm.val = "", AH$3="Required"), IF(OR('6 - TV Stands &amp; Enterta'!AH$7 = "", '6 - TV Stands &amp; Enterta'!AH$7 = "N/A"), "3:Replacement Lead Time - Value is required", ""), ""))))))</f>
        <v/>
      </c>
      <c r="AI8" s="22">
        <f t="array" ref="AI8">_xlfn.MAP('6 - TV Stands &amp; Enterta'!B8:B507, '6 - TV Stands &amp; Enterta'!AI8:AI507, '6 - TV Stands &amp; Enterta'!J8:J507,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IF(OR('6 - TV Stands &amp; Enterta'!AI$7 = "", '6 - TV Stands &amp; Enterta'!AI$7 = "N/A"), "3:National Motor Freight Class - Value is required", ""), ""))))))))</f>
        <v/>
      </c>
      <c r="AJ8" s="22">
        <f t="array" ref="AJ8">_xlfn.MAP('6 - TV Stands &amp; Enterta'!B8:B507, '6 - TV Stands &amp; Enterta'!AJ8:AJ507, '6 - TV Stands &amp; Enterta'!J8:J507, _xlfn.LAMBDA(_xlpm.part, _xlpm.val, _xlpm.dep1, IF(_xlpm.part = "", "", _xlfn.LET(_xlpm.check1, IF(AND(_xlpm.val = "", _xlpm.dep1 = "NON-PRIMARY VARIANT"), "2:Autofill", ""), IF(LEN(_xlpm.check1) &gt; 0, _xlpm.check1, IF(AND(_xlpm.val = "", AJ$3="Required"), IF(OR('6 - TV Stands &amp; Enterta'!AJ$7 = "", '6 - TV Stands &amp; Enterta'!AJ$7 = "N/A"), "3:Flat Pack - Value is required", ""), ""))))))</f>
        <v/>
      </c>
      <c r="AK8" s="22">
        <f t="array" ref="AK8">_xlfn.MAP('6 - TV Stands &amp; Enterta'!B8:B507, '6 - TV Stands &amp; Enterta'!AK8:AK507, '6 - TV Stands &amp; Enterta'!J8:J507, _xlfn.LAMBDA(_xlpm.part, _xlpm.val, _xlpm.dep1, IF(_xlpm.part = "", "", _xlfn.LET(_xlpm.check1, IF(AND(_xlpm.val = "", _xlpm.dep1 = "NON-PRIMARY VARIANT"), "2:Autofill", ""), IF(LEN(_xlpm.check1) &gt; 0, _xlpm.check1, IF(AND(_xlpm.val = "", AK$3="Required"), IF(OR('6 - TV Stands &amp; Enterta'!AK$7 = "", '6 - TV Stands &amp; Enterta'!AK$7 = "N/A"), "3:Ship Palletized - Value is required", ""), ""))))))</f>
        <v/>
      </c>
      <c r="AL8" s="22">
        <f t="array" ref="AL8">_xlfn.MAP('6 - TV Stands &amp; Enterta'!B8:B507, '6 - TV Stands &amp; Enterta'!AL8:AL507, '6 - TV Stands &amp; Enterta'!AM8:AM507, '6 - TV Stands &amp; Enterta'!AN8:AN507, '6 - TV Stands &amp; Enterta'!AO8:AO507,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IF(OR('6 - TV Stands &amp; Enterta'!AL$7 = "", '6 - TV Stands &amp; Enterta'!AL$7 = "N/A"), "3:Carton Weight - Value is required", ""), ""), IF(LEN(_xlpm.check3) &gt; 0, _xlpm.check3, _xlfn.LET(_xlpm.check4, IF(OR(_xlpm.dep1 &lt;&gt; "", _xlpm.dep2 &lt;&gt; "", _xlpm.dep3 &lt;&gt; ""), IF(_xlpm.val = "", IF(OR('6 - TV Stands &amp; Enterta'!AL$7 = "", '6 - TV Stands &amp; Enterta'!AL$7 = "N/A"), "3:Shipping weight is required", ""), ""), ""), IF(LEN(_xlpm.check4) &gt; 0, _xlpm.check4, IF(AND(_xlpm.dep3 = "", _xlpm.dep1 = "", _xlpm.dep2 = ""), IF(_xlpm.val = "", IF(OR('6 - TV Stands &amp; Enterta'!AL$7 = "", '6 - TV Stands &amp; Enterta'!AL$7 = "N/A"), "3:Shipping weight is required", ""), ""), ""))))))))))))</f>
        <v/>
      </c>
      <c r="AM8" s="22">
        <f t="array" ref="AM8">_xlfn.MAP('6 - TV Stands &amp; Enterta'!B8:B507, '6 - TV Stands &amp; Enterta'!AM8:AM507, '6 - TV Stands &amp; Enterta'!AL8:AL507, '6 - TV Stands &amp; Enterta'!AN8:AN507, '6 - TV Stands &amp; Enterta'!AO8:AO507,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IF(OR('6 - TV Stands &amp; Enterta'!AM$7 = "", '6 - TV Stands &amp; Enterta'!AM$7 = "N/A"), "3:Carton Height - Value is required", ""), ""), IF(LEN(_xlpm.check3) &gt; 0, _xlpm.check3, _xlfn.LET(_xlpm.check4, IF(OR(_xlpm.dep1 &lt;&gt; "", _xlpm.dep2 &lt;&gt; "", _xlpm.dep3 &lt;&gt; ""), IF(_xlpm.val = "", IF(OR('6 - TV Stands &amp; Enterta'!AM$7 = "", '6 - TV Stands &amp; Enterta'!AM$7 = "N/A"), "3:Carton height is required", ""), ""), ""), IF(LEN(_xlpm.check4) &gt; 0, _xlpm.check4, IF(AND(_xlpm.dep1 = "", _xlpm.dep3 = "", _xlpm.dep2 = ""), IF(_xlpm.val = "", IF(OR('6 - TV Stands &amp; Enterta'!AM$7 = "", '6 - TV Stands &amp; Enterta'!AM$7 = "N/A"), "3:Carton height is required", ""), ""), ""))))))))))))</f>
        <v/>
      </c>
      <c r="AN8" s="22">
        <f t="array" ref="AN8">_xlfn.MAP('6 - TV Stands &amp; Enterta'!B8:B507, '6 - TV Stands &amp; Enterta'!AN8:AN507, '6 - TV Stands &amp; Enterta'!AL8:AL507, '6 - TV Stands &amp; Enterta'!AM8:AM507, '6 - TV Stands &amp; Enterta'!AO8:AO507,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IF(OR('6 - TV Stands &amp; Enterta'!AN$7 = "", '6 - TV Stands &amp; Enterta'!AN$7 = "N/A"), "3:Carton Width - Value is required", ""), ""), IF(LEN(_xlpm.check3) &gt; 0, _xlpm.check3, _xlfn.LET(_xlpm.check4, IF(OR(_xlpm.dep1 &lt;&gt; "", _xlpm.dep2 &lt;&gt; "", _xlpm.dep3 &lt;&gt; ""), IF(_xlpm.val = "", IF(OR('6 - TV Stands &amp; Enterta'!AN$7 = "", '6 - TV Stands &amp; Enterta'!AN$7 = "N/A"), "3:Carton width is required", ""), ""), ""), IF(LEN(_xlpm.check4) &gt; 0, _xlpm.check4, IF(AND(_xlpm.dep1 = "", _xlpm.dep2 = "", _xlpm.dep3 = ""), IF(_xlpm.val = "", IF(OR('6 - TV Stands &amp; Enterta'!AN$7 = "", '6 - TV Stands &amp; Enterta'!AN$7 = "N/A"), "3:Carton width is required", ""), ""), ""))))))))))))</f>
        <v/>
      </c>
      <c r="AO8" s="22">
        <f t="array" ref="AO8">_xlfn.MAP('6 - TV Stands &amp; Enterta'!B8:B507, '6 - TV Stands &amp; Enterta'!AO8:AO507, '6 - TV Stands &amp; Enterta'!AL8:AL507, '6 - TV Stands &amp; Enterta'!AM8:AM507, '6 - TV Stands &amp; Enterta'!AN8:AN507,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IF(OR('6 - TV Stands &amp; Enterta'!AO$7 = "", '6 - TV Stands &amp; Enterta'!AO$7 = "N/A"), "3:Carton Depth - Value is required", ""), ""), IF(LEN(_xlpm.check3) &gt; 0, _xlpm.check3, _xlfn.LET(_xlpm.check4, IF(OR(_xlpm.dep1 &lt;&gt; "", _xlpm.dep2 &lt;&gt; "", _xlpm.dep3 &lt;&gt; ""), IF(_xlpm.val = "", IF(OR('6 - TV Stands &amp; Enterta'!AO$7 = "", '6 - TV Stands &amp; Enterta'!AO$7 = "N/A"), "3:Carton depth is required", ""), ""), ""), IF(LEN(_xlpm.check4) &gt; 0, _xlpm.check4, IF(AND(_xlpm.dep1 = "", _xlpm.dep2 = "", _xlpm.dep3 = ""), IF(_xlpm.val = "", IF(OR('6 - TV Stands &amp; Enterta'!AO$7 = "", '6 - TV Stands &amp; Enterta'!AO$7 = "N/A"), "3:Carton depth is required", ""), ""), ""))))))))))))</f>
        <v/>
      </c>
      <c r="AP8" s="22">
        <f t="array" ref="AP8">_xlfn.MAP('6 - TV Stands &amp; Enterta'!B8:B507, '6 - TV Stands &amp; Enterta'!AP8:AP507, _xlfn.LAMBDA(_xlpm.part, _xlpm.val, IF(_xlpm.part = "", "", IF(AND(_xlpm.val = "", AP$3="Required"), IF(OR('6 - TV Stands &amp; Enterta'!AP$7 = "", '6 - TV Stands &amp; Enterta'!AP$7 = "N/A"), "3:Warning Required - Value is required", ""), ""))))</f>
        <v/>
      </c>
      <c r="AQ8" s="22">
        <f t="array" ref="AQ8">_xlfn.MAP('6 - TV Stands &amp; Enterta'!B8:B507, '6 - TV Stands &amp; Enterta'!AQ8:AQ507, '6 - TV Stands &amp; Enterta'!AR8:AR507, '6 - TV Stands &amp; Enterta'!AP8:AP507, _xlfn.LAMBDA(_xlpm.part, _xlpm.val, _xlpm.dep1, _xlpm.dep2, IF(_xlpm.part = "", "", _xlfn.LET(_xlpm.check1, IF(AND(_xlpm.val = "", AQ$3="Required"), IF(OR('6 - TV Stands &amp; Enterta'!AQ$7 = "", '6 - TV Stands &amp; Enterta'!AQ$7 = "N/A"), "3:Chemical - Value is required", ""), ""), IF(LEN(_xlpm.check1) &gt; 0, _xlpm.check1, _xlfn.LET(_xlpm.check2, IF(_xlpm.dep1 &lt;&gt; "", IF(_xlpm.val = "", IF(OR('6 - TV Stands &amp; Enterta'!AQ$7 = "", '6 - TV Stands &amp; Enterta'!AQ$7 = "N/A"), "3:Please provide a chemical", ""), ""), ""), IF(LEN(_xlpm.check2) &gt; 0, _xlpm.check2, IF(_xlpm.dep2 = "Yes", IF(_xlpm.val = "", IF(OR('6 - TV Stands &amp; Enterta'!AQ$7 = "", '6 - TV Stands &amp; Enterta'!AQ$7 = "N/A"), "3:If a warning is required, then a chemical must also be provided", ""), ""), ""))))))))</f>
        <v/>
      </c>
      <c r="AR8" s="22">
        <f t="array" ref="AR8">_xlfn.MAP('6 - TV Stands &amp; Enterta'!B8:B507, '6 - TV Stands &amp; Enterta'!AR8:AR507, '6 - TV Stands &amp; Enterta'!AQ8:AQ507, '6 - TV Stands &amp; Enterta'!AP8:AP507,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IF(OR('6 - TV Stands &amp; Enterta'!AR$7 = "", '6 - TV Stands &amp; Enterta'!AR$7 = "N/A"), "3:Toxicity - Value is required", ""), ""), IF(LEN(_xlpm.check2) &gt; 0, _xlpm.check2, _xlfn.LET(_xlpm.check3, IF(_xlpm.dep1 &lt;&gt; "", IF(_xlpm.val = "", IF(OR('6 - TV Stands &amp; Enterta'!AR$7 = "", '6 - TV Stands &amp; Enterta'!AR$7 = "N/A"), "3:Please select a toxicity from the provided dropdown", ""), ""), ""), IF(LEN(_xlpm.check3) &gt; 0, _xlpm.check3, IF(_xlpm.dep2 = "Yes", IF(_xlpm.val = "", IF(OR('6 - TV Stands &amp; Enterta'!AR$7 = "", '6 - TV Stands &amp; Enterta'!AR$7 = "N/A"), "3:If a warning is required, then a chemical must also be provided", ""), ""), ""))))))))))</f>
        <v/>
      </c>
      <c r="AS8" s="22">
        <f t="array" ref="AS8">_xlfn.MAP('6 - TV Stands &amp; Enterta'!B8:B507, '6 - TV Stands &amp; Enterta'!AS8:AS507, '6 - TV Stands &amp; Enterta'!J8:J507, _xlfn.LAMBDA(_xlpm.part, _xlpm.val, _xlpm.dep1, IF(_xlpm.part = "", "", _xlfn.LET(_xlpm.check1, IF(AND(_xlpm.val = "", _xlpm.dep1 = "NON-PRIMARY VARIANT"), "2:Autofill", ""), IF(LEN(_xlpm.check1) &gt; 0, _xlpm.check1, IF(AND(_xlpm.val = "", AS$3="Required"), IF(OR('6 - TV Stands &amp; Enterta'!AS$7 = "", '6 - TV Stands &amp; Enterta'!AS$7 = "N/A"), "3:Country Of Manufacturer - Value is required", ""), ""))))))</f>
        <v/>
      </c>
      <c r="AT8" s="22">
        <f t="array" ref="AT8">_xlfn.MAP('6 - TV Stands &amp; Enterta'!B8:B507, '6 - TV Stands &amp; Enterta'!AT8:AT507, _xlfn.LAMBDA(_xlpm.part, _xlpm.val, IF(_xlpm.part = "", "", IF(AND(_xlpm.val = "", AT$3="Required"), IF(OR('6 - TV Stands &amp; Enterta'!AT$7 = "", '6 - TV Stands &amp; Enterta'!AT$7 = "N/A"), "3:Image File Name or URL - Value is required", ""), ""))))</f>
        <v/>
      </c>
      <c r="AU8" s="22">
        <f t="array" ref="AU8">_xlfn.MAP('6 - TV Stands &amp; Enterta'!B8:B507, '6 - TV Stands &amp; Enterta'!AU8:AU507, _xlfn.LAMBDA(_xlpm.part, _xlpm.val, IF(_xlpm.part = "", "", IF(AND(_xlpm.val = "", AU$3="Required"), IF(OR('6 - TV Stands &amp; Enterta'!AU$7 = "", '6 - TV Stands &amp; Enterta'!AU$7 = "N/A"), "3:Image File Name or URL - Value is required", ""), ""))))</f>
        <v/>
      </c>
      <c r="AV8" s="22">
        <f t="array" ref="AV8">_xlfn.MAP('6 - TV Stands &amp; Enterta'!B8:B507, '6 - TV Stands &amp; Enterta'!AV8:AV507, _xlfn.LAMBDA(_xlpm.part, _xlpm.val, IF(_xlpm.part = "", "", IF(AND(_xlpm.val = "", AV$3="Required"), IF(OR('6 - TV Stands &amp; Enterta'!AV$7 = "", '6 - TV Stands &amp; Enterta'!AV$7 = "N/A"), "3:Image File Name or URL - Value is required", ""), ""))))</f>
        <v/>
      </c>
      <c r="AW8" s="22">
        <f t="array" ref="AW8">_xlfn.MAP('6 - TV Stands &amp; Enterta'!B8:B507, '6 - TV Stands &amp; Enterta'!AW8:AW507, _xlfn.LAMBDA(_xlpm.part, _xlpm.val, IF(_xlpm.part = "", "", IF(AND(_xlpm.val = "", AW$3="Required"), IF(OR('6 - TV Stands &amp; Enterta'!AW$7 = "", '6 - TV Stands &amp; Enterta'!AW$7 = "N/A"), "3:Image File Name or URL - Value is required", ""), ""))))</f>
        <v/>
      </c>
      <c r="AX8" s="22">
        <f t="array" ref="AX8">_xlfn.MAP('6 - TV Stands &amp; Enterta'!B8:B507, '6 - TV Stands &amp; Enterta'!AX8:AX507, _xlfn.LAMBDA(_xlpm.part, _xlpm.val, IF(_xlpm.part = "", "", IF(AND(_xlpm.val = "", AX$3="Required"), IF(OR('6 - TV Stands &amp; Enterta'!AX$7 = "", '6 - TV Stands &amp; Enterta'!AX$7 = "N/A"), "3:Image File Name or URL - Value is required", ""), ""))))</f>
        <v/>
      </c>
      <c r="AY8" s="22">
        <f t="array" ref="AY8">_xlfn.MAP('6 - TV Stands &amp; Enterta'!B8:B507, '6 - TV Stands &amp; Enterta'!AY8:AY507, _xlfn.LAMBDA(_xlpm.part, _xlpm.val, IF(_xlpm.part = "", "", IF(AND(_xlpm.val = "", AY$3="Required"), IF(OR('6 - TV Stands &amp; Enterta'!AY$7 = "", '6 - TV Stands &amp; Enterta'!AY$7 = "N/A"), "3:Video File Name or URL - Value is required", ""), ""))))</f>
        <v/>
      </c>
      <c r="AZ8" s="22">
        <f t="array" ref="AZ8">_xlfn.MAP('6 - TV Stands &amp; Enterta'!B8:B507, '6 - TV Stands &amp; Enterta'!AZ8:AZ507, '6 - TV Stands &amp; Enterta'!BA8:BA507, '6 - TV Stands &amp; Enterta'!BB8:BB507, '6 - TV Stands &amp; Enterta'!BC8:BC507, '6 - TV Stands &amp; Enterta'!BD8:BD507, _xlfn.LAMBDA(_xlpm.part, _xlpm.val, _xlpm.dep1, _xlpm.dep2, _xlpm.dep3, _xlpm.dep4, IF(_xlpm.part = "", "", _xlfn.LET(_xlpm.check1, IF(AND(_xlpm.val = "", AZ$3="Required"), IF(OR('6 - TV Stands &amp; Enterta'!AZ$7 = "", '6 - TV Stands &amp; Enterta'!AZ$7 = "N/A"), "3:Document File Name or URL - Value is required", ""), ""), IF(LEN(_xlpm.check1) &gt; 0, _xlpm.check1, IF(OR(_xlpm.dep1 &lt;&gt; "", _xlpm.dep2 &lt;&gt; "", _xlpm.dep3 &lt;&gt; "", _xlpm.dep4 &lt;&gt; ""), IF(_xlpm.val = "", IF(OR('6 - TV Stands &amp; Enterta'!AZ$7 = "", '6 - TV Stands &amp; Enterta'!AZ$7 = "N/A"), "3:Document value is required", ""), ""), ""))))))</f>
        <v/>
      </c>
      <c r="BA8" s="22">
        <f t="array" ref="BA8">_xlfn.MAP('6 - TV Stands &amp; Enterta'!B8:B507, '6 - TV Stands &amp; Enterta'!BA8:BA507,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IF(OR('6 - TV Stands &amp; Enterta'!BA$7 = "", '6 - TV Stands &amp; Enterta'!BA$7 = "N/A"), "3:Document Type - Value is required", ""), ""))))))</f>
        <v/>
      </c>
      <c r="BB8" s="22">
        <f t="array" ref="BB8">_xlfn.MAP('6 - TV Stands &amp; Enterta'!B8:B507, '6 - TV Stands &amp; Enterta'!BB8:BB507,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IF(OR('6 - TV Stands &amp; Enterta'!BB$7 = "", '6 - TV Stands &amp; Enterta'!BB$7 = "N/A"), "3:Legal Document Type - Value is required", ""), ""))))))</f>
        <v/>
      </c>
      <c r="BC8" s="22">
        <f t="array" ref="BC8">_xlfn.MAP('6 - TV Stands &amp; Enterta'!B8:B507, '6 - TV Stands &amp; Enterta'!BC8:BC507, _xlfn.LAMBDA(_xlpm.part, _xlpm.val, IF(_xlpm.part = "", "", IF(AND(_xlpm.val = "", BC$3="Required"), IF(OR('6 - TV Stands &amp; Enterta'!BC$7 = "", '6 - TV Stands &amp; Enterta'!BC$7 = "N/A"), "3:Document Region - Value is required", ""), ""))))</f>
        <v/>
      </c>
      <c r="BD8" s="22">
        <f t="array" ref="BD8">_xlfn.MAP('6 - TV Stands &amp; Enterta'!B8:B507, '6 - TV Stands &amp; Enterta'!BD8:BD507, _xlfn.LAMBDA(_xlpm.part, _xlpm.val, IF(_xlpm.part = "", "", IF(AND(_xlpm.val = "", BD$3="Required"), IF(OR('6 - TV Stands &amp; Enterta'!BD$7 = "", '6 - TV Stands &amp; Enterta'!BD$7 = "N/A"), "3:Document Language - Value is required", ""), ""))))</f>
        <v/>
      </c>
      <c r="BE8" s="22">
        <f t="array" ref="BE8">_xlfn.MAP('6 - TV Stands &amp; Enterta'!B8:B507, '6 - TV Stands &amp; Enterta'!BE8:BE507, '6 - TV Stands &amp; Enterta'!BF8:BF507, '6 - TV Stands &amp; Enterta'!BG8:BG507, '6 - TV Stands &amp; Enterta'!BH8:BH507, '6 - TV Stands &amp; Enterta'!BI8:BI507, _xlfn.LAMBDA(_xlpm.part, _xlpm.val, _xlpm.dep1, _xlpm.dep2, _xlpm.dep3, _xlpm.dep4, IF(_xlpm.part = "", "", _xlfn.LET(_xlpm.check1, IF(AND(_xlpm.val = "", BE$3="Required"), IF(OR('6 - TV Stands &amp; Enterta'!BE$7 = "", '6 - TV Stands &amp; Enterta'!BE$7 = "N/A"), "3:Document File Name or URL - Value is required", ""), ""), IF(LEN(_xlpm.check1) &gt; 0, _xlpm.check1, IF(OR(_xlpm.dep1 &lt;&gt; "", _xlpm.dep2 &lt;&gt; "", _xlpm.dep3 &lt;&gt; "", _xlpm.dep4 &lt;&gt; ""), IF(_xlpm.val = "", IF(OR('6 - TV Stands &amp; Enterta'!BE$7 = "", '6 - TV Stands &amp; Enterta'!BE$7 = "N/A"), "3:Document value is required", ""), ""), ""))))))</f>
        <v/>
      </c>
      <c r="BF8" s="22">
        <f t="array" ref="BF8">_xlfn.MAP('6 - TV Stands &amp; Enterta'!B8:B507, '6 - TV Stands &amp; Enterta'!BF8:BF507,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IF(OR('6 - TV Stands &amp; Enterta'!BF$7 = "", '6 - TV Stands &amp; Enterta'!BF$7 = "N/A"), "3:Document Type - Value is required", ""), ""))))))</f>
        <v/>
      </c>
      <c r="BG8" s="22">
        <f t="array" ref="BG8">_xlfn.MAP('6 - TV Stands &amp; Enterta'!B8:B507, '6 - TV Stands &amp; Enterta'!BG8:BG507,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IF(OR('6 - TV Stands &amp; Enterta'!BG$7 = "", '6 - TV Stands &amp; Enterta'!BG$7 = "N/A"), "3:Legal Document Type - Value is required", ""), ""))))))</f>
        <v/>
      </c>
      <c r="BH8" s="22">
        <f t="array" ref="BH8">_xlfn.MAP('6 - TV Stands &amp; Enterta'!B8:B507, '6 - TV Stands &amp; Enterta'!BH8:BH507, _xlfn.LAMBDA(_xlpm.part, _xlpm.val, IF(_xlpm.part = "", "", IF(AND(_xlpm.val = "", BH$3="Required"), IF(OR('6 - TV Stands &amp; Enterta'!BH$7 = "", '6 - TV Stands &amp; Enterta'!BH$7 = "N/A"), "3:Document Region - Value is required", ""), ""))))</f>
        <v/>
      </c>
      <c r="BI8" s="22">
        <f t="array" ref="BI8">_xlfn.MAP('6 - TV Stands &amp; Enterta'!B8:B507, '6 - TV Stands &amp; Enterta'!BI8:BI507, _xlfn.LAMBDA(_xlpm.part, _xlpm.val, IF(_xlpm.part = "", "", IF(AND(_xlpm.val = "", BI$3="Required"), IF(OR('6 - TV Stands &amp; Enterta'!BI$7 = "", '6 - TV Stands &amp; Enterta'!BI$7 = "N/A"), "3:Document Language - Value is required", ""), ""))))</f>
        <v/>
      </c>
      <c r="BJ8" s="22">
        <f t="array" ref="BJ8">_xlfn.MAP('6 - TV Stands &amp; Enterta'!B8:B507, '6 - TV Stands &amp; Enterta'!BJ8:BJ507, '6 - TV Stands &amp; Enterta'!BK8:BK507, '6 - TV Stands &amp; Enterta'!BL8:BL507, '6 - TV Stands &amp; Enterta'!BM8:BM507, '6 - TV Stands &amp; Enterta'!BN8:BN507, _xlfn.LAMBDA(_xlpm.part, _xlpm.val, _xlpm.dep1, _xlpm.dep2, _xlpm.dep3, _xlpm.dep4, IF(_xlpm.part = "", "", _xlfn.LET(_xlpm.check1, IF(AND(_xlpm.val = "", BJ$3="Required"), IF(OR('6 - TV Stands &amp; Enterta'!BJ$7 = "", '6 - TV Stands &amp; Enterta'!BJ$7 = "N/A"), "3:Document File Name or URL - Value is required", ""), ""), IF(LEN(_xlpm.check1) &gt; 0, _xlpm.check1, IF(OR(_xlpm.dep1 &lt;&gt; "", _xlpm.dep2 &lt;&gt; "", _xlpm.dep3 &lt;&gt; "", _xlpm.dep4 &lt;&gt; ""), IF(_xlpm.val = "", IF(OR('6 - TV Stands &amp; Enterta'!BJ$7 = "", '6 - TV Stands &amp; Enterta'!BJ$7 = "N/A"), "3:Document value is required", ""), ""), ""))))))</f>
        <v/>
      </c>
      <c r="BK8" s="22">
        <f t="array" ref="BK8">_xlfn.MAP('6 - TV Stands &amp; Enterta'!B8:B507, '6 - TV Stands &amp; Enterta'!BK8:BK507,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IF(OR('6 - TV Stands &amp; Enterta'!BK$7 = "", '6 - TV Stands &amp; Enterta'!BK$7 = "N/A"), "3:Document Type - Value is required", ""), ""))))))</f>
        <v/>
      </c>
      <c r="BL8" s="22">
        <f t="array" ref="BL8">_xlfn.MAP('6 - TV Stands &amp; Enterta'!B8:B507, '6 - TV Stands &amp; Enterta'!BL8:BL507,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IF(OR('6 - TV Stands &amp; Enterta'!BL$7 = "", '6 - TV Stands &amp; Enterta'!BL$7 = "N/A"), "3:Legal Document Type - Value is required", ""), ""))))))</f>
        <v/>
      </c>
      <c r="BM8" s="22">
        <f t="array" ref="BM8">_xlfn.MAP('6 - TV Stands &amp; Enterta'!B8:B507, '6 - TV Stands &amp; Enterta'!BM8:BM507, _xlfn.LAMBDA(_xlpm.part, _xlpm.val, IF(_xlpm.part = "", "", IF(AND(_xlpm.val = "", BM$3="Required"), IF(OR('6 - TV Stands &amp; Enterta'!BM$7 = "", '6 - TV Stands &amp; Enterta'!BM$7 = "N/A"), "3:Document Region - Value is required", ""), ""))))</f>
        <v/>
      </c>
      <c r="BN8" s="22">
        <f t="array" ref="BN8">_xlfn.MAP('6 - TV Stands &amp; Enterta'!B8:B507, '6 - TV Stands &amp; Enterta'!BN8:BN507, _xlfn.LAMBDA(_xlpm.part, _xlpm.val, IF(_xlpm.part = "", "", IF(AND(_xlpm.val = "", BN$3="Required"), IF(OR('6 - TV Stands &amp; Enterta'!BN$7 = "", '6 - TV Stands &amp; Enterta'!BN$7 = "N/A"), "3:Document Language - Value is required", ""), ""))))</f>
        <v/>
      </c>
      <c r="BO8" s="22">
        <f t="array" ref="BO8">_xlfn.MAP('6 - TV Stands &amp; Enterta'!B8:B507, '6 - TV Stands &amp; Enterta'!BO8:BO507, _xlfn.LAMBDA(_xlpm.part, _xlpm.val, IF(_xlpm.part = "", "", IF(AND(_xlpm.val = "", BO$3="Required"), IF(OR('6 - TV Stands &amp; Enterta'!BO$7 = "", '6 - TV Stands &amp; Enterta'!BO$7 = "N/A"), "3:Product Type - Value is required", ""), ""))))</f>
        <v/>
      </c>
      <c r="BP8" s="22">
        <f t="array" ref="BP8">_xlfn.MAP('6 - TV Stands &amp; Enterta'!B8:B507, '6 - TV Stands &amp; Enterta'!BP8:BP507, '6 - TV Stands &amp; Enterta'!BO8:BO507, _xlfn.LAMBDA(_xlpm.part, _xlpm.val, _xlpm.dep1, IF(_xlpm.part = "", "", _xlfn.LET(_xlpm.check1, IF(AND(_xlpm.val = "", AND(NOT(ISNUMBER(SEARCH("Entertainment Center", _xlpm.dep1))), _xlpm.dep1 &lt;&gt; "")), "2:Autofill", ""), IF(LEN(_xlpm.check1) &gt; 0, _xlpm.check1, IF(AND(_xlpm.val = "", BP$3="Required"), IF(OR('6 - TV Stands &amp; Enterta'!BP$7 = "", '6 - TV Stands &amp; Enterta'!BP$7 = "N/A"), "3:Pier / Bookcase Included - Value is required", ""), ""))))))</f>
        <v/>
      </c>
      <c r="BQ8" s="22">
        <f t="array" ref="BQ8">_xlfn.MAP('6 - TV Stands &amp; Enterta'!B8:B507, '6 - TV Stands &amp; Enterta'!BQ8:BQ507, _xlfn.LAMBDA(_xlpm.part, _xlpm.val, IF(_xlpm.part = "", "", IF(AND(_xlpm.val = "", BQ$3="Required"), IF(OR('6 - TV Stands &amp; Enterta'!BQ$7 = "", '6 - TV Stands &amp; Enterta'!BQ$7 = "N/A"), "3:Drawers Included - Value is required", ""), ""))))</f>
        <v/>
      </c>
      <c r="BR8" s="22">
        <f t="array" ref="BR8">_xlfn.MAP('6 - TV Stands &amp; Enterta'!B8:B507, '6 - TV Stands &amp; Enterta'!BR8:BR507, '6 - TV Stands &amp; Enterta'!BQ8:BQ507, _xlfn.LAMBDA(_xlpm.part, _xlpm.val, _xlpm.dep1, IF(_xlpm.part = "", "", _xlfn.LET(_xlpm.check1, IF(AND(_xlpm.val = "", _xlpm.dep1 = "No"), "2:Autofill", ""), IF(LEN(_xlpm.check1) &gt; 0, _xlpm.check1, IF(AND(_xlpm.val = "", BR$3="Required"), IF(OR('6 - TV Stands &amp; Enterta'!BR$7 = "", '6 - TV Stands &amp; Enterta'!BR$7 = "N/A"), "3:Number of Drawers - Value is required", ""), ""))))))</f>
        <v/>
      </c>
      <c r="BS8" s="22">
        <f t="array" ref="BS8">_xlfn.MAP('6 - TV Stands &amp; Enterta'!B8:B507, '6 - TV Stands &amp; Enterta'!BS8:BS507, _xlfn.LAMBDA(_xlpm.part, _xlpm.val, IF(_xlpm.part = "", "", IF(AND(_xlpm.val = "", BS$3="Required"), IF(OR('6 - TV Stands &amp; Enterta'!BS$7 = "", '6 - TV Stands &amp; Enterta'!BS$7 = "N/A"), "3:Cabinets Included - Value is required", ""), ""))))</f>
        <v/>
      </c>
      <c r="BT8" s="22">
        <f t="array" ref="BT8">_xlfn.MAP('6 - TV Stands &amp; Enterta'!B8:B507, '6 - TV Stands &amp; Enterta'!BT8:BT507, _xlfn.LAMBDA(_xlpm.part, _xlpm.val, IF(_xlpm.part = "", "", IF(AND(_xlpm.val = "", BT$3="Required"), IF(OR('6 - TV Stands &amp; Enterta'!BT$7 = "", '6 - TV Stands &amp; Enterta'!BT$7 = "N/A"), "3:Shelves Included - Value is required", ""), ""))))</f>
        <v/>
      </c>
      <c r="BU8" s="22">
        <f t="array" ref="BU8">_xlfn.MAP('6 - TV Stands &amp; Enterta'!B8:B507, '6 - TV Stands &amp; Enterta'!BU8:BU507,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BU$3="Required"), IF(OR('6 - TV Stands &amp; Enterta'!BU$7 = "", '6 - TV Stands &amp; Enterta'!BU$7 = "N/A"), "3:Exterior Shelves Included - Value is required", ""), ""))))))))</f>
        <v/>
      </c>
      <c r="BV8" s="22">
        <f t="array" ref="BV8">_xlfn.MAP('6 - TV Stands &amp; Enterta'!B8:B507, '6 - TV Stands &amp; Enterta'!BV8:BV507,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BV$3="Required"), IF(OR('6 - TV Stands &amp; Enterta'!BV$7 = "", '6 - TV Stands &amp; Enterta'!BV$7 = "N/A"), "3:Interior Shelves Included - Value is required", ""), ""))))))))</f>
        <v/>
      </c>
      <c r="BW8" s="22">
        <f t="array" ref="BW8">_xlfn.MAP('6 - TV Stands &amp; Enterta'!B8:B507, '6 - TV Stands &amp; Enterta'!BW8:BW507, '6 - TV Stands &amp; Enterta'!BO8:BO507, _xlfn.LAMBDA(_xlpm.part, _xlpm.val, _xlpm.dep1, IF(_xlpm.part = "", "", _xlfn.LET(_xlpm.check1, IF(AND(_xlpm.val = "", AND(NOT(ISNUMBER(SEARCH("Entertainment Center", _xlpm.dep1))), _xlpm.dep1 &lt;&gt; "")), "2:Autofill", ""), IF(LEN(_xlpm.check1) &gt; 0, _xlpm.check1, IF(AND(_xlpm.val = "", BW$3="Required"), IF(OR('6 - TV Stands &amp; Enterta'!BW$7 = "", '6 - TV Stands &amp; Enterta'!BW$7 = "N/A"), "3:Bridge Included - Value is required", ""), ""))))))</f>
        <v/>
      </c>
      <c r="BX8" s="22">
        <f t="array" ref="BX8">_xlfn.MAP('6 - TV Stands &amp; Enterta'!B8:B507, '6 - TV Stands &amp; Enterta'!BX8:BX507, _xlfn.LAMBDA(_xlpm.part, _xlpm.val, IF(_xlpm.part = "", "", IF(AND(_xlpm.val = "", BX$3="Required"), IF(OR('6 - TV Stands &amp; Enterta'!BX$7 = "", '6 - TV Stands &amp; Enterta'!BX$7 = "N/A"), "3:Furniture Design - Value is required", ""), ""))))</f>
        <v/>
      </c>
      <c r="BY8" s="22">
        <f t="array" ref="BY8">_xlfn.MAP('6 - TV Stands &amp; Enterta'!B8:B507, '6 - TV Stands &amp; Enterta'!BY8:BY507, _xlfn.LAMBDA(_xlpm.part, _xlpm.val, IF(_xlpm.part = "", "", IF(AND(_xlpm.val = "", BY$3="Required"), IF(OR('6 - TV Stands &amp; Enterta'!BY$7 = "", '6 - TV Stands &amp; Enterta'!BY$7 = "N/A"), "3:Material - Value is required", ""), ""))))</f>
        <v/>
      </c>
      <c r="BZ8" s="22">
        <f t="array" ref="BZ8">_xlfn.MAP('6 - TV Stands &amp; Enterta'!B8:B507, '6 - TV Stands &amp; Enterta'!BZ8:BZ507, _xlfn.LAMBDA(_xlpm.part, _xlpm.val, IF(_xlpm.part = "", "", IF(AND(_xlpm.val = "", BZ$3="Required"), IF(OR('6 - TV Stands &amp; Enterta'!BZ$7 = "", '6 - TV Stands &amp; Enterta'!BZ$7 = "N/A"), "3:Purposeful Distressing Type - Value is required", ""), ""))))</f>
        <v/>
      </c>
      <c r="CA8" s="22">
        <f t="array" ref="CA8">_xlfn.MAP('6 - TV Stands &amp; Enterta'!B8:B507, '6 - TV Stands &amp; Enterta'!CA8:CA507, '6 - TV Stands &amp; Enterta'!BY8:BY507, _xlfn.LAMBDA(_xlpm.part, _xlpm.val, _xlpm.dep1, IF(_xlpm.part = "", "", _xlfn.LET(_xlpm.check1, IF(AND(_xlpm.val = "", AND(NOT(OR(ISNUMBER(SEARCH("Metal", _xlpm.dep1)), ISNUMBER(SEARCH("Steel", _xlpm.dep1)))), _xlpm.dep1 &lt;&gt; "")), "2:Autofill", ""), IF(LEN(_xlpm.check1) &gt; 0, _xlpm.check1, IF(AND(_xlpm.val = "", CA$3="Required"), IF(OR('6 - TV Stands &amp; Enterta'!CA$7 = "", '6 - TV Stands &amp; Enterta'!CA$7 = "N/A"), "3:Natural Variation Type - Value is required", ""), ""))))))</f>
        <v/>
      </c>
      <c r="CB8" s="22">
        <f t="array" ref="CB8">_xlfn.MAP('6 - TV Stands &amp; Enterta'!B8:B507, '6 - TV Stands &amp; Enterta'!CB8:CB507, _xlfn.LAMBDA(_xlpm.part, _xlpm.val, IF(_xlpm.part = "", "", IF(AND(_xlpm.val = "", CB$3="Required"), IF(OR('6 - TV Stands &amp; Enterta'!CB$7 = "", '6 - TV Stands &amp; Enterta'!CB$7 = "N/A"), "3:Gloss Finish - Value is required", ""), ""))))</f>
        <v/>
      </c>
      <c r="CC8" s="22">
        <f t="array" ref="CC8">_xlfn.MAP('6 - TV Stands &amp; Enterta'!B8:B507, '6 - TV Stands &amp; Enterta'!CC8:CC507, _xlfn.LAMBDA(_xlpm.part, _xlpm.val, IF(_xlpm.part = "", "", IF(AND(_xlpm.val = "", CC$3="Required"), IF(OR('6 - TV Stands &amp; Enterta'!CC$7 = "", '6 - TV Stands &amp; Enterta'!CC$7 = "N/A"), "3:Mirrored - Value is required", ""), ""))))</f>
        <v/>
      </c>
      <c r="CD8" s="22">
        <f t="array" ref="CD8">_xlfn.MAP('6 - TV Stands &amp; Enterta'!B8:B507, '6 - TV Stands &amp; Enterta'!CD8:CD507, _xlfn.LAMBDA(_xlpm.part, _xlpm.val, IF(_xlpm.part = "", "", IF(AND(_xlpm.val = "", CD$3="Required"), IF(OR('6 - TV Stands &amp; Enterta'!CD$7 = "", '6 - TV Stands &amp; Enterta'!CD$7 = "N/A"), "3:Sound Bar Shelf Included - Value is required", ""), ""))))</f>
        <v/>
      </c>
      <c r="CE8" s="22">
        <f t="array" ref="CE8">_xlfn.MAP('6 - TV Stands &amp; Enterta'!B8:B507, '6 - TV Stands &amp; Enterta'!CE8:CE507,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CE$3="Required"), IF(OR('6 - TV Stands &amp; Enterta'!CE$7 = "", '6 - TV Stands &amp; Enterta'!CE$7 = "N/A"), "3:Adjustable Shelves - Value is required", ""), ""))))))))</f>
        <v/>
      </c>
      <c r="CF8" s="22">
        <f t="array" ref="CF8">_xlfn.MAP('6 - TV Stands &amp; Enterta'!B8:B507, '6 - TV Stands &amp; Enterta'!CF8:CF507, _xlfn.LAMBDA(_xlpm.part, _xlpm.val, IF(_xlpm.part = "", "", IF(AND(_xlpm.val = "", CF$3="Required"), IF(OR('6 - TV Stands &amp; Enterta'!CF$7 = "", '6 - TV Stands &amp; Enterta'!CF$7 = "N/A"), "3:Media Storage Included - Value is required", ""), ""))))</f>
        <v/>
      </c>
      <c r="CG8" s="22">
        <f t="array" ref="CG8">_xlfn.MAP('6 - TV Stands &amp; Enterta'!B8:B507, '6 - TV Stands &amp; Enterta'!CG8:CG507, _xlfn.LAMBDA(_xlpm.part, _xlpm.val, IF(_xlpm.part = "", "", IF(AND(_xlpm.val = "", CG$3="Required"), IF(OR('6 - TV Stands &amp; Enterta'!CG$7 = "", '6 - TV Stands &amp; Enterta'!CG$7 = "N/A"), "3:Cable Management - Value is required", ""), ""))))</f>
        <v/>
      </c>
      <c r="CH8" s="22">
        <f t="array" ref="CH8">_xlfn.MAP('6 - TV Stands &amp; Enterta'!B8:B507, '6 - TV Stands &amp; Enterta'!CH8:CH507, _xlfn.LAMBDA(_xlpm.part, _xlpm.val, IF(_xlpm.part = "", "", IF(AND(_xlpm.val = "", CH$3="Required"), IF(OR('6 - TV Stands &amp; Enterta'!CH$7 = "", '6 - TV Stands &amp; Enterta'!CH$7 = "N/A"), "3:Wheels / Casters Included - Value is required", ""), ""))))</f>
        <v/>
      </c>
      <c r="CI8" s="22">
        <f t="array" ref="CI8">_xlfn.MAP('6 - TV Stands &amp; Enterta'!B8:B507, '6 - TV Stands &amp; Enterta'!CI8:CI507, '6 - TV Stands &amp; Enterta'!BX8:BX507, _xlfn.LAMBDA(_xlpm.part, _xlpm.val, _xlpm.dep1, IF(_xlpm.part = "", "", _xlfn.LET(_xlpm.check1, IF(AND(_xlpm.val = "", OR(ISNUMBER(SEARCH("TV Stand Fireplace", _xlpm.dep1)), AND(NOT(ISNUMBER(SEARCH("TV Stand Fireplace", _xlpm.dep1))), _xlpm.dep1 &lt;&gt; ""))), "2:Autofill", ""), IF(LEN(_xlpm.check1) &gt; 0, _xlpm.check1, IF(AND(_xlpm.val = "", CI$3="Required"), IF(OR('6 - TV Stands &amp; Enterta'!CI$7 = "", '6 - TV Stands &amp; Enterta'!CI$7 = "N/A"), "3:Fireplace Included - Value is required", ""), ""))))))</f>
        <v/>
      </c>
      <c r="CJ8" s="22">
        <f t="array" ref="CJ8">_xlfn.MAP('6 - TV Stands &amp; Enterta'!B8:B507, '6 - TV Stands &amp; Enterta'!CJ8:CJ507, _xlfn.LAMBDA(_xlpm.part, _xlpm.val, IF(_xlpm.part = "", "", IF(AND(_xlpm.val = "", CJ$3="Required"), IF(OR('6 - TV Stands &amp; Enterta'!CJ$7 = "", '6 - TV Stands &amp; Enterta'!CJ$7 = "N/A"), "3:Plug-In - Value is required", ""), ""))))</f>
        <v/>
      </c>
      <c r="CK8" s="22">
        <f t="array" ref="CK8">_xlfn.MAP('6 - TV Stands &amp; Enterta'!B8:B507, '6 - TV Stands &amp; Enterta'!CK8:CK507, _xlfn.LAMBDA(_xlpm.part, _xlpm.val, IF(_xlpm.part = "", "", IF(AND(_xlpm.val = "", CK$3="Required"), IF(OR('6 - TV Stands &amp; Enterta'!CK$7 = "", '6 - TV Stands &amp; Enterta'!CK$7 = "N/A"), "3:Tipover Restraint Device Included - Value is required", ""), ""))))</f>
        <v/>
      </c>
      <c r="CL8" s="22">
        <f t="array" ref="CL8">_xlfn.MAP('6 - TV Stands &amp; Enterta'!B8:B507, '6 - TV Stands &amp; Enterta'!CL8:CL507, _xlfn.LAMBDA(_xlpm.part, _xlpm.val, IF(_xlpm.part = "", "", IF(AND(_xlpm.val = "", CL$3="Required"), IF(OR('6 - TV Stands &amp; Enterta'!CL$7 = "", '6 - TV Stands &amp; Enterta'!CL$7 = "N/A"), "3:Integrated TV Mount Included - Value is required", ""), ""))))</f>
        <v/>
      </c>
      <c r="CM8" s="22">
        <f t="array" ref="CM8">_xlfn.MAP('6 - TV Stands &amp; Enterta'!B8:B507, '6 - TV Stands &amp; Enterta'!CM8:CM507, _xlfn.LAMBDA(_xlpm.part, _xlpm.val, IF(_xlpm.part = "", "", IF(AND(_xlpm.val = "", CM$3="Required"), IF(OR('6 - TV Stands &amp; Enterta'!CM$7 = "", '6 - TV Stands &amp; Enterta'!CM$7 = "N/A"), "3:Adjustable Height - Value is required", ""), ""))))</f>
        <v/>
      </c>
      <c r="CN8" s="22">
        <f t="array" ref="CN8">_xlfn.MAP('6 - TV Stands &amp; Enterta'!B8:B507, '6 - TV Stands &amp; Enterta'!CN8:CN507, _xlfn.LAMBDA(_xlpm.part, _xlpm.val, IF(_xlpm.part = "", "",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CN$3="Required"), IF(OR('6 - TV Stands &amp; Enterta'!CN$7 = "", '6 - TV Stands &amp; Enterta'!CN$7 = "N/A"), "3:Supplier Intended and Approved Use - Value is required", ""), ""))))))</f>
        <v/>
      </c>
      <c r="CO8" s="22">
        <f t="array" ref="CO8">_xlfn.MAP('6 - TV Stands &amp; Enterta'!B8:B507, '6 - TV Stands &amp; Enterta'!CO8:CO507, _xlfn.LAMBDA(_xlpm.part, _xlpm.val, IF(_xlpm.part = "", "", IF(AND(_xlpm.val = "", CO$3="Required"), IF(OR('6 - TV Stands &amp; Enterta'!CO$7 = "", '6 - TV Stands &amp; Enterta'!CO$7 = "N/A"), "3:Country of Origin - Additional Details - Value is required", ""), ""))))</f>
        <v/>
      </c>
      <c r="CP8" s="22">
        <f t="array" ref="CP8">_xlfn.MAP('6 - TV Stands &amp; Enterta'!B8:B507, '6 - TV Stands &amp; Enterta'!CP8:CP507, '6 - TV Stands &amp; Enterta'!BY8:BY507, _xlfn.LAMBDA(_xlpm.part, _xlpm.val, _xlpm.dep1, IF(_xlpm.part = "", "", _xlfn.LET(_xlpm.check1, IF(AND(_xlpm.val = "", AND(NOT(ISNUMBER(SEARCH("Teak", _xlpm.dep1))), _xlpm.dep1 &lt;&gt; "")), "2:Autofill", ""), IF(LEN(_xlpm.check1) &gt; 0, _xlpm.check1, IF(AND(_xlpm.val = "", CP$3="Required"), IF(OR('6 - TV Stands &amp; Enterta'!CP$7 = "", '6 - TV Stands &amp; Enterta'!CP$7 = "N/A"), "3:Main Wood Joinery Method - Value is required", ""), ""))))))</f>
        <v/>
      </c>
      <c r="CQ8" s="22">
        <f t="array" ref="CQ8">_xlfn.MAP('6 - TV Stands &amp; Enterta'!B8:B507, '6 - TV Stands &amp; Enterta'!CQ8:CQ507, _xlfn.LAMBDA(_xlpm.part, _xlpm.val, IF(_xlpm.part = "", "", IF(AND(_xlpm.val = "", CQ$3="Required"), IF(OR('6 - TV Stands &amp; Enterta'!CQ$7 = "", '6 - TV Stands &amp; Enterta'!CQ$7 = "N/A"), "3:Kiln-Dried Wood - Value is required", ""), ""))))</f>
        <v/>
      </c>
      <c r="CR8" s="22">
        <f t="array" ref="CR8">_xlfn.MAP('6 - TV Stands &amp; Enterta'!B8:B507, '6 - TV Stands &amp; Enterta'!CR8:CR507, _xlfn.LAMBDA(_xlpm.part, _xlpm.val, IF(_xlpm.part = "", "",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CR$3="Required"), IF(OR('6 - TV Stands &amp; Enterta'!CR$7 = "", '6 - TV Stands &amp; Enterta'!CR$7 = "N/A"), "3:Wood Species - Value is required", ""), ""))))))</f>
        <v/>
      </c>
      <c r="CS8" s="22">
        <f t="array" ref="CS8">_xlfn.MAP('6 - TV Stands &amp; Enterta'!B8:B507, '6 - TV Stands &amp; Enterta'!CS8:CS507, _xlfn.LAMBDA(_xlpm.part, _xlpm.val, IF(_xlpm.part = "", "", IF(AND(_xlpm.val = "", CS$3="Required"), IF(OR('6 - TV Stands &amp; Enterta'!CS$7 = "", '6 - TV Stands &amp; Enterta'!CS$7 = "N/A"), "3:Battery or Batteries Included - Value is required", ""), ""))))</f>
        <v/>
      </c>
      <c r="CT8" s="22">
        <f t="array" ref="CT8">_xlfn.MAP('6 - TV Stands &amp; Enterta'!B8:B507, '6 - TV Stands &amp; Enterta'!CT8:CT507,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Enterta'!CT$7 = "", '6 - TV Stands &amp; Enterta'!CT$7 = "N/A"), "3:Since Battery or Batteries Included equals 'Yes', this field is required", ""), ""), ""), IF(LEN(_xlpm.check3) &gt; 0, _xlpm.check3, IF(AND(_xlpm.val = "", CT$3="Required"), IF(OR('6 - TV Stands &amp; Enterta'!CT$7 = "", '6 - TV Stands &amp; Enterta'!CT$7 = "N/A"), "3:Battery Composition - Value is required", ""), ""))))))))))</f>
        <v/>
      </c>
      <c r="CU8" s="22">
        <f t="array" ref="CU8">_xlfn.MAP('6 - TV Stands &amp; Enterta'!B8:B507, '6 - TV Stands &amp; Enterta'!CU8:CU507,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Enterta'!CU$7 = "", '6 - TV Stands &amp; Enterta'!CU$7 = "N/A"), "3:Since Battery or Batteries Included equals 'Yes', this field is required", ""), ""), ""), IF(LEN(_xlpm.check3) &gt; 0, _xlpm.check3, IF(AND(_xlpm.val = "", CU$3="Required"), IF(OR('6 - TV Stands &amp; Enterta'!CU$7 = "", '6 - TV Stands &amp; Enterta'!CU$7 = "N/A"), "3:Battery Type - Value is required", ""), ""))))))))))</f>
        <v/>
      </c>
      <c r="CV8" s="22">
        <f t="array" ref="CV8">_xlfn.MAP('6 - TV Stands &amp; Enterta'!B8:B507, '6 - TV Stands &amp; Enterta'!CV8:CV507,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Enterta'!CV$7 = "", '6 - TV Stands &amp; Enterta'!CV$7 = "N/A"), "3:Since Battery or Batteries Included equals 'Yes', this field is required", ""), ""), ""), IF(LEN(_xlpm.check3) &gt; 0, _xlpm.check3, IF(AND(_xlpm.val = "", CV$3="Required"), IF(OR('6 - TV Stands &amp; Enterta'!CV$7 = "", '6 - TV Stands &amp; Enterta'!CV$7 = "N/A"), "3:Number of Batteries - Value is required", ""), ""))))))))))</f>
        <v/>
      </c>
      <c r="CW8" s="22">
        <f t="array" ref="CW8">_xlfn.MAP('6 - TV Stands &amp; Enterta'!B8:B507, '6 - TV Stands &amp; Enterta'!CW8:CW507, '6 - TV Stands &amp; Enterta'!CS8:CS507, '6 - TV Stands &amp; Enterta'!CT8:CT507,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Enterta'!CW$7 = "", '6 - TV Stands &amp; Enterta'!CW$7 = "N/A"), "3:Since Battery or Batteries Included equals 'Yes', this field is required", ""), ""), ""), IF(LEN(_xlpm.check4) &gt; 0, _xlpm.check4, IF(AND(_xlpm.val = "", CW$3="Required"), IF(OR('6 - TV Stands &amp; Enterta'!CW$7 = "", '6 - TV Stands &amp; Enterta'!CW$7 = "N/A"), "3:Battery Shipment - Value is required", ""), ""))))))))))))</f>
        <v/>
      </c>
      <c r="CX8" s="22">
        <f t="array" ref="CX8">_xlfn.MAP('6 - TV Stands &amp; Enterta'!B8:B507, '6 - TV Stands &amp; Enterta'!CX8:CX507, '6 - TV Stands &amp; Enterta'!CS8:CS507, '6 - TV Stands &amp; Enterta'!CT8:CT507,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Enterta'!CX$7 = "", '6 - TV Stands &amp; Enterta'!CX$7 = "N/A"), "3:Since Battery or Batteries Included equals 'Yes', this field is required", ""), ""), ""), IF(LEN(_xlpm.check5) &gt; 0, _xlpm.check5, IF(AND(_xlpm.val = "", CX$3="Required"), IF(OR('6 - TV Stands &amp; Enterta'!CX$7 = "", '6 - TV Stands &amp; Enterta'!CX$7 = "N/A"), "3:Lithium Content - Value is required", ""), ""))))))))))))))</f>
        <v/>
      </c>
      <c r="CY8" s="22">
        <f t="array" ref="CY8">_xlfn.MAP('6 - TV Stands &amp; Enterta'!B8:B507, '6 - TV Stands &amp; Enterta'!CY8:CY507, '6 - TV Stands &amp; Enterta'!CS8:CS507, '6 - TV Stands &amp; Enterta'!CU8:CU507, '6 - TV Stands &amp; Enterta'!CT8:CT507, _xlfn.LAMBDA(_xlpm.part, _xlpm.val, _xlpm.dep1, _xlpm.dep2, _xlpm.dep3, IF(_xlpm.part = "", "",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Enterta'!CY$7 = "", '6 - TV Stands &amp; Enterta'!CY$7 = "N/A"), "3:Since Battery or Batteries Included equals 'Yes', this field is required", ""), ""), ""), IF(LEN(_xlpm.check7) &gt; 0, _xlpm.check7, IF(AND(_xlpm.val = "", CY$3="Required"), IF(OR('6 - TV Stands &amp; Enterta'!CY$7 = "", '6 - TV Stands &amp; Enterta'!CY$7 = "N/A"), "3:Watt Rating of Cells / Battery - Value is required", ""), ""))))))))))))))))))</f>
        <v/>
      </c>
      <c r="CZ8" s="22">
        <f t="array" ref="CZ8">_xlfn.MAP('6 - TV Stands &amp; Enterta'!B8:B507, '6 - TV Stands &amp; Enterta'!CZ8:CZ507, '6 - TV Stands &amp; Enterta'!CS8:CS507, '6 - TV Stands &amp; Enterta'!CT8:CT507,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Enterta'!CZ$7 = "", '6 - TV Stands &amp; Enterta'!CZ$7 = "N/A"), "3:Since Battery or Batteries Included equals 'Yes', this field is required", ""), ""), ""), IF(LEN(_xlpm.check4) &gt; 0, _xlpm.check4, IF(AND(_xlpm.val = "", CZ$3="Required"), IF(OR('6 - TV Stands &amp; Enterta'!CZ$7 = "", '6 - TV Stands &amp; Enterta'!CZ$7 = "N/A"), "3:Weight of Cells / Battery - Value is required", ""), ""))))))))))))</f>
        <v/>
      </c>
      <c r="DA8" s="22">
        <f t="array" ref="DA8">_xlfn.MAP('6 - TV Stands &amp; Enterta'!B8:B507, '6 - TV Stands &amp; Enterta'!DA8:DA507, '6 - TV Stands &amp; Enterta'!CI8:CI507, _xlfn.LAMBDA(_xlpm.part, _xlpm.val, _xlpm.dep1, IF(_xlpm.part = "", "", _xlfn.LET(_xlpm.check1, IF(AND(_xlpm.val = "", ISNUMBER(SEARCH("No", _xlpm.dep1))), "2:Autofill", ""), IF(LEN(_xlpm.check1) &gt; 0, _xlpm.check1, IF(AND(_xlpm.val = "", DA$3="Required"), IF(OR('6 - TV Stands &amp; Enterta'!DA$7 = "", '6 - TV Stands &amp; Enterta'!DA$7 = "N/A"), "3:Adjustable Temperature - Value is required", ""), ""))))))</f>
        <v/>
      </c>
      <c r="DB8" s="22">
        <f t="array" ref="DB8">_xlfn.MAP('6 - TV Stands &amp; Enterta'!B8:B507, '6 - TV Stands &amp; Enterta'!DB8:DB507, '6 - TV Stands &amp; Enterta'!CI8:CI507, _xlfn.LAMBDA(_xlpm.part, _xlpm.val, _xlpm.dep1, IF(_xlpm.part = "", "", _xlfn.LET(_xlpm.check1, IF(AND(_xlpm.val = "", ISNUMBER(SEARCH("No", _xlpm.dep1))), "2:Autofill", ""), IF(LEN(_xlpm.check1) &gt; 0, _xlpm.check1, IF(AND(_xlpm.val = "", DB$3="Required"), IF(OR('6 - TV Stands &amp; Enterta'!DB$7 = "", '6 - TV Stands &amp; Enterta'!DB$7 = "N/A"), "3:Adjustable Flame - Value is required", ""), ""))))))</f>
        <v/>
      </c>
      <c r="DC8" s="22">
        <f t="array" ref="DC8">_xlfn.MAP('6 - TV Stands &amp; Enterta'!B8:B507, '6 - TV Stands &amp; Enterta'!DC8:DC507, _xlfn.LAMBDA(_xlpm.part, _xlpm.val, IF(_xlpm.part = "", "", IF(AND(_xlpm.val = "", DC$3="Required"), IF(OR('6 - TV Stands &amp; Enterta'!DC$7 = "", '6 - TV Stands &amp; Enterta'!DC$7 = "N/A"), "3:Weight Capacity - Value is required", ""), ""))))</f>
        <v/>
      </c>
      <c r="DD8" s="22">
        <f t="array" ref="DD8">_xlfn.MAP('6 - TV Stands &amp; Enterta'!B8:B507, '6 - TV Stands &amp; Enterta'!DD8:DD507, _xlfn.LAMBDA(_xlpm.part, _xlpm.val, IF(_xlpm.part = "", "", IF(AND(_xlpm.val = "", DD$3="Required"), IF(OR('6 - TV Stands &amp; Enterta'!DD$7 = "", '6 - TV Stands &amp; Enterta'!DD$7 = "N/A"), "3:Product Care - Value is required", ""), ""))))</f>
        <v/>
      </c>
      <c r="DE8" s="22">
        <f t="array" ref="DE8">_xlfn.MAP('6 - TV Stands &amp; Enterta'!B8:B507, '6 - TV Stands &amp; Enterta'!DE8:DE507, _xlfn.LAMBDA(_xlpm.part, _xlpm.val, IF(_xlpm.part = "", "", IF(AND(_xlpm.val = "", DE$3="Required"), IF(OR('6 - TV Stands &amp; Enterta'!DE$7 = "", '6 - TV Stands &amp; Enterta'!DE$7 = "N/A"), "3:Unfinished - Value is required", ""), ""))))</f>
        <v/>
      </c>
      <c r="DF8" s="22">
        <f t="array" ref="DF8">_xlfn.MAP('6 - TV Stands &amp; Enterta'!B8:B507, '6 - TV Stands &amp; Enterta'!DF8:DF507, '6 - TV Stands &amp; Enterta'!BT8:BT507, _xlfn.LAMBDA(_xlpm.part, _xlpm.val, _xlpm.dep1, IF(_xlpm.part = "", "", _xlfn.LET(_xlpm.check1, IF(AND(_xlpm.val = "", _xlpm.dep1 = "No"), "2:Autofill", ""), IF(LEN(_xlpm.check1) &gt; 0, _xlpm.check1, _xlfn.LET(_xlpm.check2, IF(_xlpm.dep1 = "No", IF(_xlpm.val &lt;&gt; "Does Not Apply", "1:Based on Shelves Included, value should be Does Not Apply", ""), ""), IF(LEN(_xlpm.check2) &gt; 0, _xlpm.check2, IF(AND(_xlpm.val = "", DF$3="Required"), IF(OR('6 - TV Stands &amp; Enterta'!DF$7 = "", '6 - TV Stands &amp; Enterta'!DF$7 = "N/A"), "3:Shelf Material - Value is required", ""), ""))))))))</f>
        <v/>
      </c>
      <c r="DG8" s="22">
        <f t="array" ref="DG8">_xlfn.MAP('6 - TV Stands &amp; Enterta'!B8:B507, '6 - TV Stands &amp; Enterta'!DG8:DG507, _xlfn.LAMBDA(_xlpm.part, _xlpm.val, IF(_xlpm.part = "", "", IF(AND(_xlpm.val = "", DG$3="Required"), IF(OR('6 - TV Stands &amp; Enterta'!DG$7 = "", '6 - TV Stands &amp; Enterta'!DG$7 = "N/A"), "3:Color / Finish - Value is required", ""), ""))))</f>
        <v/>
      </c>
      <c r="DH8" s="22">
        <f t="array" ref="DH8">_xlfn.MAP('6 - TV Stands &amp; Enterta'!B8:B507, '6 - TV Stands &amp; Enterta'!DH8:DH507, '6 - TV Stands &amp; Enterta'!BQ8:BQ507, _xlfn.LAMBDA(_xlpm.part, _xlpm.val, _xlpm.dep1, IF(_xlpm.part = "", "", _xlfn.LET(_xlpm.check1, IF(AND(_xlpm.val = "", _xlpm.dep1 = "No"), "2:Autofill", ""), IF(LEN(_xlpm.check1) &gt; 0, _xlpm.check1, IF(AND(_xlpm.val = "", DH$3="Required"), IF(OR('6 - TV Stands &amp; Enterta'!DH$7 = "", '6 - TV Stands &amp; Enterta'!DH$7 = "N/A"), "3:Drawer Glide Type &amp; Extension - Value is required", ""), ""))))))</f>
        <v/>
      </c>
      <c r="DI8" s="22">
        <f t="array" ref="DI8">_xlfn.MAP('6 - TV Stands &amp; Enterta'!B8:B507, '6 - TV Stands &amp; Enterta'!DI8:DI507, _xlfn.LAMBDA(_xlpm.part, _xlpm.val, IF(_xlpm.part = "", "", IF(AND(_xlpm.val = "", DI$3="Required"), IF(OR('6 - TV Stands &amp; Enterta'!DI$7 = "", '6 - TV Stands &amp; Enterta'!DI$7 = "N/A"), "3:Vent Type - Value is required", ""), ""))))</f>
        <v/>
      </c>
      <c r="DJ8" s="22">
        <f t="array" ref="DJ8">_xlfn.MAP('6 - TV Stands &amp; Enterta'!B8:B507, '6 - TV Stands &amp; Enterta'!DJ8:DJ507, '6 - TV Stands &amp; Enterta'!CI8:CI507, _xlfn.LAMBDA(_xlpm.part, _xlpm.val, _xlpm.dep1, IF(_xlpm.part = "", "",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DJ$3="Required"), IF(OR('6 - TV Stands &amp; Enterta'!DJ$7 = "", '6 - TV Stands &amp; Enterta'!DJ$7 = "N/A"), "3:Fuel Type - Value is required", ""), ""))))))))))</f>
        <v/>
      </c>
      <c r="DK8" s="22">
        <f t="array" ref="DK8">_xlfn.MAP('6 - TV Stands &amp; Enterta'!B8:B507, '6 - TV Stands &amp; Enterta'!DK8:DK507, _xlfn.LAMBDA(_xlpm.part, _xlpm.val, IF(_xlpm.part = "", "", IF(AND(_xlpm.val = "", DK$3="Required"), IF(OR('6 - TV Stands &amp; Enterta'!DK$7 = "", '6 - TV Stands &amp; Enterta'!DK$7 = "N/A"), "3:Door Design - Value is required", ""), ""))))</f>
        <v/>
      </c>
      <c r="DL8" s="22">
        <f t="array" ref="DL8">_xlfn.MAP('6 - TV Stands &amp; Enterta'!B8:B507, '6 - TV Stands &amp; Enterta'!DL8:DL507, _xlfn.LAMBDA(_xlpm.part, _xlpm.val, IF(_xlpm.part = "", "", IF(AND(_xlpm.val = "", DL$3="Required"), IF(OR('6 - TV Stands &amp; Enterta'!DL$7 = "", '6 - TV Stands &amp; Enterta'!DL$7 = "N/A"), "3:Ribbed Detailing - Value is required", ""), ""))))</f>
        <v/>
      </c>
      <c r="DM8" s="22">
        <f t="array" ref="DM8">_xlfn.MAP('6 - TV Stands &amp; Enterta'!B8:B507, '6 - TV Stands &amp; Enterta'!DM8:DM507, _xlfn.LAMBDA(_xlpm.part, _xlpm.val, IF(_xlpm.part = "", "", IF(AND(_xlpm.val = "", DM$3="Required"), IF(OR('6 - TV Stands &amp; Enterta'!DM$7 = "", '6 - TV Stands &amp; Enterta'!DM$7 = "N/A"), "3:Fluted Detailing - Value is required", ""), ""))))</f>
        <v/>
      </c>
      <c r="DN8" s="22">
        <f t="array" ref="DN8">_xlfn.MAP('6 - TV Stands &amp; Enterta'!B8:B507, '6 - TV Stands &amp; Enterta'!DN8:DN507, _xlfn.LAMBDA(_xlpm.part, _xlpm.val, IF(_xlpm.part = "", "",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DN$3="Required"), IF(OR('6 - TV Stands &amp; Enterta'!DN$7 = "", '6 - TV Stands &amp; Enterta'!DN$7 = "N/A"), "3:Pieces Included - Value is required", ""), ""))))))</f>
        <v/>
      </c>
      <c r="DO8" s="22">
        <f t="array" ref="DO8">_xlfn.MAP('6 - TV Stands &amp; Enterta'!B8:B507, '6 - TV Stands &amp; Enterta'!DO8:DO507, '6 - TV Stands &amp; Enterta'!BS8:BS507, _xlfn.LAMBDA(_xlpm.part, _xlpm.val, _xlpm.dep1, IF(_xlpm.part = "", "", _xlfn.LET(_xlpm.check1, IF(AND(_xlpm.val = "", _xlpm.dep1 = "No"), "2:Autofill", ""), IF(LEN(_xlpm.check1) &gt; 0, _xlpm.check1, _xlfn.LET(_xlpm.check2, IF(_xlpm.dep1 = "No", IF(_xlpm.val &lt;&gt; "Does Not Apply", "1:Based on Cabinets Included, value should be Does Not Apply", ""), ""), IF(LEN(_xlpm.check2) &gt; 0, _xlpm.check2, IF(AND(_xlpm.val = "", DO$3="Required"), IF(OR('6 - TV Stands &amp; Enterta'!DO$7 = "", '6 - TV Stands &amp; Enterta'!DO$7 = "N/A"), "3:Number of Cabinets - Value is required", ""), ""))))))))</f>
        <v/>
      </c>
      <c r="DP8" s="22">
        <f t="array" ref="DP8">_xlfn.MAP('6 - TV Stands &amp; Enterta'!B8:B507, '6 - TV Stands &amp; Enterta'!DP8:DP507, _xlfn.LAMBDA(_xlpm.part, _xlpm.val, IF(_xlpm.part = "", "", IF(AND(_xlpm.val = "", DP$3="Required"), IF(OR('6 - TV Stands &amp; Enterta'!DP$7 = "", '6 - TV Stands &amp; Enterta'!DP$7 = "N/A"), "3:Drawer Safety Stop - Value is required", ""), ""))))</f>
        <v/>
      </c>
      <c r="DQ8" s="22">
        <f t="array" ref="DQ8">_xlfn.MAP('6 - TV Stands &amp; Enterta'!B8:B507, '6 - TV Stands &amp; Enterta'!DQ8:DQ507, _xlfn.LAMBDA(_xlpm.part, _xlpm.val, IF(_xlpm.part = "", "", IF(AND(_xlpm.val = "", DQ$3="Required"), IF(OR('6 - TV Stands &amp; Enterta'!DQ$7 = "", '6 - TV Stands &amp; Enterta'!DQ$7 = "N/A"), "3:Fireplace Type - Value is required", ""), ""))))</f>
        <v/>
      </c>
      <c r="DR8" s="22">
        <f t="array" ref="DR8">_xlfn.MAP('6 - TV Stands &amp; Enterta'!B8:B507, '6 - TV Stands &amp; Enterta'!DR8:DR507, _xlfn.LAMBDA(_xlpm.part, _xlpm.val, IF(_xlpm.part = "", "", IF(AND(_xlpm.val = "", DR$3="Required"), IF(OR('6 - TV Stands &amp; Enterta'!DR$7 = "", '6 - TV Stands &amp; Enterta'!DR$7 = "N/A"), "3:General Certificate of Conformity (GCC) - Value is required", ""), ""))))</f>
        <v/>
      </c>
      <c r="DS8" s="22">
        <f t="array" ref="DS8">_xlfn.MAP('6 - TV Stands &amp; Enterta'!B8:B507, '6 - TV Stands &amp; Enterta'!DS8:DS507, _xlfn.LAMBDA(_xlpm.part, _xlpm.val, IF(_xlpm.part = "", "", IF(AND(_xlpm.val = "", DS$3="Required"), IF(OR('6 - TV Stands &amp; Enterta'!DS$7 = "", '6 - TV Stands &amp; Enterta'!DS$7 = "N/A"), "3:Composite Wood Product (CWP) - Value is required", ""), ""))))</f>
        <v/>
      </c>
      <c r="DT8" s="22">
        <f t="array" ref="DT8">_xlfn.MAP('6 - TV Stands &amp; Enterta'!B8:B507, '6 - TV Stands &amp; Enterta'!DT8:DT507,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Enterta'!DT$7 = "", '6 - TV Stands &amp; Enterta'!DT$7 = "N/A"), "3:Since Composite Wood Product (CWP) equals 'Yes', this field is required", ""), ""), ""), IF(LEN(_xlpm.check4) &gt; 0, _xlpm.check4, IF(AND(_xlpm.val = "", DT$3="Required"), IF(OR('6 - TV Stands &amp; Enterta'!DT$7 = "", '6 - TV Stands &amp; Enterta'!DT$7 = "N/A"), "3:CARB Phase II Compliant (formaldehyde emissions) - Value is required", ""), ""))))))))))))</f>
        <v/>
      </c>
      <c r="DU8" s="22">
        <f t="array" ref="DU8">_xlfn.MAP('6 - TV Stands &amp; Enterta'!B8:B507, '6 - TV Stands &amp; Enterta'!DU8:DU507,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Enterta'!DU$7 = "", '6 - TV Stands &amp; Enterta'!DU$7 = "N/A"), "3:Since Composite Wood Product (CWP) equals 'Yes', this field is required", ""), ""), ""), IF(LEN(_xlpm.check4) &gt; 0, _xlpm.check4, IF(AND(_xlpm.val = "", DU$3="Required"), IF(OR('6 - TV Stands &amp; Enterta'!DU$7 = "", '6 - TV Stands &amp; Enterta'!DU$7 = "N/A"), "3:TSCA Title VI Compliant (formaldehyde emissions) - Value is required", ""), ""))))))))))))</f>
        <v/>
      </c>
      <c r="DV8" s="22">
        <f t="array" ref="DV8">_xlfn.MAP('6 - TV Stands &amp; Enterta'!B8:B507, '6 - TV Stands &amp; Enterta'!DV8:DV507,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Enterta'!DV$7 = "", '6 - TV Stands &amp; Enterta'!DV$7 = "N/A"), "3:Since Composite Wood Product (CWP) equals 'Yes', this field is required", ""), ""), ""), IF(LEN(_xlpm.check4) &gt; 0, _xlpm.check4, IF(AND(_xlpm.val = "", DV$3="Required"), IF(OR('6 - TV Stands &amp; Enterta'!DV$7 = "", '6 - TV Stands &amp; Enterta'!DV$7 = "N/A"), "3:CANFER Compliant - Value is required", ""), ""))))))))))))</f>
        <v/>
      </c>
      <c r="DW8" s="22">
        <f t="array" ref="DW8">_xlfn.MAP('6 - TV Stands &amp; Enterta'!B8:B507, '6 - TV Stands &amp; Enterta'!DW8:DW507, _xlfn.LAMBDA(_xlpm.part, _xlpm.val, IF(_xlpm.part = "", "", IF(AND(_xlpm.val = "", DW$3="Required"), IF(OR('6 - TV Stands &amp; Enterta'!DW$7 = "", '6 - TV Stands &amp; Enterta'!DW$7 = "N/A"), "3:Uniform Packaging and Labeling Regulations (UPLR) Compliant - Value is required", ""), ""))))</f>
        <v/>
      </c>
      <c r="DX8" s="22">
        <f t="array" ref="DX8">_xlfn.MAP('6 - TV Stands &amp; Enterta'!B8:B507, '6 - TV Stands &amp; Enterta'!DX8:DX507, _xlfn.LAMBDA(_xlpm.part, _xlpm.val, IF(_xlpm.part = "", "", IF(AND(_xlpm.val = "", DX$3="Required"), IF(OR('6 - TV Stands &amp; Enterta'!DX$7 = "", '6 - TV Stands &amp; Enterta'!DX$7 = "N/A"), "3:Canada Product Restriction - Value is required", ""), ""))))</f>
        <v/>
      </c>
      <c r="DY8" s="22">
        <f t="array" ref="DY8">_xlfn.MAP('6 - TV Stands &amp; Enterta'!B8:B507, '6 - TV Stands &amp; Enterta'!DY8:DY507, '6 - TV Stands &amp; Enterta'!DX8:DX507,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Enterta'!DY$7 = "", '6 - TV Stands &amp; Enterta'!DY$7 = "N/A"), "3:Since Canada Product Restriction equals 'Yes', this field is required", ""), ""), ""), IF(LEN(_xlpm.check4) &gt; 0, _xlpm.check4, IF(AND(_xlpm.val = "", DY$3="Required"), IF(OR('6 - TV Stands &amp; Enterta'!DY$7 = "", '6 - TV Stands &amp; Enterta'!DY$7 = "N/A"), "3:Reason for Restriction - Value is required", ""), ""))))))))))))</f>
        <v/>
      </c>
      <c r="DZ8" s="22">
        <f t="array" ref="DZ8">_xlfn.MAP('6 - TV Stands &amp; Enterta'!B8:B507, '6 - TV Stands &amp; Enterta'!DZ8:DZ507, _xlfn.LAMBDA(_xlpm.part, _xlpm.val, IF(_xlpm.part = "", "", IF(AND(_xlpm.val = "", DZ$3="Required"), IF(OR('6 - TV Stands &amp; Enterta'!DZ$7 = "", '6 - TV Stands &amp; Enterta'!DZ$7 = "N/A"), "3:UL 1678 Listed - Value is required", ""), ""))))</f>
        <v/>
      </c>
      <c r="EA8" s="22">
        <f t="array" ref="EA8">_xlfn.MAP('6 - TV Stands &amp; Enterta'!B8:B507, '6 - TV Stands &amp; Enterta'!EA8:EA507, '6 - TV Stands &amp; Enterta'!CT8:CT507,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EA$3="Required"), IF(OR('6 - TV Stands &amp; Enterta'!EA$7 = "", '6 - TV Stands &amp; Enterta'!EA$7 = "N/A"), "3:Hazardous Material / Dangerous Goods - Value is required", ""), ""))))))))))))</f>
        <v/>
      </c>
      <c r="EB8" s="22">
        <f t="array" ref="EB8">_xlfn.MAP('6 - TV Stands &amp; Enterta'!B8:B507, '6 - TV Stands &amp; Enterta'!EB8:EB507, '6 - TV Stands &amp; Enterta'!EA8:EA507,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Enterta'!EB$7 = "", '6 - TV Stands &amp; Enterta'!EB$7 = "N/A"), "3:Since Hazardous Material / Dangerous Goods equals 'Yes', this field is required", ""), ""), ""), IF(LEN(_xlpm.check4) &gt; 0, _xlpm.check4, IF(AND(_xlpm.val = "", EB$3="Required"), IF(OR('6 - TV Stands &amp; Enterta'!EB$7 = "", '6 - TV Stands &amp; Enterta'!EB$7 = "N/A"), "3:UN or ID number - Value is required", ""), ""))))))))))))</f>
        <v/>
      </c>
      <c r="EC8" s="22">
        <f t="array" ref="EC8">_xlfn.MAP('6 - TV Stands &amp; Enterta'!B8:B507, '6 - TV Stands &amp; Enterta'!EC8:EC507, '6 - TV Stands &amp; Enterta'!EA8:EA507, '6 - TV Stands &amp; Enterta'!EB8:EB507, _xlfn.LAMBDA(_xlpm.part, _xlpm.val, _xlpm.dep1, _xlpm.dep2, IF(_xlpm.part = "", "",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Enterta'!EC$7 = "", '6 - TV Stands &amp; Enterta'!EC$7 = "N/A"), "3:Since Hazardous Material / Dangerous Goods equals 'Yes', this field is required", ""), ""), ""), IF(LEN(_xlpm.check22) &gt; 0, _xlpm.check22, IF(AND(_xlpm.val = "", EC$3="Required"), IF(OR('6 - TV Stands &amp; Enterta'!EC$7 = "", '6 - TV Stands &amp; Enterta'!EC$7 = "N/A"), "3:Hazard Class(es) - Value is required", ""), ""))))))))))))))))))))))))))))))))))))))))))))))))</f>
        <v/>
      </c>
      <c r="ED8" s="22">
        <f t="array" ref="ED8">_xlfn.MAP('6 - TV Stands &amp; Enterta'!B8:B507, '6 - TV Stands &amp; Enterta'!ED8:ED507, '6 - TV Stands &amp; Enterta'!EA8:EA507, '6 - TV Stands &amp; Enterta'!EB8:EB507, _xlfn.LAMBDA(_xlpm.part, _xlpm.val, _xlpm.dep1, _xlpm.dep2, IF(_xlpm.part = "", "",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Enterta'!ED$7 = "", '6 - TV Stands &amp; Enterta'!ED$7 = "N/A"), "3:Since Hazardous Material / Dangerous Goods equals 'Yes', this field is required", ""), ""), ""), IF(LEN(_xlpm.check19) &gt; 0, _xlpm.check19, IF(AND(_xlpm.val = "", ED$3="Required"), IF(OR('6 - TV Stands &amp; Enterta'!ED$7 = "", '6 - TV Stands &amp; Enterta'!ED$7 = "N/A"), "3:Packing Group - Value is required", ""), ""))))))))))))))))))))))))))))))))))))))))))</f>
        <v/>
      </c>
      <c r="EE8" s="22">
        <f t="array" ref="EE8">_xlfn.MAP('6 - TV Stands &amp; Enterta'!B8:B507, '6 - TV Stands &amp; Enterta'!EE8:EE507, '6 - TV Stands &amp; Enterta'!EA8:EA507,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Enterta'!EE$7 = "", '6 - TV Stands &amp; Enterta'!EE$7 = "N/A"), "3:Since Hazardous Material / Dangerous Goods equals 'Yes', this field is required", ""), ""), ""), IF(LEN(_xlpm.check3) &gt; 0, _xlpm.check3, IF(AND(_xlpm.val = "", EE$3="Required"), IF(OR('6 - TV Stands &amp; Enterta'!EE$7 = "", '6 - TV Stands &amp; Enterta'!EE$7 = "N/A"), "3:Hazardous Material Weight - Value is required", ""), ""))))))))))</f>
        <v/>
      </c>
      <c r="EF8" s="22">
        <f t="array" ref="EF8">_xlfn.MAP('6 - TV Stands &amp; Enterta'!B8:B507, '6 - TV Stands &amp; Enterta'!EF8:EF507, _xlfn.LAMBDA(_xlpm.part, _xlpm.val, IF(_xlpm.part = "", "", IF(AND(_xlpm.val = "", EF$3="Required"), IF(OR('6 - TV Stands &amp; Enterta'!EF$7 = "", '6 - TV Stands &amp; Enterta'!EF$7 = "N/A"), "3:Energy Efficiency Regulations Compliant - Value is required", ""), ""))))</f>
        <v/>
      </c>
      <c r="EG8" s="22">
        <f t="array" ref="EG8">_xlfn.MAP('6 - TV Stands &amp; Enterta'!B8:B507, '6 - TV Stands &amp; Enterta'!EG8:EG507, '6 - TV Stands &amp; Enterta'!DJ8:DJ507, _xlfn.LAMBDA(_xlpm.part, _xlpm.val, _xlpm.dep1, IF(_xlpm.part = "", "",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EG$3="Required"), IF(OR('6 - TV Stands &amp; Enterta'!EG$7 = "", '6 - TV Stands &amp; Enterta'!EG$7 = "N/A"), "3:Safety Listing(s) - Value is required", ""), ""))))))</f>
        <v/>
      </c>
      <c r="EH8" s="22">
        <f t="array" ref="EH8">_xlfn.MAP('6 - TV Stands &amp; Enterta'!B8:B507, '6 - TV Stands &amp; Enterta'!EH8:EH507, _xlfn.LAMBDA(_xlpm.part, _xlpm.val, IF(_xlpm.part = "", "", IF(AND(_xlpm.val = "", EH$3="Required"), IF(OR('6 - TV Stands &amp; Enterta'!EH$7 = "", '6 - TV Stands &amp; Enterta'!EH$7 = "N/A"), "3:Safety Listing(s) Registration Number - Value is required", ""), ""))))</f>
        <v/>
      </c>
      <c r="EI8" s="22">
        <f t="array" ref="EI8">_xlfn.MAP('6 - TV Stands &amp; Enterta'!B8:B507, '6 - TV Stands &amp; Enterta'!EI8:EI507, _xlfn.LAMBDA(_xlpm.part, _xlpm.val, IF(_xlpm.part = "", "", IF(AND(_xlpm.val = "", EI$3="Required"), IF(OR('6 - TV Stands &amp; Enterta'!EI$7 = "", '6 - TV Stands &amp; Enterta'!EI$7 = "N/A"), "3:CPSC - 16 CFR 1263 Compliant (Reese's Law) - Value is required", ""), ""))))</f>
        <v/>
      </c>
      <c r="EJ8" s="22">
        <f t="array" ref="EJ8">_xlfn.MAP('6 - TV Stands &amp; Enterta'!B8:B507, '6 - TV Stands &amp; Enterta'!EJ8:EJ507, _xlfn.LAMBDA(_xlpm.part, _xlpm.val, IF(_xlpm.part = "", "", IF(AND(_xlpm.val = "", EJ$3="Required"), IF(OR('6 - TV Stands &amp; Enterta'!EJ$7 = "", '6 - TV Stands &amp; Enterta'!EJ$7 = "N/A"), "3:ISTA Certified - Value is required", ""), ""))))</f>
        <v/>
      </c>
      <c r="EK8" s="22">
        <f t="array" ref="EK8">_xlfn.MAP('6 - TV Stands &amp; Enterta'!B8:B507, '6 - TV Stands &amp; Enterta'!EK8:EK507, _xlfn.LAMBDA(_xlpm.part, _xlpm.val, IF(_xlpm.part = "", "", IF(AND(_xlpm.val = "", EK$3="Required"), IF(OR('6 - TV Stands &amp; Enterta'!EK$7 = "", '6 - TV Stands &amp; Enterta'!EK$7 = "N/A"), "3:Sustainability &amp; Social Responsibility Certifications (North America Only) - Value is required", ""), ""))))</f>
        <v/>
      </c>
      <c r="EL8" s="22">
        <f t="array" ref="EL8">_xlfn.MAP('6 - TV Stands &amp; Enterta'!B8:B507, '6 - TV Stands &amp; Enterta'!EL8:EL507, _xlfn.LAMBDA(_xlpm.part, _xlpm.val, IF(_xlpm.part = "", "", IF(AND(_xlpm.val = "", EL$3="Required"), IF(OR('6 - TV Stands &amp; Enterta'!EL$7 = "", '6 - TV Stands &amp; Enterta'!EL$7 = "N/A"), "3:Commercial Certifications - Value is required", ""), ""))))</f>
        <v/>
      </c>
      <c r="EM8" s="22">
        <f t="array" ref="EM8">_xlfn.MAP('6 - TV Stands &amp; Enterta'!B8:B507, '6 - TV Stands &amp; Enterta'!EM8:EM507, '6 - TV Stands &amp; Enterta'!BO8:BO507, _xlfn.LAMBDA(_xlpm.part, _xlpm.val, _xlpm.dep1, IF(_xlpm.part = "", "", _xlfn.LET(_xlpm.check1, IF(AND(_xlpm.val = "", AND(NOT(ISNUMBER(SEARCH("TV Stand", _xlpm.dep1))), _xlpm.dep1 &lt;&gt; "")), "2:Autofill", ""), IF(LEN(_xlpm.check1) &gt; 0, _xlpm.check1, IF(AND(_xlpm.val = "", EM$3="Required"), IF(OR('6 - TV Stands &amp; Enterta'!EM$7 = "", '6 - TV Stands &amp; Enterta'!EM$7 = "N/A"), "3:TV Stand Width - Side to Side - Value is required", ""), ""))))))</f>
        <v/>
      </c>
      <c r="EN8" s="22">
        <f t="array" ref="EN8">_xlfn.MAP('6 - TV Stands &amp; Enterta'!B8:B507, '6 - TV Stands &amp; Enterta'!EN8:EN507, '6 - TV Stands &amp; Enterta'!BO8:BO507, _xlfn.LAMBDA(_xlpm.part, _xlpm.val, _xlpm.dep1, IF(_xlpm.part = "", "", _xlfn.LET(_xlpm.check1, IF(AND(_xlpm.val = "", AND(NOT(ISNUMBER(SEARCH("TV Stand", _xlpm.dep1))), _xlpm.dep1 &lt;&gt; "")), "2:Autofill", ""), IF(LEN(_xlpm.check1) &gt; 0, _xlpm.check1, IF(AND(_xlpm.val = "", EN$3="Required"), IF(OR('6 - TV Stands &amp; Enterta'!EN$7 = "", '6 - TV Stands &amp; Enterta'!EN$7 = "N/A"), "3:TV Stand Depth - Front to Back - Value is required", ""), ""))))))</f>
        <v/>
      </c>
      <c r="EO8" s="22">
        <f t="array" ref="EO8">_xlfn.MAP('6 - TV Stands &amp; Enterta'!B8:B507, '6 - TV Stands &amp; Enterta'!EO8:EO507, '6 - TV Stands &amp; Enterta'!BO8:BO507, _xlfn.LAMBDA(_xlpm.part, _xlpm.val, _xlpm.dep1, IF(_xlpm.part = "", "", _xlfn.LET(_xlpm.check1, IF(AND(_xlpm.val = "", AND(NOT(ISNUMBER(SEARCH("Entertainment Center", _xlpm.dep1))), _xlpm.dep1 &lt;&gt; "")), "2:Autofill", ""), IF(LEN(_xlpm.check1) &gt; 0, _xlpm.check1, IF(AND(_xlpm.val = "", EO$3="Required"), IF(OR('6 - TV Stands &amp; Enterta'!EO$7 = "", '6 - TV Stands &amp; Enterta'!EO$7 = "N/A"), "3:Overall Entertainment Center Height - Top to Bottom - Value is required", ""), ""))))))</f>
        <v/>
      </c>
      <c r="EP8" s="22">
        <f t="array" ref="EP8">_xlfn.MAP('6 - TV Stands &amp; Enterta'!B8:B507, '6 - TV Stands &amp; Enterta'!EP8:EP507, '6 - TV Stands &amp; Enterta'!BO8:BO507, _xlfn.LAMBDA(_xlpm.part, _xlpm.val, _xlpm.dep1, IF(_xlpm.part = "", "", _xlfn.LET(_xlpm.check1, IF(AND(_xlpm.val = "", AND(NOT(ISNUMBER(SEARCH("Entertainment Center", _xlpm.dep1))), _xlpm.dep1 &lt;&gt; "")), "2:Autofill", ""), IF(LEN(_xlpm.check1) &gt; 0, _xlpm.check1, IF(AND(_xlpm.val = "", EP$3="Required"), IF(OR('6 - TV Stands &amp; Enterta'!EP$7 = "", '6 - TV Stands &amp; Enterta'!EP$7 = "N/A"), "3:Overall Entertainment Center Width - Side to Side - Value is required", ""), ""))))))</f>
        <v/>
      </c>
      <c r="EQ8" s="22">
        <f t="array" ref="EQ8">_xlfn.MAP('6 - TV Stands &amp; Enterta'!B8:B507, '6 - TV Stands &amp; Enterta'!EQ8:EQ507, '6 - TV Stands &amp; Enterta'!BO8:BO507, _xlfn.LAMBDA(_xlpm.part, _xlpm.val, _xlpm.dep1, IF(_xlpm.part = "", "", _xlfn.LET(_xlpm.check1, IF(AND(_xlpm.val = "", AND(NOT(ISNUMBER(SEARCH("Entertainment Center", _xlpm.dep1))), _xlpm.dep1 &lt;&gt; "")), "2:Autofill", ""), IF(LEN(_xlpm.check1) &gt; 0, _xlpm.check1, IF(AND(_xlpm.val = "", EQ$3="Required"), IF(OR('6 - TV Stands &amp; Enterta'!EQ$7 = "", '6 - TV Stands &amp; Enterta'!EQ$7 = "N/A"), "3:Overall Entertainment Center Depth - Front to Back - Value is required", ""), ""))))))</f>
        <v/>
      </c>
      <c r="ER8" s="22">
        <f t="array" ref="ER8">_xlfn.MAP('6 - TV Stands &amp; Enterta'!B8:B507, '6 - TV Stands &amp; Enterta'!ER8:ER507, _xlfn.LAMBDA(_xlpm.part, _xlpm.val, IF(_xlpm.part = "", "", IF(AND(_xlpm.val = "", ER$3="Required"), IF(OR('6 - TV Stands &amp; Enterta'!ER$7 = "", '6 - TV Stands &amp; Enterta'!ER$7 = "N/A"), "3:Overall Product Weight - Value is required", ""), ""))))</f>
        <v/>
      </c>
      <c r="ES8" s="22">
        <f t="array" ref="ES8">_xlfn.MAP('6 - TV Stands &amp; Enterta'!B8:B507, '6 - TV Stands &amp; Enterta'!ES8:ES507, _xlfn.LAMBDA(_xlpm.part, _xlpm.val, IF(_xlpm.part = "", "", IF(AND(_xlpm.val = "", ES$3="Required"), IF(OR('6 - TV Stands &amp; Enterta'!ES$7 = "", '6 - TV Stands &amp; Enterta'!ES$7 = "N/A"), "3:Maximum TV Screen Size Accommodated - Value is required", ""), ""))))</f>
        <v/>
      </c>
      <c r="ET8" s="22">
        <f t="array" ref="ET8">_xlfn.MAP('6 - TV Stands &amp; Enterta'!B8:B507, '6 - TV Stands &amp; Enterta'!ET8:ET507, '6 - TV Stands &amp; Enterta'!BO8:BO507, _xlfn.LAMBDA(_xlpm.part, _xlpm.val, _xlpm.dep1, IF(_xlpm.part = "", "", _xlfn.LET(_xlpm.check1, IF(AND(_xlpm.val = "", AND(NOT(ISNUMBER(SEARCH("TV Stand", _xlpm.dep1))), _xlpm.dep1 &lt;&gt; "")), "2:Autofill", ""), IF(LEN(_xlpm.check1) &gt; 0, _xlpm.check1, IF(AND(_xlpm.val = "", ET$3="Required"), IF(OR('6 - TV Stands &amp; Enterta'!ET$7 = "", '6 - TV Stands &amp; Enterta'!ET$7 = "N/A"), "3:TV Stand Overall Height - Top to Bottom - Value is required", ""), ""))))))</f>
        <v/>
      </c>
      <c r="EU8" s="22">
        <f t="array" ref="EU8">_xlfn.MAP('6 - TV Stands &amp; Enterta'!B8:B507, '6 - TV Stands &amp; Enterta'!EU8:EU507, _xlfn.LAMBDA(_xlpm.part, _xlpm.val, IF(_xlpm.part = "", "", IF(AND(_xlpm.val = "", EU$3="Required"), IF(OR('6 - TV Stands &amp; Enterta'!EU$7 = "", '6 - TV Stands &amp; Enterta'!EU$7 = "N/A"), "3:Assembly Required - Value is required", ""), ""))))</f>
        <v/>
      </c>
      <c r="EV8" s="22">
        <f t="array" ref="EV8">_xlfn.MAP('6 - TV Stands &amp; Enterta'!B8:B507, '6 - TV Stands &amp; Enterta'!EV8:EV507, '6 - TV Stands &amp; Enterta'!EU8:EU507,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EV$3="Required"), IF(OR('6 - TV Stands &amp; Enterta'!EV$7 = "", '6 - TV Stands &amp; Enterta'!EV$7 = "N/A"), "3:Level of Assembly - Value is required", ""), ""))))))))</f>
        <v/>
      </c>
      <c r="EW8" s="22">
        <f t="array" ref="EW8">_xlfn.MAP('6 - TV Stands &amp; Enterta'!B8:B507, '6 - TV Stands &amp; Enterta'!EW8:EW507, _xlfn.LAMBDA(_xlpm.part, _xlpm.val, IF(_xlpm.part = "", "",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EW$3="Required"), IF(OR('6 - TV Stands &amp; Enterta'!EW$7 = "", '6 - TV Stands &amp; Enterta'!EW$7 = "N/A"), "3:Additional Tools Required (Not Included) - Value is required", ""), ""))))))</f>
        <v/>
      </c>
      <c r="EX8" s="22">
        <f t="array" ref="EX8">_xlfn.MAP('6 - TV Stands &amp; Enterta'!B8:B507, '6 - TV Stands &amp; Enterta'!EX8:EX507, _xlfn.LAMBDA(_xlpm.part, _xlpm.val, IF(_xlpm.part = "", "", IF(AND(_xlpm.val = "", EX$3="Required"), IF(OR('6 - TV Stands &amp; Enterta'!EX$7 = "", '6 - TV Stands &amp; Enterta'!EX$7 = "N/A"), "3:Commercial Warranty - Value is required", ""), ""))))</f>
        <v/>
      </c>
      <c r="EY8" s="22">
        <f t="array" ref="EY8">_xlfn.MAP('6 - TV Stands &amp; Enterta'!B8:B507, '6 - TV Stands &amp; Enterta'!EY8:EY507, '6 - TV Stands &amp; Enterta'!EX8:EX507,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Enterta'!EY$7 = "", '6 - TV Stands &amp; Enterta'!EY$7 = "N/A"), "3:Since Commercial Warranty equals 'Yes', this field is required", ""), ""), ""), IF(LEN(_xlpm.check3) &gt; 0, _xlpm.check3, IF(AND(_xlpm.val = "", EY$3="Required"), IF(OR('6 - TV Stands &amp; Enterta'!EY$7 = "", '6 - TV Stands &amp; Enterta'!EY$7 = "N/A"), "3:Commercial Warranty Length - Value is required", ""), ""))))))))))</f>
        <v/>
      </c>
      <c r="EZ8" s="22">
        <f t="array" ref="EZ8">_xlfn.MAP('6 - TV Stands &amp; Enterta'!B8:B507, '6 - TV Stands &amp; Enterta'!EZ8:EZ507, _xlfn.LAMBDA(_xlpm.part, _xlpm.val, IF(_xlpm.part = "", "", IF(AND(_xlpm.val = "", EZ$3="Required"), IF(OR('6 - TV Stands &amp; Enterta'!EZ$7 = "", '6 - TV Stands &amp; Enterta'!EZ$7 = "N/A"), "3:Product Warranty - Value is required", ""), ""))))</f>
        <v/>
      </c>
      <c r="FA8" s="22">
        <f t="array" ref="FA8">_xlfn.MAP('6 - TV Stands &amp; Enterta'!B8:B507, '6 - TV Stands &amp; Enterta'!FA8:FA507, _xlfn.LAMBDA(_xlpm.part, _xlpm.val, IF(_xlpm.part = "", "", IF(AND(_xlpm.val = "", FA$3="Required"), IF(OR('6 - TV Stands &amp; Enterta'!FA$7 = "", '6 - TV Stands &amp; Enterta'!FA$7 = "N/A"), "3:Full or Limited Warranty - Value is required", ""), ""))))</f>
        <v/>
      </c>
      <c r="FB8" s="22">
        <f t="array" ref="FB8">_xlfn.MAP('6 - TV Stands &amp; Enterta'!B8:B507, '6 - TV Stands &amp; Enterta'!FB8:FB507, _xlfn.LAMBDA(_xlpm.part, _xlpm.val, IF(_xlpm.part = "", "", IF(AND(_xlpm.val = "", FB$3="Required"), IF(OR('6 - TV Stands &amp; Enterta'!FB$7 = "", '6 - TV Stands &amp; Enterta'!FB$7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9">
    <mergeCell ref="AL2:AO2"/>
    <mergeCell ref="AP2:AS2"/>
    <mergeCell ref="U2:Z2"/>
    <mergeCell ref="R2:T2"/>
    <mergeCell ref="B2:I2"/>
    <mergeCell ref="AA2:AK2"/>
    <mergeCell ref="AT2:BN2"/>
    <mergeCell ref="BO2:FB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B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f t="array" ref="A8">_xlfn.BYROW(B8:FC507, _xlfn.LAMBDA(_xlpm.r, _xlfn.LET(_xlpm.high_priority_idx, IFERROR(MATCH(TRUE, (_xlpm.r = "Error") + (_xlpm.r = "Required") &gt; 0, 0), 0), IF(_xlpm.high_priority_idx &gt; 0, _xlpm.high_priority_idx + 1, IFERROR(MATCH(1, (_xlpm.r = "Warning") * 1, 0) + 1, "")))))</f>
        <v/>
      </c>
      <c r="B8" s="22">
        <f t="array" ref="B8">_xlfn.MAP('6 - TV Stands &amp; Enterta'!B8:B507, '6 - TV Stands &amp; Enterta'!B8:B507, '6 - TV Stands &amp; Enterta-WUO_ERR'!B8:B507, _xlfn.LAMBDA(_xlpm.part, _xlpm.val, _xlpm.error, IF(_xlpm.part = "", "", IF(LEN(_xlpm.error), _xlfn.SWITCH(IFERROR(_xlfn.TEXTBEFORE(_xlpm.error,":"), ""), "1", "Error", "2", "Disabled", "3", "Required", "4", "Warning", "Valid"), "Valid"))))</f>
        <v/>
      </c>
      <c r="C8" s="22">
        <f t="array" ref="C8">_xlfn.MAP('6 - TV Stands &amp; Enterta'!B8:B507, '6 - TV Stands &amp; Enterta'!C8:C507, '6 - TV Stands &amp; Enterta-WUO_ERR'!C8:C507, _xlfn.LAMBDA(_xlpm.part, _xlpm.val, _xlpm.error, IF(_xlpm.part = "", "", IF(LEN(_xlpm.error), _xlfn.SWITCH(IFERROR(_xlfn.TEXTBEFORE(_xlpm.error,":"), ""), "1", "Error", "2", "Disabled", "3", "Required", "4", "Warning", "Valid"), "Valid"))))</f>
        <v/>
      </c>
      <c r="D8" s="22">
        <f t="array" ref="D8">_xlfn.MAP('6 - TV Stands &amp; Enterta'!B8:B507, '6 - TV Stands &amp; Enterta'!D8:D507, '6 - TV Stands &amp; Enterta-WUO_ERR'!D8:D507, _xlfn.LAMBDA(_xlpm.part, _xlpm.val, _xlpm.error, IF(_xlpm.part = "", "", IF(LEN(_xlpm.error), _xlfn.SWITCH(IFERROR(_xlfn.TEXTBEFORE(_xlpm.error,":"), ""), "1", "Error", "2", "Disabled", "3", "Required", "4", "Warning", "Valid"), "Valid"))))</f>
        <v/>
      </c>
      <c r="E8" s="22">
        <f t="array" ref="E8">_xlfn.MAP('6 - TV Stands &amp; Enterta'!B8:B507, '6 - TV Stands &amp; Enterta'!E8:E507, '6 - TV Stands &amp; Enterta-WUO_ERR'!E8:E507, _xlfn.LAMBDA(_xlpm.part, _xlpm.val, _xlpm.error, IF(_xlpm.part = "", "", IF(LEN(_xlpm.error), _xlfn.SWITCH(IFERROR(_xlfn.TEXTBEFORE(_xlpm.error,":"), ""), "1", "Error", "2", "Disabled", "3", "Required", "4", "Warning", "Valid"), "Valid"))))</f>
        <v/>
      </c>
      <c r="F8" s="22">
        <f t="array" ref="F8">_xlfn.MAP('6 - TV Stands &amp; Enterta'!B8:B507, '6 - TV Stands &amp; Enterta'!F8:F507, '6 - TV Stands &amp; Enterta-WUO_ERR'!F8:F507, _xlfn.LAMBDA(_xlpm.part, _xlpm.val, _xlpm.error, IF(_xlpm.part = "", "", IF(LEN(_xlpm.error), _xlfn.SWITCH(IFERROR(_xlfn.TEXTBEFORE(_xlpm.error,":"), ""), "1", "Error", "2", "Disabled", "3", "Required", "4", "Warning", "Valid"), "Valid"))))</f>
        <v/>
      </c>
      <c r="G8" s="22">
        <f t="array" ref="G8">_xlfn.MAP('6 - TV Stands &amp; Enterta'!B8:B507, '6 - TV Stands &amp; Enterta'!G8:G507, '6 - TV Stands &amp; Enterta-WUO_ERR'!G8:G507, _xlfn.LAMBDA(_xlpm.part, _xlpm.val, _xlpm.error, IF(_xlpm.part = "", "", IF(LEN(_xlpm.error), _xlfn.SWITCH(IFERROR(_xlfn.TEXTBEFORE(_xlpm.error,":"), ""), "1", "Error", "2", "Disabled", "3", "Required", "4", "Warning", "Valid"), "Valid"))))</f>
        <v/>
      </c>
      <c r="H8" s="22">
        <f t="array" ref="H8">_xlfn.MAP('6 - TV Stands &amp; Enterta'!B8:B507, '6 - TV Stands &amp; Enterta'!H8:H507, '6 - TV Stands &amp; Enterta-WUO_ERR'!H8:H507, _xlfn.LAMBDA(_xlpm.part, _xlpm.val, _xlpm.error, IF(_xlpm.part = "", "", IF(LEN(_xlpm.error), _xlfn.SWITCH(IFERROR(_xlfn.TEXTBEFORE(_xlpm.error,":"), ""), "1", "Error", "2", "Disabled", "3", "Required", "4", "Warning", "Valid"), "Valid"))))</f>
        <v/>
      </c>
      <c r="I8" s="22">
        <f t="array" ref="I8">_xlfn.MAP('6 - TV Stands &amp; Enterta'!B8:B507, '6 - TV Stands &amp; Enterta'!I8:I507, '6 - TV Stands &amp; Enterta-WUO_ERR'!I8:I507, _xlfn.LAMBDA(_xlpm.part, _xlpm.val, _xlpm.error, IF(_xlpm.part = "", "", IF(LEN(_xlpm.error), _xlfn.SWITCH(IFERROR(_xlfn.TEXTBEFORE(_xlpm.error,":"), ""), "1", "Error", "2", "Disabled", "3", "Required", "4", "Warning", "Valid"), "Valid"))))</f>
        <v/>
      </c>
      <c r="J8" s="22">
        <f t="array" ref="J8">_xlfn.MAP('6 - TV Stands &amp; Enterta'!B8:B507, '6 - TV Stands &amp; Enterta'!J8:J507, '6 - TV Stands &amp; Enterta-WUO_ERR'!J8:J507, _xlfn.LAMBDA(_xlpm.part, _xlpm.val, _xlpm.error, IF(_xlpm.part = "", "", IF(LEN(_xlpm.error), _xlfn.SWITCH(IFERROR(_xlfn.TEXTBEFORE(_xlpm.error,":"), ""), "1", "Error", "2", "Disabled", "3", "Required", "4", "Warning", "Valid"), "Valid"))))</f>
        <v/>
      </c>
      <c r="K8" s="22">
        <f t="array" ref="K8">_xlfn.MAP('6 - TV Stands &amp; Enterta'!B8:B507, '6 - TV Stands &amp; Enterta'!K8:K507, '6 - TV Stands &amp; Enterta-WUO_ERR'!K8:K507, _xlfn.LAMBDA(_xlpm.part, _xlpm.val, _xlpm.error, IF(_xlpm.part = "", "", IF(LEN(_xlpm.error), _xlfn.SWITCH(IFERROR(_xlfn.TEXTBEFORE(_xlpm.error,":"), ""), "1", "Error", "2", "Disabled", "3", "Required", "4", "Warning", "Valid"), "Valid"))))</f>
        <v/>
      </c>
      <c r="L8" s="22">
        <f t="array" ref="L8">_xlfn.MAP('6 - TV Stands &amp; Enterta'!B8:B507, '6 - TV Stands &amp; Enterta'!L8:L507, '6 - TV Stands &amp; Enterta-WUO_ERR'!L8:L507, _xlfn.LAMBDA(_xlpm.part, _xlpm.val, _xlpm.error, IF(_xlpm.part = "", "", IF(LEN(_xlpm.error), _xlfn.SWITCH(IFERROR(_xlfn.TEXTBEFORE(_xlpm.error,":"), ""), "1", "Error", "2", "Disabled", "3", "Required", "4", "Warning", "Valid"), "Valid"))))</f>
        <v/>
      </c>
      <c r="M8" s="22">
        <f t="array" ref="M8">_xlfn.MAP('6 - TV Stands &amp; Enterta'!B8:B507, '6 - TV Stands &amp; Enterta'!M8:M507, '6 - TV Stands &amp; Enterta-WUO_ERR'!M8:M507, _xlfn.LAMBDA(_xlpm.part, _xlpm.val, _xlpm.error, IF(_xlpm.part = "", "", IF(LEN(_xlpm.error), _xlfn.SWITCH(IFERROR(_xlfn.TEXTBEFORE(_xlpm.error,":"), ""), "1", "Error", "2", "Disabled", "3", "Required", "4", "Warning", "Valid"), "Valid"))))</f>
        <v/>
      </c>
      <c r="N8" s="22">
        <f t="array" ref="N8">_xlfn.MAP('6 - TV Stands &amp; Enterta'!B8:B507, '6 - TV Stands &amp; Enterta'!N8:N507, '6 - TV Stands &amp; Enterta-WUO_ERR'!N8:N507, _xlfn.LAMBDA(_xlpm.part, _xlpm.val, _xlpm.error, IF(_xlpm.part = "", "", IF(LEN(_xlpm.error), _xlfn.SWITCH(IFERROR(_xlfn.TEXTBEFORE(_xlpm.error,":"), ""), "1", "Error", "2", "Disabled", "3", "Required", "4", "Warning", "Valid"), "Valid"))))</f>
        <v/>
      </c>
      <c r="O8" s="22">
        <f t="array" ref="O8">_xlfn.MAP('6 - TV Stands &amp; Enterta'!B8:B507, '6 - TV Stands &amp; Enterta'!O8:O507, '6 - TV Stands &amp; Enterta-WUO_ERR'!O8:O507, _xlfn.LAMBDA(_xlpm.part, _xlpm.val, _xlpm.error, IF(_xlpm.part = "", "", IF(LEN(_xlpm.error), _xlfn.SWITCH(IFERROR(_xlfn.TEXTBEFORE(_xlpm.error,":"), ""), "1", "Error", "2", "Disabled", "3", "Required", "4", "Warning", "Valid"), "Valid"))))</f>
        <v/>
      </c>
      <c r="P8" s="22">
        <f t="array" ref="P8">_xlfn.MAP('6 - TV Stands &amp; Enterta'!B8:B507, '6 - TV Stands &amp; Enterta'!P8:P507, '6 - TV Stands &amp; Enterta-WUO_ERR'!P8:P507, _xlfn.LAMBDA(_xlpm.part, _xlpm.val, _xlpm.error, IF(_xlpm.part = "", "", IF(LEN(_xlpm.error), _xlfn.SWITCH(IFERROR(_xlfn.TEXTBEFORE(_xlpm.error,":"), ""), "1", "Error", "2", "Disabled", "3", "Required", "4", "Warning", "Valid"), "Valid"))))</f>
        <v/>
      </c>
      <c r="Q8" s="22">
        <f t="array" ref="Q8">_xlfn.MAP('6 - TV Stands &amp; Enterta'!B8:B507, '6 - TV Stands &amp; Enterta'!Q8:Q507, '6 - TV Stands &amp; Enterta-WUO_ERR'!Q8:Q507, _xlfn.LAMBDA(_xlpm.part, _xlpm.val, _xlpm.error, IF(_xlpm.part = "", "", IF(LEN(_xlpm.error), _xlfn.SWITCH(IFERROR(_xlfn.TEXTBEFORE(_xlpm.error,":"), ""), "1", "Error", "2", "Disabled", "3", "Required", "4", "Warning", "Valid"), "Valid"))))</f>
        <v/>
      </c>
      <c r="R8" s="22">
        <f t="array" ref="R8">_xlfn.MAP('6 - TV Stands &amp; Enterta'!B8:B507, '6 - TV Stands &amp; Enterta'!R8:R507, '6 - TV Stands &amp; Enterta-WUO_ERR'!R8:R507, _xlfn.LAMBDA(_xlpm.part, _xlpm.val, _xlpm.error, IF(_xlpm.part = "", "", IF(LEN(_xlpm.error), _xlfn.SWITCH(IFERROR(_xlfn.TEXTBEFORE(_xlpm.error,":"), ""), "1", "Error", "2", "Disabled", "3", "Required", "4", "Warning", "Valid"), "Valid"))))</f>
        <v/>
      </c>
      <c r="S8" s="22">
        <f t="array" ref="S8">_xlfn.MAP('6 - TV Stands &amp; Enterta'!B8:B507, '6 - TV Stands &amp; Enterta'!S8:S507, '6 - TV Stands &amp; Enterta-WUO_ERR'!S8:S507, _xlfn.LAMBDA(_xlpm.part, _xlpm.val, _xlpm.error, IF(_xlpm.part = "", "", IF(LEN(_xlpm.error), _xlfn.SWITCH(IFERROR(_xlfn.TEXTBEFORE(_xlpm.error,":"), ""), "1", "Error", "2", "Disabled", "3", "Required", "4", "Warning", "Valid"), "Valid"))))</f>
        <v/>
      </c>
      <c r="T8" s="22">
        <f t="array" ref="T8">_xlfn.MAP('6 - TV Stands &amp; Enterta'!B8:B507, '6 - TV Stands &amp; Enterta'!T8:T507, '6 - TV Stands &amp; Enterta-WUO_ERR'!T8:T507, _xlfn.LAMBDA(_xlpm.part, _xlpm.val, _xlpm.error, IF(_xlpm.part = "", "", IF(LEN(_xlpm.error), _xlfn.SWITCH(IFERROR(_xlfn.TEXTBEFORE(_xlpm.error,":"), ""), "1", "Error", "2", "Disabled", "3", "Required", "4", "Warning", "Valid"), "Valid"))))</f>
        <v/>
      </c>
      <c r="U8" s="22">
        <f t="array" ref="U8">_xlfn.MAP('6 - TV Stands &amp; Enterta'!B8:B507, '6 - TV Stands &amp; Enterta'!U8:U507, '6 - TV Stands &amp; Enterta-WUO_ERR'!U8:U507, _xlfn.LAMBDA(_xlpm.part, _xlpm.val, _xlpm.error, IF(_xlpm.part = "", "", IF(LEN(_xlpm.error), _xlfn.SWITCH(IFERROR(_xlfn.TEXTBEFORE(_xlpm.error,":"), ""), "1", "Error", "2", "Disabled", "3", "Required", "4", "Warning", "Valid"), "Valid"))))</f>
        <v/>
      </c>
      <c r="V8" s="22">
        <f t="array" ref="V8">_xlfn.MAP('6 - TV Stands &amp; Enterta'!B8:B507, '6 - TV Stands &amp; Enterta'!V8:V507, '6 - TV Stands &amp; Enterta-WUO_ERR'!V8:V507, _xlfn.LAMBDA(_xlpm.part, _xlpm.val, _xlpm.error, IF(_xlpm.part = "", "", IF(LEN(_xlpm.error), _xlfn.SWITCH(IFERROR(_xlfn.TEXTBEFORE(_xlpm.error,":"), ""), "1", "Error", "2", "Disabled", "3", "Required", "4", "Warning", "Valid"), "Valid"))))</f>
        <v/>
      </c>
      <c r="W8" s="22">
        <f t="array" ref="W8">_xlfn.MAP('6 - TV Stands &amp; Enterta'!B8:B507, '6 - TV Stands &amp; Enterta'!W8:W507, '6 - TV Stands &amp; Enterta-WUO_ERR'!W8:W507, _xlfn.LAMBDA(_xlpm.part, _xlpm.val, _xlpm.error, IF(_xlpm.part = "", "", IF(LEN(_xlpm.error), _xlfn.SWITCH(IFERROR(_xlfn.TEXTBEFORE(_xlpm.error,":"), ""), "1", "Error", "2", "Disabled", "3", "Required", "4", "Warning", "Valid"), "Valid"))))</f>
        <v/>
      </c>
      <c r="X8" s="22">
        <f t="array" ref="X8">_xlfn.MAP('6 - TV Stands &amp; Enterta'!B8:B507, '6 - TV Stands &amp; Enterta'!X8:X507, '6 - TV Stands &amp; Enterta-WUO_ERR'!X8:X507, _xlfn.LAMBDA(_xlpm.part, _xlpm.val, _xlpm.error, IF(_xlpm.part = "", "", IF(LEN(_xlpm.error), _xlfn.SWITCH(IFERROR(_xlfn.TEXTBEFORE(_xlpm.error,":"), ""), "1", "Error", "2", "Disabled", "3", "Required", "4", "Warning", "Valid"), "Valid"))))</f>
        <v/>
      </c>
      <c r="Y8" s="22">
        <f t="array" ref="Y8">_xlfn.MAP('6 - TV Stands &amp; Enterta'!B8:B507, '6 - TV Stands &amp; Enterta'!Y8:Y507, '6 - TV Stands &amp; Enterta-WUO_ERR'!Y8:Y507, _xlfn.LAMBDA(_xlpm.part, _xlpm.val, _xlpm.error, IF(_xlpm.part = "", "", IF(LEN(_xlpm.error), _xlfn.SWITCH(IFERROR(_xlfn.TEXTBEFORE(_xlpm.error,":"), ""), "1", "Error", "2", "Disabled", "3", "Required", "4", "Warning", "Valid"), "Valid"))))</f>
        <v/>
      </c>
      <c r="Z8" s="22">
        <f t="array" ref="Z8">_xlfn.MAP('6 - TV Stands &amp; Enterta'!B8:B507, '6 - TV Stands &amp; Enterta'!Z8:Z507, '6 - TV Stands &amp; Enterta-WUO_ERR'!Z8:Z507, _xlfn.LAMBDA(_xlpm.part, _xlpm.val, _xlpm.error, IF(_xlpm.part = "", "", IF(LEN(_xlpm.error), _xlfn.SWITCH(IFERROR(_xlfn.TEXTBEFORE(_xlpm.error,":"), ""), "1", "Error", "2", "Disabled", "3", "Required", "4", "Warning", "Valid"), "Valid"))))</f>
        <v/>
      </c>
      <c r="AA8" s="22">
        <f t="array" ref="AA8">_xlfn.MAP('6 - TV Stands &amp; Enterta'!B8:B507, '6 - TV Stands &amp; Enterta'!AA8:AA507, '6 - TV Stands &amp; Enterta-WUO_ERR'!AA8:AA507, _xlfn.LAMBDA(_xlpm.part, _xlpm.val, _xlpm.error, IF(_xlpm.part = "", "", IF(LEN(_xlpm.error), _xlfn.SWITCH(IFERROR(_xlfn.TEXTBEFORE(_xlpm.error,":"), ""), "1", "Error", "2", "Disabled", "3", "Required", "4", "Warning", "Valid"), "Valid"))))</f>
        <v/>
      </c>
      <c r="AB8" s="22">
        <f t="array" ref="AB8">_xlfn.MAP('6 - TV Stands &amp; Enterta'!B8:B507, '6 - TV Stands &amp; Enterta'!AB8:AB507, '6 - TV Stands &amp; Enterta-WUO_ERR'!AB8:AB507, _xlfn.LAMBDA(_xlpm.part, _xlpm.val, _xlpm.error, IF(_xlpm.part = "", "", IF(LEN(_xlpm.error), _xlfn.SWITCH(IFERROR(_xlfn.TEXTBEFORE(_xlpm.error,":"), ""), "1", "Error", "2", "Disabled", "3", "Required", "4", "Warning", "Valid"), "Valid"))))</f>
        <v/>
      </c>
      <c r="AC8" s="22">
        <f t="array" ref="AC8">_xlfn.MAP('6 - TV Stands &amp; Enterta'!B8:B507, '6 - TV Stands &amp; Enterta'!AC8:AC507, '6 - TV Stands &amp; Enterta-WUO_ERR'!AC8:AC507, _xlfn.LAMBDA(_xlpm.part, _xlpm.val, _xlpm.error, IF(_xlpm.part = "", "", IF(LEN(_xlpm.error), _xlfn.SWITCH(IFERROR(_xlfn.TEXTBEFORE(_xlpm.error,":"), ""), "1", "Error", "2", "Disabled", "3", "Required", "4", "Warning", "Valid"), "Valid"))))</f>
        <v/>
      </c>
      <c r="AD8" s="22">
        <f t="array" ref="AD8">_xlfn.MAP('6 - TV Stands &amp; Enterta'!B8:B507, '6 - TV Stands &amp; Enterta'!AD8:AD507, '6 - TV Stands &amp; Enterta-WUO_ERR'!AD8:AD507, _xlfn.LAMBDA(_xlpm.part, _xlpm.val, _xlpm.error, IF(_xlpm.part = "", "", IF(LEN(_xlpm.error), _xlfn.SWITCH(IFERROR(_xlfn.TEXTBEFORE(_xlpm.error,":"), ""), "1", "Error", "2", "Disabled", "3", "Required", "4", "Warning", "Valid"), "Valid"))))</f>
        <v/>
      </c>
      <c r="AE8" s="22">
        <f t="array" ref="AE8">_xlfn.MAP('6 - TV Stands &amp; Enterta'!B8:B507, '6 - TV Stands &amp; Enterta'!AE8:AE507, '6 - TV Stands &amp; Enterta-WUO_ERR'!AE8:AE507, _xlfn.LAMBDA(_xlpm.part, _xlpm.val, _xlpm.error, IF(_xlpm.part = "", "", IF(LEN(_xlpm.error), _xlfn.SWITCH(IFERROR(_xlfn.TEXTBEFORE(_xlpm.error,":"), ""), "1", "Error", "2", "Disabled", "3", "Required", "4", "Warning", "Valid"), "Valid"))))</f>
        <v/>
      </c>
      <c r="AF8" s="22">
        <f t="array" ref="AF8">_xlfn.MAP('6 - TV Stands &amp; Enterta'!B8:B507, '6 - TV Stands &amp; Enterta'!AF8:AF507, '6 - TV Stands &amp; Enterta-WUO_ERR'!AF8:AF507, _xlfn.LAMBDA(_xlpm.part, _xlpm.val, _xlpm.error, IF(_xlpm.part = "", "", IF(LEN(_xlpm.error), _xlfn.SWITCH(IFERROR(_xlfn.TEXTBEFORE(_xlpm.error,":"), ""), "1", "Error", "2", "Disabled", "3", "Required", "4", "Warning", "Valid"), "Valid"))))</f>
        <v/>
      </c>
      <c r="AG8" s="22">
        <f t="array" ref="AG8">_xlfn.MAP('6 - TV Stands &amp; Enterta'!B8:B507, '6 - TV Stands &amp; Enterta'!AG8:AG507, '6 - TV Stands &amp; Enterta-WUO_ERR'!AG8:AG507, _xlfn.LAMBDA(_xlpm.part, _xlpm.val, _xlpm.error, IF(_xlpm.part = "", "", IF(LEN(_xlpm.error), _xlfn.SWITCH(IFERROR(_xlfn.TEXTBEFORE(_xlpm.error,":"), ""), "1", "Error", "2", "Disabled", "3", "Required", "4", "Warning", "Valid"), "Valid"))))</f>
        <v/>
      </c>
      <c r="AH8" s="22">
        <f t="array" ref="AH8">_xlfn.MAP('6 - TV Stands &amp; Enterta'!B8:B507, '6 - TV Stands &amp; Enterta'!AH8:AH507, '6 - TV Stands &amp; Enterta-WUO_ERR'!AH8:AH507, _xlfn.LAMBDA(_xlpm.part, _xlpm.val, _xlpm.error, IF(_xlpm.part = "", "", IF(LEN(_xlpm.error), _xlfn.SWITCH(IFERROR(_xlfn.TEXTBEFORE(_xlpm.error,":"), ""), "1", "Error", "2", "Disabled", "3", "Required", "4", "Warning", "Valid"), "Valid"))))</f>
        <v/>
      </c>
      <c r="AI8" s="22">
        <f t="array" ref="AI8">_xlfn.MAP('6 - TV Stands &amp; Enterta'!B8:B507, '6 - TV Stands &amp; Enterta'!AI8:AI507, '6 - TV Stands &amp; Enterta-WUO_ERR'!AI8:AI507, _xlfn.LAMBDA(_xlpm.part, _xlpm.val, _xlpm.error, IF(_xlpm.part = "", "", IF(LEN(_xlpm.error), _xlfn.SWITCH(IFERROR(_xlfn.TEXTBEFORE(_xlpm.error,":"), ""), "1", "Error", "2", "Disabled", "3", "Required", "4", "Warning", "Valid"), "Valid"))))</f>
        <v/>
      </c>
      <c r="AJ8" s="22">
        <f t="array" ref="AJ8">_xlfn.MAP('6 - TV Stands &amp; Enterta'!B8:B507, '6 - TV Stands &amp; Enterta'!AJ8:AJ507, '6 - TV Stands &amp; Enterta-WUO_ERR'!AJ8:AJ507, _xlfn.LAMBDA(_xlpm.part, _xlpm.val, _xlpm.error, IF(_xlpm.part = "", "", IF(LEN(_xlpm.error), _xlfn.SWITCH(IFERROR(_xlfn.TEXTBEFORE(_xlpm.error,":"), ""), "1", "Error", "2", "Disabled", "3", "Required", "4", "Warning", "Valid"), "Valid"))))</f>
        <v/>
      </c>
      <c r="AK8" s="22">
        <f t="array" ref="AK8">_xlfn.MAP('6 - TV Stands &amp; Enterta'!B8:B507, '6 - TV Stands &amp; Enterta'!AK8:AK507, '6 - TV Stands &amp; Enterta-WUO_ERR'!AK8:AK507, _xlfn.LAMBDA(_xlpm.part, _xlpm.val, _xlpm.error, IF(_xlpm.part = "", "", IF(LEN(_xlpm.error), _xlfn.SWITCH(IFERROR(_xlfn.TEXTBEFORE(_xlpm.error,":"), ""), "1", "Error", "2", "Disabled", "3", "Required", "4", "Warning", "Valid"), "Valid"))))</f>
        <v/>
      </c>
      <c r="AL8" s="22">
        <f t="array" ref="AL8">_xlfn.MAP('6 - TV Stands &amp; Enterta'!B8:B507, '6 - TV Stands &amp; Enterta'!AL8:AL507, '6 - TV Stands &amp; Enterta-WUO_ERR'!AL8:AL507, _xlfn.LAMBDA(_xlpm.part, _xlpm.val, _xlpm.error, IF(_xlpm.part = "", "", IF(LEN(_xlpm.error), _xlfn.SWITCH(IFERROR(_xlfn.TEXTBEFORE(_xlpm.error,":"), ""), "1", "Error", "2", "Disabled", "3", "Required", "4", "Warning", "Valid"), "Valid"))))</f>
        <v/>
      </c>
      <c r="AM8" s="22">
        <f t="array" ref="AM8">_xlfn.MAP('6 - TV Stands &amp; Enterta'!B8:B507, '6 - TV Stands &amp; Enterta'!AM8:AM507, '6 - TV Stands &amp; Enterta-WUO_ERR'!AM8:AM507, _xlfn.LAMBDA(_xlpm.part, _xlpm.val, _xlpm.error, IF(_xlpm.part = "", "", IF(LEN(_xlpm.error), _xlfn.SWITCH(IFERROR(_xlfn.TEXTBEFORE(_xlpm.error,":"), ""), "1", "Error", "2", "Disabled", "3", "Required", "4", "Warning", "Valid"), "Valid"))))</f>
        <v/>
      </c>
      <c r="AN8" s="22">
        <f t="array" ref="AN8">_xlfn.MAP('6 - TV Stands &amp; Enterta'!B8:B507, '6 - TV Stands &amp; Enterta'!AN8:AN507, '6 - TV Stands &amp; Enterta-WUO_ERR'!AN8:AN507, _xlfn.LAMBDA(_xlpm.part, _xlpm.val, _xlpm.error, IF(_xlpm.part = "", "", IF(LEN(_xlpm.error), _xlfn.SWITCH(IFERROR(_xlfn.TEXTBEFORE(_xlpm.error,":"), ""), "1", "Error", "2", "Disabled", "3", "Required", "4", "Warning", "Valid"), "Valid"))))</f>
        <v/>
      </c>
      <c r="AO8" s="22">
        <f t="array" ref="AO8">_xlfn.MAP('6 - TV Stands &amp; Enterta'!B8:B507, '6 - TV Stands &amp; Enterta'!AO8:AO507, '6 - TV Stands &amp; Enterta-WUO_ERR'!AO8:AO507, _xlfn.LAMBDA(_xlpm.part, _xlpm.val, _xlpm.error, IF(_xlpm.part = "", "", IF(LEN(_xlpm.error), _xlfn.SWITCH(IFERROR(_xlfn.TEXTBEFORE(_xlpm.error,":"), ""), "1", "Error", "2", "Disabled", "3", "Required", "4", "Warning", "Valid"), "Valid"))))</f>
        <v/>
      </c>
      <c r="AP8" s="22">
        <f t="array" ref="AP8">_xlfn.MAP('6 - TV Stands &amp; Enterta'!B8:B507, '6 - TV Stands &amp; Enterta'!AP8:AP507, '6 - TV Stands &amp; Enterta-WUO_ERR'!AP8:AP507, _xlfn.LAMBDA(_xlpm.part, _xlpm.val, _xlpm.error, IF(_xlpm.part = "", "", IF(LEN(_xlpm.error), _xlfn.SWITCH(IFERROR(_xlfn.TEXTBEFORE(_xlpm.error,":"), ""), "1", "Error", "2", "Disabled", "3", "Required", "4", "Warning", "Valid"), "Valid"))))</f>
        <v/>
      </c>
      <c r="AQ8" s="22">
        <f t="array" ref="AQ8">_xlfn.MAP('6 - TV Stands &amp; Enterta'!B8:B507, '6 - TV Stands &amp; Enterta'!AQ8:AQ507, '6 - TV Stands &amp; Enterta-WUO_ERR'!AQ8:AQ507, _xlfn.LAMBDA(_xlpm.part, _xlpm.val, _xlpm.error, IF(_xlpm.part = "", "", IF(LEN(_xlpm.error), _xlfn.SWITCH(IFERROR(_xlfn.TEXTBEFORE(_xlpm.error,":"), ""), "1", "Error", "2", "Disabled", "3", "Required", "4", "Warning", "Valid"), "Valid"))))</f>
        <v/>
      </c>
      <c r="AR8" s="22">
        <f t="array" ref="AR8">_xlfn.MAP('6 - TV Stands &amp; Enterta'!B8:B507, '6 - TV Stands &amp; Enterta'!AR8:AR507, '6 - TV Stands &amp; Enterta-WUO_ERR'!AR8:AR507, _xlfn.LAMBDA(_xlpm.part, _xlpm.val, _xlpm.error, IF(_xlpm.part = "", "", IF(LEN(_xlpm.error), _xlfn.SWITCH(IFERROR(_xlfn.TEXTBEFORE(_xlpm.error,":"), ""), "1", "Error", "2", "Disabled", "3", "Required", "4", "Warning", "Valid"), "Valid"))))</f>
        <v/>
      </c>
      <c r="AS8" s="22">
        <f t="array" ref="AS8">_xlfn.MAP('6 - TV Stands &amp; Enterta'!B8:B507, '6 - TV Stands &amp; Enterta'!AS8:AS507, '6 - TV Stands &amp; Enterta-WUO_ERR'!AS8:AS507, _xlfn.LAMBDA(_xlpm.part, _xlpm.val, _xlpm.error, IF(_xlpm.part = "", "", IF(LEN(_xlpm.error), _xlfn.SWITCH(IFERROR(_xlfn.TEXTBEFORE(_xlpm.error,":"), ""), "1", "Error", "2", "Disabled", "3", "Required", "4", "Warning", "Valid"), "Valid"))))</f>
        <v/>
      </c>
      <c r="AT8" s="22">
        <f t="array" ref="AT8">_xlfn.MAP('6 - TV Stands &amp; Enterta'!B8:B507, '6 - TV Stands &amp; Enterta'!AT8:AT507, '6 - TV Stands &amp; Enterta-WUO_ERR'!AT8:AT507, _xlfn.LAMBDA(_xlpm.part, _xlpm.val, _xlpm.error, IF(_xlpm.part = "", "", IF(LEN(_xlpm.error), _xlfn.SWITCH(IFERROR(_xlfn.TEXTBEFORE(_xlpm.error,":"), ""), "1", "Error", "2", "Disabled", "3", "Required", "4", "Warning", "Valid"), "Valid"))))</f>
        <v/>
      </c>
      <c r="AU8" s="22">
        <f t="array" ref="AU8">_xlfn.MAP('6 - TV Stands &amp; Enterta'!B8:B507, '6 - TV Stands &amp; Enterta'!AU8:AU507, '6 - TV Stands &amp; Enterta-WUO_ERR'!AU8:AU507, _xlfn.LAMBDA(_xlpm.part, _xlpm.val, _xlpm.error, IF(_xlpm.part = "", "", IF(LEN(_xlpm.error), _xlfn.SWITCH(IFERROR(_xlfn.TEXTBEFORE(_xlpm.error,":"), ""), "1", "Error", "2", "Disabled", "3", "Required", "4", "Warning", "Valid"), "Valid"))))</f>
        <v/>
      </c>
      <c r="AV8" s="22">
        <f t="array" ref="AV8">_xlfn.MAP('6 - TV Stands &amp; Enterta'!B8:B507, '6 - TV Stands &amp; Enterta'!AV8:AV507, '6 - TV Stands &amp; Enterta-WUO_ERR'!AV8:AV507, _xlfn.LAMBDA(_xlpm.part, _xlpm.val, _xlpm.error, IF(_xlpm.part = "", "", IF(LEN(_xlpm.error), _xlfn.SWITCH(IFERROR(_xlfn.TEXTBEFORE(_xlpm.error,":"), ""), "1", "Error", "2", "Disabled", "3", "Required", "4", "Warning", "Valid"), "Valid"))))</f>
        <v/>
      </c>
      <c r="AW8" s="22">
        <f t="array" ref="AW8">_xlfn.MAP('6 - TV Stands &amp; Enterta'!B8:B507, '6 - TV Stands &amp; Enterta'!AW8:AW507, '6 - TV Stands &amp; Enterta-WUO_ERR'!AW8:AW507, _xlfn.LAMBDA(_xlpm.part, _xlpm.val, _xlpm.error, IF(_xlpm.part = "", "", IF(LEN(_xlpm.error), _xlfn.SWITCH(IFERROR(_xlfn.TEXTBEFORE(_xlpm.error,":"), ""), "1", "Error", "2", "Disabled", "3", "Required", "4", "Warning", "Valid"), "Valid"))))</f>
        <v/>
      </c>
      <c r="AX8" s="22">
        <f t="array" ref="AX8">_xlfn.MAP('6 - TV Stands &amp; Enterta'!B8:B507, '6 - TV Stands &amp; Enterta'!AX8:AX507, '6 - TV Stands &amp; Enterta-WUO_ERR'!AX8:AX507, _xlfn.LAMBDA(_xlpm.part, _xlpm.val, _xlpm.error, IF(_xlpm.part = "", "", IF(LEN(_xlpm.error), _xlfn.SWITCH(IFERROR(_xlfn.TEXTBEFORE(_xlpm.error,":"), ""), "1", "Error", "2", "Disabled", "3", "Required", "4", "Warning", "Valid"), "Valid"))))</f>
        <v/>
      </c>
      <c r="AY8" s="22">
        <f t="array" ref="AY8">_xlfn.MAP('6 - TV Stands &amp; Enterta'!B8:B507, '6 - TV Stands &amp; Enterta'!AY8:AY507, '6 - TV Stands &amp; Enterta-WUO_ERR'!AY8:AY507, _xlfn.LAMBDA(_xlpm.part, _xlpm.val, _xlpm.error, IF(_xlpm.part = "", "", IF(LEN(_xlpm.error), _xlfn.SWITCH(IFERROR(_xlfn.TEXTBEFORE(_xlpm.error,":"), ""), "1", "Error", "2", "Disabled", "3", "Required", "4", "Warning", "Valid"), "Valid"))))</f>
        <v/>
      </c>
      <c r="AZ8" s="22">
        <f t="array" ref="AZ8">_xlfn.MAP('6 - TV Stands &amp; Enterta'!B8:B507, '6 - TV Stands &amp; Enterta'!AZ8:AZ507, '6 - TV Stands &amp; Enterta-WUO_ERR'!AZ8:AZ507, _xlfn.LAMBDA(_xlpm.part, _xlpm.val, _xlpm.error, IF(_xlpm.part = "", "", IF(LEN(_xlpm.error), _xlfn.SWITCH(IFERROR(_xlfn.TEXTBEFORE(_xlpm.error,":"), ""), "1", "Error", "2", "Disabled", "3", "Required", "4", "Warning", "Valid"), "Valid"))))</f>
        <v/>
      </c>
      <c r="BA8" s="22">
        <f t="array" ref="BA8">_xlfn.MAP('6 - TV Stands &amp; Enterta'!B8:B507, '6 - TV Stands &amp; Enterta'!BA8:BA507, '6 - TV Stands &amp; Enterta-WUO_ERR'!BA8:BA507, _xlfn.LAMBDA(_xlpm.part, _xlpm.val, _xlpm.error, IF(_xlpm.part = "", "", IF(LEN(_xlpm.error), _xlfn.SWITCH(IFERROR(_xlfn.TEXTBEFORE(_xlpm.error,":"), ""), "1", "Error", "2", "Disabled", "3", "Required", "4", "Warning", "Valid"), "Valid"))))</f>
        <v/>
      </c>
      <c r="BB8" s="22">
        <f t="array" ref="BB8">_xlfn.MAP('6 - TV Stands &amp; Enterta'!B8:B507, '6 - TV Stands &amp; Enterta'!BB8:BB507, '6 - TV Stands &amp; Enterta-WUO_ERR'!BB8:BB507, _xlfn.LAMBDA(_xlpm.part, _xlpm.val, _xlpm.error, IF(_xlpm.part = "", "", IF(LEN(_xlpm.error), _xlfn.SWITCH(IFERROR(_xlfn.TEXTBEFORE(_xlpm.error,":"), ""), "1", "Error", "2", "Disabled", "3", "Required", "4", "Warning", "Valid"), "Valid"))))</f>
        <v/>
      </c>
      <c r="BC8" s="22">
        <f t="array" ref="BC8">_xlfn.MAP('6 - TV Stands &amp; Enterta'!B8:B507, '6 - TV Stands &amp; Enterta'!BC8:BC507, '6 - TV Stands &amp; Enterta-WUO_ERR'!BC8:BC507, _xlfn.LAMBDA(_xlpm.part, _xlpm.val, _xlpm.error, IF(_xlpm.part = "", "", IF(LEN(_xlpm.error), _xlfn.SWITCH(IFERROR(_xlfn.TEXTBEFORE(_xlpm.error,":"), ""), "1", "Error", "2", "Disabled", "3", "Required", "4", "Warning", "Valid"), "Valid"))))</f>
        <v/>
      </c>
      <c r="BD8" s="22">
        <f t="array" ref="BD8">_xlfn.MAP('6 - TV Stands &amp; Enterta'!B8:B507, '6 - TV Stands &amp; Enterta'!BD8:BD507, '6 - TV Stands &amp; Enterta-WUO_ERR'!BD8:BD507, _xlfn.LAMBDA(_xlpm.part, _xlpm.val, _xlpm.error, IF(_xlpm.part = "", "", IF(LEN(_xlpm.error), _xlfn.SWITCH(IFERROR(_xlfn.TEXTBEFORE(_xlpm.error,":"), ""), "1", "Error", "2", "Disabled", "3", "Required", "4", "Warning", "Valid"), "Valid"))))</f>
        <v/>
      </c>
      <c r="BE8" s="22">
        <f t="array" ref="BE8">_xlfn.MAP('6 - TV Stands &amp; Enterta'!B8:B507, '6 - TV Stands &amp; Enterta'!BE8:BE507, '6 - TV Stands &amp; Enterta-WUO_ERR'!BE8:BE507, _xlfn.LAMBDA(_xlpm.part, _xlpm.val, _xlpm.error, IF(_xlpm.part = "", "", IF(LEN(_xlpm.error), _xlfn.SWITCH(IFERROR(_xlfn.TEXTBEFORE(_xlpm.error,":"), ""), "1", "Error", "2", "Disabled", "3", "Required", "4", "Warning", "Valid"), "Valid"))))</f>
        <v/>
      </c>
      <c r="BF8" s="22">
        <f t="array" ref="BF8">_xlfn.MAP('6 - TV Stands &amp; Enterta'!B8:B507, '6 - TV Stands &amp; Enterta'!BF8:BF507, '6 - TV Stands &amp; Enterta-WUO_ERR'!BF8:BF507, _xlfn.LAMBDA(_xlpm.part, _xlpm.val, _xlpm.error, IF(_xlpm.part = "", "", IF(LEN(_xlpm.error), _xlfn.SWITCH(IFERROR(_xlfn.TEXTBEFORE(_xlpm.error,":"), ""), "1", "Error", "2", "Disabled", "3", "Required", "4", "Warning", "Valid"), "Valid"))))</f>
        <v/>
      </c>
      <c r="BG8" s="22">
        <f t="array" ref="BG8">_xlfn.MAP('6 - TV Stands &amp; Enterta'!B8:B507, '6 - TV Stands &amp; Enterta'!BG8:BG507, '6 - TV Stands &amp; Enterta-WUO_ERR'!BG8:BG507, _xlfn.LAMBDA(_xlpm.part, _xlpm.val, _xlpm.error, IF(_xlpm.part = "", "", IF(LEN(_xlpm.error), _xlfn.SWITCH(IFERROR(_xlfn.TEXTBEFORE(_xlpm.error,":"), ""), "1", "Error", "2", "Disabled", "3", "Required", "4", "Warning", "Valid"), "Valid"))))</f>
        <v/>
      </c>
      <c r="BH8" s="22">
        <f t="array" ref="BH8">_xlfn.MAP('6 - TV Stands &amp; Enterta'!B8:B507, '6 - TV Stands &amp; Enterta'!BH8:BH507, '6 - TV Stands &amp; Enterta-WUO_ERR'!BH8:BH507, _xlfn.LAMBDA(_xlpm.part, _xlpm.val, _xlpm.error, IF(_xlpm.part = "", "", IF(LEN(_xlpm.error), _xlfn.SWITCH(IFERROR(_xlfn.TEXTBEFORE(_xlpm.error,":"), ""), "1", "Error", "2", "Disabled", "3", "Required", "4", "Warning", "Valid"), "Valid"))))</f>
        <v/>
      </c>
      <c r="BI8" s="22">
        <f t="array" ref="BI8">_xlfn.MAP('6 - TV Stands &amp; Enterta'!B8:B507, '6 - TV Stands &amp; Enterta'!BI8:BI507, '6 - TV Stands &amp; Enterta-WUO_ERR'!BI8:BI507, _xlfn.LAMBDA(_xlpm.part, _xlpm.val, _xlpm.error, IF(_xlpm.part = "", "", IF(LEN(_xlpm.error), _xlfn.SWITCH(IFERROR(_xlfn.TEXTBEFORE(_xlpm.error,":"), ""), "1", "Error", "2", "Disabled", "3", "Required", "4", "Warning", "Valid"), "Valid"))))</f>
        <v/>
      </c>
      <c r="BJ8" s="22">
        <f t="array" ref="BJ8">_xlfn.MAP('6 - TV Stands &amp; Enterta'!B8:B507, '6 - TV Stands &amp; Enterta'!BJ8:BJ507, '6 - TV Stands &amp; Enterta-WUO_ERR'!BJ8:BJ507, _xlfn.LAMBDA(_xlpm.part, _xlpm.val, _xlpm.error, IF(_xlpm.part = "", "", IF(LEN(_xlpm.error), _xlfn.SWITCH(IFERROR(_xlfn.TEXTBEFORE(_xlpm.error,":"), ""), "1", "Error", "2", "Disabled", "3", "Required", "4", "Warning", "Valid"), "Valid"))))</f>
        <v/>
      </c>
      <c r="BK8" s="22">
        <f t="array" ref="BK8">_xlfn.MAP('6 - TV Stands &amp; Enterta'!B8:B507, '6 - TV Stands &amp; Enterta'!BK8:BK507, '6 - TV Stands &amp; Enterta-WUO_ERR'!BK8:BK507, _xlfn.LAMBDA(_xlpm.part, _xlpm.val, _xlpm.error, IF(_xlpm.part = "", "", IF(LEN(_xlpm.error), _xlfn.SWITCH(IFERROR(_xlfn.TEXTBEFORE(_xlpm.error,":"), ""), "1", "Error", "2", "Disabled", "3", "Required", "4", "Warning", "Valid"), "Valid"))))</f>
        <v/>
      </c>
      <c r="BL8" s="22">
        <f t="array" ref="BL8">_xlfn.MAP('6 - TV Stands &amp; Enterta'!B8:B507, '6 - TV Stands &amp; Enterta'!BL8:BL507, '6 - TV Stands &amp; Enterta-WUO_ERR'!BL8:BL507, _xlfn.LAMBDA(_xlpm.part, _xlpm.val, _xlpm.error, IF(_xlpm.part = "", "", IF(LEN(_xlpm.error), _xlfn.SWITCH(IFERROR(_xlfn.TEXTBEFORE(_xlpm.error,":"), ""), "1", "Error", "2", "Disabled", "3", "Required", "4", "Warning", "Valid"), "Valid"))))</f>
        <v/>
      </c>
      <c r="BM8" s="22">
        <f t="array" ref="BM8">_xlfn.MAP('6 - TV Stands &amp; Enterta'!B8:B507, '6 - TV Stands &amp; Enterta'!BM8:BM507, '6 - TV Stands &amp; Enterta-WUO_ERR'!BM8:BM507, _xlfn.LAMBDA(_xlpm.part, _xlpm.val, _xlpm.error, IF(_xlpm.part = "", "", IF(LEN(_xlpm.error), _xlfn.SWITCH(IFERROR(_xlfn.TEXTBEFORE(_xlpm.error,":"), ""), "1", "Error", "2", "Disabled", "3", "Required", "4", "Warning", "Valid"), "Valid"))))</f>
        <v/>
      </c>
      <c r="BN8" s="22">
        <f t="array" ref="BN8">_xlfn.MAP('6 - TV Stands &amp; Enterta'!B8:B507, '6 - TV Stands &amp; Enterta'!BN8:BN507, '6 - TV Stands &amp; Enterta-WUO_ERR'!BN8:BN507, _xlfn.LAMBDA(_xlpm.part, _xlpm.val, _xlpm.error, IF(_xlpm.part = "", "", IF(LEN(_xlpm.error), _xlfn.SWITCH(IFERROR(_xlfn.TEXTBEFORE(_xlpm.error,":"), ""), "1", "Error", "2", "Disabled", "3", "Required", "4", "Warning", "Valid"), "Valid"))))</f>
        <v/>
      </c>
      <c r="BO8" s="22">
        <f t="array" ref="BO8">_xlfn.MAP('6 - TV Stands &amp; Enterta'!B8:B507, '6 - TV Stands &amp; Enterta'!BO8:BO507, '6 - TV Stands &amp; Enterta-WUO_ERR'!BO8:BO507, _xlfn.LAMBDA(_xlpm.part, _xlpm.val, _xlpm.error, IF(_xlpm.part = "", "", IF(LEN(_xlpm.error), _xlfn.SWITCH(IFERROR(_xlfn.TEXTBEFORE(_xlpm.error,":"), ""), "1", "Error", "2", "Disabled", "3", "Required", "4", "Warning", "Valid"), "Valid"))))</f>
        <v/>
      </c>
      <c r="BP8" s="22">
        <f t="array" ref="BP8">_xlfn.MAP('6 - TV Stands &amp; Enterta'!B8:B507, '6 - TV Stands &amp; Enterta'!BP8:BP507, '6 - TV Stands &amp; Enterta-WUO_ERR'!BP8:BP507, _xlfn.LAMBDA(_xlpm.part, _xlpm.val, _xlpm.error, IF(_xlpm.part = "", "", IF(LEN(_xlpm.error), _xlfn.SWITCH(IFERROR(_xlfn.TEXTBEFORE(_xlpm.error,":"), ""), "1", "Error", "2", "Disabled", "3", "Required", "4", "Warning", "Valid"), "Valid"))))</f>
        <v/>
      </c>
      <c r="BQ8" s="22">
        <f t="array" ref="BQ8">_xlfn.MAP('6 - TV Stands &amp; Enterta'!B8:B507, '6 - TV Stands &amp; Enterta'!BQ8:BQ507, '6 - TV Stands &amp; Enterta-WUO_ERR'!BQ8:BQ507, _xlfn.LAMBDA(_xlpm.part, _xlpm.val, _xlpm.error, IF(_xlpm.part = "", "", IF(LEN(_xlpm.error), _xlfn.SWITCH(IFERROR(_xlfn.TEXTBEFORE(_xlpm.error,":"), ""), "1", "Error", "2", "Disabled", "3", "Required", "4", "Warning", "Valid"), "Valid"))))</f>
        <v/>
      </c>
      <c r="BR8" s="22">
        <f t="array" ref="BR8">_xlfn.MAP('6 - TV Stands &amp; Enterta'!B8:B507, '6 - TV Stands &amp; Enterta'!BR8:BR507, '6 - TV Stands &amp; Enterta-WUO_ERR'!BR8:BR507, _xlfn.LAMBDA(_xlpm.part, _xlpm.val, _xlpm.error, IF(_xlpm.part = "", "", IF(LEN(_xlpm.error), _xlfn.SWITCH(IFERROR(_xlfn.TEXTBEFORE(_xlpm.error,":"), ""), "1", "Error", "2", "Disabled", "3", "Required", "4", "Warning", "Valid"), "Valid"))))</f>
        <v/>
      </c>
      <c r="BS8" s="22">
        <f t="array" ref="BS8">_xlfn.MAP('6 - TV Stands &amp; Enterta'!B8:B507, '6 - TV Stands &amp; Enterta'!BS8:BS507, '6 - TV Stands &amp; Enterta-WUO_ERR'!BS8:BS507, _xlfn.LAMBDA(_xlpm.part, _xlpm.val, _xlpm.error, IF(_xlpm.part = "", "", IF(LEN(_xlpm.error), _xlfn.SWITCH(IFERROR(_xlfn.TEXTBEFORE(_xlpm.error,":"), ""), "1", "Error", "2", "Disabled", "3", "Required", "4", "Warning", "Valid"), "Valid"))))</f>
        <v/>
      </c>
      <c r="BT8" s="22">
        <f t="array" ref="BT8">_xlfn.MAP('6 - TV Stands &amp; Enterta'!B8:B507, '6 - TV Stands &amp; Enterta'!BT8:BT507, '6 - TV Stands &amp; Enterta-WUO_ERR'!BT8:BT507, _xlfn.LAMBDA(_xlpm.part, _xlpm.val, _xlpm.error, IF(_xlpm.part = "", "", IF(LEN(_xlpm.error), _xlfn.SWITCH(IFERROR(_xlfn.TEXTBEFORE(_xlpm.error,":"), ""), "1", "Error", "2", "Disabled", "3", "Required", "4", "Warning", "Valid"), "Valid"))))</f>
        <v/>
      </c>
      <c r="BU8" s="22">
        <f t="array" ref="BU8">_xlfn.MAP('6 - TV Stands &amp; Enterta'!B8:B507, '6 - TV Stands &amp; Enterta'!BU8:BU507, '6 - TV Stands &amp; Enterta-WUO_ERR'!BU8:BU507, _xlfn.LAMBDA(_xlpm.part, _xlpm.val, _xlpm.error, IF(_xlpm.part = "", "", IF(LEN(_xlpm.error), _xlfn.SWITCH(IFERROR(_xlfn.TEXTBEFORE(_xlpm.error,":"), ""), "1", "Error", "2", "Disabled", "3", "Required", "4", "Warning", "Valid"), "Valid"))))</f>
        <v/>
      </c>
      <c r="BV8" s="22">
        <f t="array" ref="BV8">_xlfn.MAP('6 - TV Stands &amp; Enterta'!B8:B507, '6 - TV Stands &amp; Enterta'!BV8:BV507, '6 - TV Stands &amp; Enterta-WUO_ERR'!BV8:BV507, _xlfn.LAMBDA(_xlpm.part, _xlpm.val, _xlpm.error, IF(_xlpm.part = "", "", IF(LEN(_xlpm.error), _xlfn.SWITCH(IFERROR(_xlfn.TEXTBEFORE(_xlpm.error,":"), ""), "1", "Error", "2", "Disabled", "3", "Required", "4", "Warning", "Valid"), "Valid"))))</f>
        <v/>
      </c>
      <c r="BW8" s="22">
        <f t="array" ref="BW8">_xlfn.MAP('6 - TV Stands &amp; Enterta'!B8:B507, '6 - TV Stands &amp; Enterta'!BW8:BW507, '6 - TV Stands &amp; Enterta-WUO_ERR'!BW8:BW507, _xlfn.LAMBDA(_xlpm.part, _xlpm.val, _xlpm.error, IF(_xlpm.part = "", "", IF(LEN(_xlpm.error), _xlfn.SWITCH(IFERROR(_xlfn.TEXTBEFORE(_xlpm.error,":"), ""), "1", "Error", "2", "Disabled", "3", "Required", "4", "Warning", "Valid"), "Valid"))))</f>
        <v/>
      </c>
      <c r="BX8" s="22">
        <f t="array" ref="BX8">_xlfn.MAP('6 - TV Stands &amp; Enterta'!B8:B507, '6 - TV Stands &amp; Enterta'!BX8:BX507, '6 - TV Stands &amp; Enterta-WUO_ERR'!BX8:BX507, _xlfn.LAMBDA(_xlpm.part, _xlpm.val, _xlpm.error, IF(_xlpm.part = "", "", IF(LEN(_xlpm.error), _xlfn.SWITCH(IFERROR(_xlfn.TEXTBEFORE(_xlpm.error,":"), ""), "1", "Error", "2", "Disabled", "3", "Required", "4", "Warning", "Valid"), "Valid"))))</f>
        <v/>
      </c>
      <c r="BY8" s="22">
        <f t="array" ref="BY8">_xlfn.MAP('6 - TV Stands &amp; Enterta'!B8:B507, '6 - TV Stands &amp; Enterta'!BY8:BY507, '6 - TV Stands &amp; Enterta-WUO_ERR'!BY8:BY507, _xlfn.LAMBDA(_xlpm.part, _xlpm.val, _xlpm.error, IF(_xlpm.part = "", "", IF(LEN(_xlpm.error), _xlfn.SWITCH(IFERROR(_xlfn.TEXTBEFORE(_xlpm.error,":"), ""), "1", "Error", "2", "Disabled", "3", "Required", "4", "Warning", "Valid"), "Valid"))))</f>
        <v/>
      </c>
      <c r="BZ8" s="22">
        <f t="array" ref="BZ8">_xlfn.MAP('6 - TV Stands &amp; Enterta'!B8:B507, '6 - TV Stands &amp; Enterta'!BZ8:BZ507, '6 - TV Stands &amp; Enterta-WUO_ERR'!BZ8:BZ507, _xlfn.LAMBDA(_xlpm.part, _xlpm.val, _xlpm.error, IF(_xlpm.part = "", "", IF(LEN(_xlpm.error), _xlfn.SWITCH(IFERROR(_xlfn.TEXTBEFORE(_xlpm.error,":"), ""), "1", "Error", "2", "Disabled", "3", "Required", "4", "Warning", "Valid"), "Valid"))))</f>
        <v/>
      </c>
      <c r="CA8" s="22">
        <f t="array" ref="CA8">_xlfn.MAP('6 - TV Stands &amp; Enterta'!B8:B507, '6 - TV Stands &amp; Enterta'!CA8:CA507, '6 - TV Stands &amp; Enterta-WUO_ERR'!CA8:CA507, _xlfn.LAMBDA(_xlpm.part, _xlpm.val, _xlpm.error, IF(_xlpm.part = "", "", IF(LEN(_xlpm.error), _xlfn.SWITCH(IFERROR(_xlfn.TEXTBEFORE(_xlpm.error,":"), ""), "1", "Error", "2", "Disabled", "3", "Required", "4", "Warning", "Valid"), "Valid"))))</f>
        <v/>
      </c>
      <c r="CB8" s="22">
        <f t="array" ref="CB8">_xlfn.MAP('6 - TV Stands &amp; Enterta'!B8:B507, '6 - TV Stands &amp; Enterta'!CB8:CB507, '6 - TV Stands &amp; Enterta-WUO_ERR'!CB8:CB507, _xlfn.LAMBDA(_xlpm.part, _xlpm.val, _xlpm.error, IF(_xlpm.part = "", "", IF(LEN(_xlpm.error), _xlfn.SWITCH(IFERROR(_xlfn.TEXTBEFORE(_xlpm.error,":"), ""), "1", "Error", "2", "Disabled", "3", "Required", "4", "Warning", "Valid"), "Valid"))))</f>
        <v/>
      </c>
      <c r="CC8" s="22">
        <f t="array" ref="CC8">_xlfn.MAP('6 - TV Stands &amp; Enterta'!B8:B507, '6 - TV Stands &amp; Enterta'!CC8:CC507, '6 - TV Stands &amp; Enterta-WUO_ERR'!CC8:CC507, _xlfn.LAMBDA(_xlpm.part, _xlpm.val, _xlpm.error, IF(_xlpm.part = "", "", IF(LEN(_xlpm.error), _xlfn.SWITCH(IFERROR(_xlfn.TEXTBEFORE(_xlpm.error,":"), ""), "1", "Error", "2", "Disabled", "3", "Required", "4", "Warning", "Valid"), "Valid"))))</f>
        <v/>
      </c>
      <c r="CD8" s="22">
        <f t="array" ref="CD8">_xlfn.MAP('6 - TV Stands &amp; Enterta'!B8:B507, '6 - TV Stands &amp; Enterta'!CD8:CD507, '6 - TV Stands &amp; Enterta-WUO_ERR'!CD8:CD507, _xlfn.LAMBDA(_xlpm.part, _xlpm.val, _xlpm.error, IF(_xlpm.part = "", "", IF(LEN(_xlpm.error), _xlfn.SWITCH(IFERROR(_xlfn.TEXTBEFORE(_xlpm.error,":"), ""), "1", "Error", "2", "Disabled", "3", "Required", "4", "Warning", "Valid"), "Valid"))))</f>
        <v/>
      </c>
      <c r="CE8" s="22">
        <f t="array" ref="CE8">_xlfn.MAP('6 - TV Stands &amp; Enterta'!B8:B507, '6 - TV Stands &amp; Enterta'!CE8:CE507, '6 - TV Stands &amp; Enterta-WUO_ERR'!CE8:CE507, _xlfn.LAMBDA(_xlpm.part, _xlpm.val, _xlpm.error, IF(_xlpm.part = "", "", IF(LEN(_xlpm.error), _xlfn.SWITCH(IFERROR(_xlfn.TEXTBEFORE(_xlpm.error,":"), ""), "1", "Error", "2", "Disabled", "3", "Required", "4", "Warning", "Valid"), "Valid"))))</f>
        <v/>
      </c>
      <c r="CF8" s="22">
        <f t="array" ref="CF8">_xlfn.MAP('6 - TV Stands &amp; Enterta'!B8:B507, '6 - TV Stands &amp; Enterta'!CF8:CF507, '6 - TV Stands &amp; Enterta-WUO_ERR'!CF8:CF507, _xlfn.LAMBDA(_xlpm.part, _xlpm.val, _xlpm.error, IF(_xlpm.part = "", "", IF(LEN(_xlpm.error), _xlfn.SWITCH(IFERROR(_xlfn.TEXTBEFORE(_xlpm.error,":"), ""), "1", "Error", "2", "Disabled", "3", "Required", "4", "Warning", "Valid"), "Valid"))))</f>
        <v/>
      </c>
      <c r="CG8" s="22">
        <f t="array" ref="CG8">_xlfn.MAP('6 - TV Stands &amp; Enterta'!B8:B507, '6 - TV Stands &amp; Enterta'!CG8:CG507, '6 - TV Stands &amp; Enterta-WUO_ERR'!CG8:CG507, _xlfn.LAMBDA(_xlpm.part, _xlpm.val, _xlpm.error, IF(_xlpm.part = "", "", IF(LEN(_xlpm.error), _xlfn.SWITCH(IFERROR(_xlfn.TEXTBEFORE(_xlpm.error,":"), ""), "1", "Error", "2", "Disabled", "3", "Required", "4", "Warning", "Valid"), "Valid"))))</f>
        <v/>
      </c>
      <c r="CH8" s="22">
        <f t="array" ref="CH8">_xlfn.MAP('6 - TV Stands &amp; Enterta'!B8:B507, '6 - TV Stands &amp; Enterta'!CH8:CH507, '6 - TV Stands &amp; Enterta-WUO_ERR'!CH8:CH507, _xlfn.LAMBDA(_xlpm.part, _xlpm.val, _xlpm.error, IF(_xlpm.part = "", "", IF(LEN(_xlpm.error), _xlfn.SWITCH(IFERROR(_xlfn.TEXTBEFORE(_xlpm.error,":"), ""), "1", "Error", "2", "Disabled", "3", "Required", "4", "Warning", "Valid"), "Valid"))))</f>
        <v/>
      </c>
      <c r="CI8" s="22">
        <f t="array" ref="CI8">_xlfn.MAP('6 - TV Stands &amp; Enterta'!B8:B507, '6 - TV Stands &amp; Enterta'!CI8:CI507, '6 - TV Stands &amp; Enterta-WUO_ERR'!CI8:CI507, _xlfn.LAMBDA(_xlpm.part, _xlpm.val, _xlpm.error, IF(_xlpm.part = "", "", IF(LEN(_xlpm.error), _xlfn.SWITCH(IFERROR(_xlfn.TEXTBEFORE(_xlpm.error,":"), ""), "1", "Error", "2", "Disabled", "3", "Required", "4", "Warning", "Valid"), "Valid"))))</f>
        <v/>
      </c>
      <c r="CJ8" s="22">
        <f t="array" ref="CJ8">_xlfn.MAP('6 - TV Stands &amp; Enterta'!B8:B507, '6 - TV Stands &amp; Enterta'!CJ8:CJ507, '6 - TV Stands &amp; Enterta-WUO_ERR'!CJ8:CJ507, _xlfn.LAMBDA(_xlpm.part, _xlpm.val, _xlpm.error, IF(_xlpm.part = "", "", IF(LEN(_xlpm.error), _xlfn.SWITCH(IFERROR(_xlfn.TEXTBEFORE(_xlpm.error,":"), ""), "1", "Error", "2", "Disabled", "3", "Required", "4", "Warning", "Valid"), "Valid"))))</f>
        <v/>
      </c>
      <c r="CK8" s="22">
        <f t="array" ref="CK8">_xlfn.MAP('6 - TV Stands &amp; Enterta'!B8:B507, '6 - TV Stands &amp; Enterta'!CK8:CK507, '6 - TV Stands &amp; Enterta-WUO_ERR'!CK8:CK507, _xlfn.LAMBDA(_xlpm.part, _xlpm.val, _xlpm.error, IF(_xlpm.part = "", "", IF(LEN(_xlpm.error), _xlfn.SWITCH(IFERROR(_xlfn.TEXTBEFORE(_xlpm.error,":"), ""), "1", "Error", "2", "Disabled", "3", "Required", "4", "Warning", "Valid"), "Valid"))))</f>
        <v/>
      </c>
      <c r="CL8" s="22">
        <f t="array" ref="CL8">_xlfn.MAP('6 - TV Stands &amp; Enterta'!B8:B507, '6 - TV Stands &amp; Enterta'!CL8:CL507, '6 - TV Stands &amp; Enterta-WUO_ERR'!CL8:CL507, _xlfn.LAMBDA(_xlpm.part, _xlpm.val, _xlpm.error, IF(_xlpm.part = "", "", IF(LEN(_xlpm.error), _xlfn.SWITCH(IFERROR(_xlfn.TEXTBEFORE(_xlpm.error,":"), ""), "1", "Error", "2", "Disabled", "3", "Required", "4", "Warning", "Valid"), "Valid"))))</f>
        <v/>
      </c>
      <c r="CM8" s="22">
        <f t="array" ref="CM8">_xlfn.MAP('6 - TV Stands &amp; Enterta'!B8:B507, '6 - TV Stands &amp; Enterta'!CM8:CM507, '6 - TV Stands &amp; Enterta-WUO_ERR'!CM8:CM507, _xlfn.LAMBDA(_xlpm.part, _xlpm.val, _xlpm.error, IF(_xlpm.part = "", "", IF(LEN(_xlpm.error), _xlfn.SWITCH(IFERROR(_xlfn.TEXTBEFORE(_xlpm.error,":"), ""), "1", "Error", "2", "Disabled", "3", "Required", "4", "Warning", "Valid"), "Valid"))))</f>
        <v/>
      </c>
      <c r="CN8" s="22">
        <f t="array" ref="CN8">_xlfn.MAP('6 - TV Stands &amp; Enterta'!B8:B507, '6 - TV Stands &amp; Enterta'!CN8:CN507, '6 - TV Stands &amp; Enterta-WUO_ERR'!CN8:CN507, _xlfn.LAMBDA(_xlpm.part, _xlpm.val, _xlpm.error, IF(_xlpm.part = "", "", IF(LEN(_xlpm.error), _xlfn.SWITCH(IFERROR(_xlfn.TEXTBEFORE(_xlpm.error,":"), ""), "1", "Error", "2", "Disabled", "3", "Required", "4", "Warning", "Valid"), "Valid"))))</f>
        <v/>
      </c>
      <c r="CO8" s="22">
        <f t="array" ref="CO8">_xlfn.MAP('6 - TV Stands &amp; Enterta'!B8:B507, '6 - TV Stands &amp; Enterta'!CO8:CO507, '6 - TV Stands &amp; Enterta-WUO_ERR'!CO8:CO507, _xlfn.LAMBDA(_xlpm.part, _xlpm.val, _xlpm.error, IF(_xlpm.part = "", "", IF(LEN(_xlpm.error), _xlfn.SWITCH(IFERROR(_xlfn.TEXTBEFORE(_xlpm.error,":"), ""), "1", "Error", "2", "Disabled", "3", "Required", "4", "Warning", "Valid"), "Valid"))))</f>
        <v/>
      </c>
      <c r="CP8" s="22">
        <f t="array" ref="CP8">_xlfn.MAP('6 - TV Stands &amp; Enterta'!B8:B507, '6 - TV Stands &amp; Enterta'!CP8:CP507, '6 - TV Stands &amp; Enterta-WUO_ERR'!CP8:CP507, _xlfn.LAMBDA(_xlpm.part, _xlpm.val, _xlpm.error, IF(_xlpm.part = "", "", IF(LEN(_xlpm.error), _xlfn.SWITCH(IFERROR(_xlfn.TEXTBEFORE(_xlpm.error,":"), ""), "1", "Error", "2", "Disabled", "3", "Required", "4", "Warning", "Valid"), "Valid"))))</f>
        <v/>
      </c>
      <c r="CQ8" s="22">
        <f t="array" ref="CQ8">_xlfn.MAP('6 - TV Stands &amp; Enterta'!B8:B507, '6 - TV Stands &amp; Enterta'!CQ8:CQ507, '6 - TV Stands &amp; Enterta-WUO_ERR'!CQ8:CQ507, _xlfn.LAMBDA(_xlpm.part, _xlpm.val, _xlpm.error, IF(_xlpm.part = "", "", IF(LEN(_xlpm.error), _xlfn.SWITCH(IFERROR(_xlfn.TEXTBEFORE(_xlpm.error,":"), ""), "1", "Error", "2", "Disabled", "3", "Required", "4", "Warning", "Valid"), "Valid"))))</f>
        <v/>
      </c>
      <c r="CR8" s="22">
        <f t="array" ref="CR8">_xlfn.MAP('6 - TV Stands &amp; Enterta'!B8:B507, '6 - TV Stands &amp; Enterta'!CR8:CR507, '6 - TV Stands &amp; Enterta-WUO_ERR'!CR8:CR507, _xlfn.LAMBDA(_xlpm.part, _xlpm.val, _xlpm.error, IF(_xlpm.part = "", "", IF(LEN(_xlpm.error), _xlfn.SWITCH(IFERROR(_xlfn.TEXTBEFORE(_xlpm.error,":"), ""), "1", "Error", "2", "Disabled", "3", "Required", "4", "Warning", "Valid"), "Valid"))))</f>
        <v/>
      </c>
      <c r="CS8" s="22">
        <f t="array" ref="CS8">_xlfn.MAP('6 - TV Stands &amp; Enterta'!B8:B507, '6 - TV Stands &amp; Enterta'!CS8:CS507, '6 - TV Stands &amp; Enterta-WUO_ERR'!CS8:CS507, _xlfn.LAMBDA(_xlpm.part, _xlpm.val, _xlpm.error, IF(_xlpm.part = "", "", IF(LEN(_xlpm.error), _xlfn.SWITCH(IFERROR(_xlfn.TEXTBEFORE(_xlpm.error,":"), ""), "1", "Error", "2", "Disabled", "3", "Required", "4", "Warning", "Valid"), "Valid"))))</f>
        <v/>
      </c>
      <c r="CT8" s="22">
        <f t="array" ref="CT8">_xlfn.MAP('6 - TV Stands &amp; Enterta'!B8:B507, '6 - TV Stands &amp; Enterta'!CT8:CT507, '6 - TV Stands &amp; Enterta-WUO_ERR'!CT8:CT507, _xlfn.LAMBDA(_xlpm.part, _xlpm.val, _xlpm.error, IF(_xlpm.part = "", "", IF(LEN(_xlpm.error), _xlfn.SWITCH(IFERROR(_xlfn.TEXTBEFORE(_xlpm.error,":"), ""), "1", "Error", "2", "Disabled", "3", "Required", "4", "Warning", "Valid"), "Valid"))))</f>
        <v/>
      </c>
      <c r="CU8" s="22">
        <f t="array" ref="CU8">_xlfn.MAP('6 - TV Stands &amp; Enterta'!B8:B507, '6 - TV Stands &amp; Enterta'!CU8:CU507, '6 - TV Stands &amp; Enterta-WUO_ERR'!CU8:CU507, _xlfn.LAMBDA(_xlpm.part, _xlpm.val, _xlpm.error, IF(_xlpm.part = "", "", IF(LEN(_xlpm.error), _xlfn.SWITCH(IFERROR(_xlfn.TEXTBEFORE(_xlpm.error,":"), ""), "1", "Error", "2", "Disabled", "3", "Required", "4", "Warning", "Valid"), "Valid"))))</f>
        <v/>
      </c>
      <c r="CV8" s="22">
        <f t="array" ref="CV8">_xlfn.MAP('6 - TV Stands &amp; Enterta'!B8:B507, '6 - TV Stands &amp; Enterta'!CV8:CV507, '6 - TV Stands &amp; Enterta-WUO_ERR'!CV8:CV507, _xlfn.LAMBDA(_xlpm.part, _xlpm.val, _xlpm.error, IF(_xlpm.part = "", "", IF(LEN(_xlpm.error), _xlfn.SWITCH(IFERROR(_xlfn.TEXTBEFORE(_xlpm.error,":"), ""), "1", "Error", "2", "Disabled", "3", "Required", "4", "Warning", "Valid"), "Valid"))))</f>
        <v/>
      </c>
      <c r="CW8" s="22">
        <f t="array" ref="CW8">_xlfn.MAP('6 - TV Stands &amp; Enterta'!B8:B507, '6 - TV Stands &amp; Enterta'!CW8:CW507, '6 - TV Stands &amp; Enterta-WUO_ERR'!CW8:CW507, _xlfn.LAMBDA(_xlpm.part, _xlpm.val, _xlpm.error, IF(_xlpm.part = "", "", IF(LEN(_xlpm.error), _xlfn.SWITCH(IFERROR(_xlfn.TEXTBEFORE(_xlpm.error,":"), ""), "1", "Error", "2", "Disabled", "3", "Required", "4", "Warning", "Valid"), "Valid"))))</f>
        <v/>
      </c>
      <c r="CX8" s="22">
        <f t="array" ref="CX8">_xlfn.MAP('6 - TV Stands &amp; Enterta'!B8:B507, '6 - TV Stands &amp; Enterta'!CX8:CX507, '6 - TV Stands &amp; Enterta-WUO_ERR'!CX8:CX507, _xlfn.LAMBDA(_xlpm.part, _xlpm.val, _xlpm.error, IF(_xlpm.part = "", "", IF(LEN(_xlpm.error), _xlfn.SWITCH(IFERROR(_xlfn.TEXTBEFORE(_xlpm.error,":"), ""), "1", "Error", "2", "Disabled", "3", "Required", "4", "Warning", "Valid"), "Valid"))))</f>
        <v/>
      </c>
      <c r="CY8" s="22">
        <f t="array" ref="CY8">_xlfn.MAP('6 - TV Stands &amp; Enterta'!B8:B507, '6 - TV Stands &amp; Enterta'!CY8:CY507, '6 - TV Stands &amp; Enterta-WUO_ERR'!CY8:CY507, _xlfn.LAMBDA(_xlpm.part, _xlpm.val, _xlpm.error, IF(_xlpm.part = "", "", IF(LEN(_xlpm.error), _xlfn.SWITCH(IFERROR(_xlfn.TEXTBEFORE(_xlpm.error,":"), ""), "1", "Error", "2", "Disabled", "3", "Required", "4", "Warning", "Valid"), "Valid"))))</f>
        <v/>
      </c>
      <c r="CZ8" s="22">
        <f t="array" ref="CZ8">_xlfn.MAP('6 - TV Stands &amp; Enterta'!B8:B507, '6 - TV Stands &amp; Enterta'!CZ8:CZ507, '6 - TV Stands &amp; Enterta-WUO_ERR'!CZ8:CZ507, _xlfn.LAMBDA(_xlpm.part, _xlpm.val, _xlpm.error, IF(_xlpm.part = "", "", IF(LEN(_xlpm.error), _xlfn.SWITCH(IFERROR(_xlfn.TEXTBEFORE(_xlpm.error,":"), ""), "1", "Error", "2", "Disabled", "3", "Required", "4", "Warning", "Valid"), "Valid"))))</f>
        <v/>
      </c>
      <c r="DA8" s="22">
        <f t="array" ref="DA8">_xlfn.MAP('6 - TV Stands &amp; Enterta'!B8:B507, '6 - TV Stands &amp; Enterta'!DA8:DA507, '6 - TV Stands &amp; Enterta-WUO_ERR'!DA8:DA507, _xlfn.LAMBDA(_xlpm.part, _xlpm.val, _xlpm.error, IF(_xlpm.part = "", "", IF(LEN(_xlpm.error), _xlfn.SWITCH(IFERROR(_xlfn.TEXTBEFORE(_xlpm.error,":"), ""), "1", "Error", "2", "Disabled", "3", "Required", "4", "Warning", "Valid"), "Valid"))))</f>
        <v/>
      </c>
      <c r="DB8" s="22">
        <f t="array" ref="DB8">_xlfn.MAP('6 - TV Stands &amp; Enterta'!B8:B507, '6 - TV Stands &amp; Enterta'!DB8:DB507, '6 - TV Stands &amp; Enterta-WUO_ERR'!DB8:DB507, _xlfn.LAMBDA(_xlpm.part, _xlpm.val, _xlpm.error, IF(_xlpm.part = "", "", IF(LEN(_xlpm.error), _xlfn.SWITCH(IFERROR(_xlfn.TEXTBEFORE(_xlpm.error,":"), ""), "1", "Error", "2", "Disabled", "3", "Required", "4", "Warning", "Valid"), "Valid"))))</f>
        <v/>
      </c>
      <c r="DC8" s="22">
        <f t="array" ref="DC8">_xlfn.MAP('6 - TV Stands &amp; Enterta'!B8:B507, '6 - TV Stands &amp; Enterta'!DC8:DC507, '6 - TV Stands &amp; Enterta-WUO_ERR'!DC8:DC507, _xlfn.LAMBDA(_xlpm.part, _xlpm.val, _xlpm.error, IF(_xlpm.part = "", "", IF(LEN(_xlpm.error), _xlfn.SWITCH(IFERROR(_xlfn.TEXTBEFORE(_xlpm.error,":"), ""), "1", "Error", "2", "Disabled", "3", "Required", "4", "Warning", "Valid"), "Valid"))))</f>
        <v/>
      </c>
      <c r="DD8" s="22">
        <f t="array" ref="DD8">_xlfn.MAP('6 - TV Stands &amp; Enterta'!B8:B507, '6 - TV Stands &amp; Enterta'!DD8:DD507, '6 - TV Stands &amp; Enterta-WUO_ERR'!DD8:DD507, _xlfn.LAMBDA(_xlpm.part, _xlpm.val, _xlpm.error, IF(_xlpm.part = "", "", IF(LEN(_xlpm.error), _xlfn.SWITCH(IFERROR(_xlfn.TEXTBEFORE(_xlpm.error,":"), ""), "1", "Error", "2", "Disabled", "3", "Required", "4", "Warning", "Valid"), "Valid"))))</f>
        <v/>
      </c>
      <c r="DE8" s="22">
        <f t="array" ref="DE8">_xlfn.MAP('6 - TV Stands &amp; Enterta'!B8:B507, '6 - TV Stands &amp; Enterta'!DE8:DE507, '6 - TV Stands &amp; Enterta-WUO_ERR'!DE8:DE507, _xlfn.LAMBDA(_xlpm.part, _xlpm.val, _xlpm.error, IF(_xlpm.part = "", "", IF(LEN(_xlpm.error), _xlfn.SWITCH(IFERROR(_xlfn.TEXTBEFORE(_xlpm.error,":"), ""), "1", "Error", "2", "Disabled", "3", "Required", "4", "Warning", "Valid"), "Valid"))))</f>
        <v/>
      </c>
      <c r="DF8" s="22">
        <f t="array" ref="DF8">_xlfn.MAP('6 - TV Stands &amp; Enterta'!B8:B507, '6 - TV Stands &amp; Enterta'!DF8:DF507, '6 - TV Stands &amp; Enterta-WUO_ERR'!DF8:DF507, _xlfn.LAMBDA(_xlpm.part, _xlpm.val, _xlpm.error, IF(_xlpm.part = "", "", IF(LEN(_xlpm.error), _xlfn.SWITCH(IFERROR(_xlfn.TEXTBEFORE(_xlpm.error,":"), ""), "1", "Error", "2", "Disabled", "3", "Required", "4", "Warning", "Valid"), "Valid"))))</f>
        <v/>
      </c>
      <c r="DG8" s="22">
        <f t="array" ref="DG8">_xlfn.MAP('6 - TV Stands &amp; Enterta'!B8:B507, '6 - TV Stands &amp; Enterta'!DG8:DG507, '6 - TV Stands &amp; Enterta-WUO_ERR'!DG8:DG507, _xlfn.LAMBDA(_xlpm.part, _xlpm.val, _xlpm.error, IF(_xlpm.part = "", "", IF(LEN(_xlpm.error), _xlfn.SWITCH(IFERROR(_xlfn.TEXTBEFORE(_xlpm.error,":"), ""), "1", "Error", "2", "Disabled", "3", "Required", "4", "Warning", "Valid"), "Valid"))))</f>
        <v/>
      </c>
      <c r="DH8" s="22">
        <f t="array" ref="DH8">_xlfn.MAP('6 - TV Stands &amp; Enterta'!B8:B507, '6 - TV Stands &amp; Enterta'!DH8:DH507, '6 - TV Stands &amp; Enterta-WUO_ERR'!DH8:DH507, _xlfn.LAMBDA(_xlpm.part, _xlpm.val, _xlpm.error, IF(_xlpm.part = "", "", IF(LEN(_xlpm.error), _xlfn.SWITCH(IFERROR(_xlfn.TEXTBEFORE(_xlpm.error,":"), ""), "1", "Error", "2", "Disabled", "3", "Required", "4", "Warning", "Valid"), "Valid"))))</f>
        <v/>
      </c>
      <c r="DI8" s="22">
        <f t="array" ref="DI8">_xlfn.MAP('6 - TV Stands &amp; Enterta'!B8:B507, '6 - TV Stands &amp; Enterta'!DI8:DI507, '6 - TV Stands &amp; Enterta-WUO_ERR'!DI8:DI507, _xlfn.LAMBDA(_xlpm.part, _xlpm.val, _xlpm.error, IF(_xlpm.part = "", "", IF(LEN(_xlpm.error), _xlfn.SWITCH(IFERROR(_xlfn.TEXTBEFORE(_xlpm.error,":"), ""), "1", "Error", "2", "Disabled", "3", "Required", "4", "Warning", "Valid"), "Valid"))))</f>
        <v/>
      </c>
      <c r="DJ8" s="22">
        <f t="array" ref="DJ8">_xlfn.MAP('6 - TV Stands &amp; Enterta'!B8:B507, '6 - TV Stands &amp; Enterta'!DJ8:DJ507, '6 - TV Stands &amp; Enterta-WUO_ERR'!DJ8:DJ507, _xlfn.LAMBDA(_xlpm.part, _xlpm.val, _xlpm.error, IF(_xlpm.part = "", "", IF(LEN(_xlpm.error), _xlfn.SWITCH(IFERROR(_xlfn.TEXTBEFORE(_xlpm.error,":"), ""), "1", "Error", "2", "Disabled", "3", "Required", "4", "Warning", "Valid"), "Valid"))))</f>
        <v/>
      </c>
      <c r="DK8" s="22">
        <f t="array" ref="DK8">_xlfn.MAP('6 - TV Stands &amp; Enterta'!B8:B507, '6 - TV Stands &amp; Enterta'!DK8:DK507, '6 - TV Stands &amp; Enterta-WUO_ERR'!DK8:DK507, _xlfn.LAMBDA(_xlpm.part, _xlpm.val, _xlpm.error, IF(_xlpm.part = "", "", IF(LEN(_xlpm.error), _xlfn.SWITCH(IFERROR(_xlfn.TEXTBEFORE(_xlpm.error,":"), ""), "1", "Error", "2", "Disabled", "3", "Required", "4", "Warning", "Valid"), "Valid"))))</f>
        <v/>
      </c>
      <c r="DL8" s="22">
        <f t="array" ref="DL8">_xlfn.MAP('6 - TV Stands &amp; Enterta'!B8:B507, '6 - TV Stands &amp; Enterta'!DL8:DL507, '6 - TV Stands &amp; Enterta-WUO_ERR'!DL8:DL507, _xlfn.LAMBDA(_xlpm.part, _xlpm.val, _xlpm.error, IF(_xlpm.part = "", "", IF(LEN(_xlpm.error), _xlfn.SWITCH(IFERROR(_xlfn.TEXTBEFORE(_xlpm.error,":"), ""), "1", "Error", "2", "Disabled", "3", "Required", "4", "Warning", "Valid"), "Valid"))))</f>
        <v/>
      </c>
      <c r="DM8" s="22">
        <f t="array" ref="DM8">_xlfn.MAP('6 - TV Stands &amp; Enterta'!B8:B507, '6 - TV Stands &amp; Enterta'!DM8:DM507, '6 - TV Stands &amp; Enterta-WUO_ERR'!DM8:DM507, _xlfn.LAMBDA(_xlpm.part, _xlpm.val, _xlpm.error, IF(_xlpm.part = "", "", IF(LEN(_xlpm.error), _xlfn.SWITCH(IFERROR(_xlfn.TEXTBEFORE(_xlpm.error,":"), ""), "1", "Error", "2", "Disabled", "3", "Required", "4", "Warning", "Valid"), "Valid"))))</f>
        <v/>
      </c>
      <c r="DN8" s="22">
        <f t="array" ref="DN8">_xlfn.MAP('6 - TV Stands &amp; Enterta'!B8:B507, '6 - TV Stands &amp; Enterta'!DN8:DN507, '6 - TV Stands &amp; Enterta-WUO_ERR'!DN8:DN507, _xlfn.LAMBDA(_xlpm.part, _xlpm.val, _xlpm.error, IF(_xlpm.part = "", "", IF(LEN(_xlpm.error), _xlfn.SWITCH(IFERROR(_xlfn.TEXTBEFORE(_xlpm.error,":"), ""), "1", "Error", "2", "Disabled", "3", "Required", "4", "Warning", "Valid"), "Valid"))))</f>
        <v/>
      </c>
      <c r="DO8" s="22">
        <f t="array" ref="DO8">_xlfn.MAP('6 - TV Stands &amp; Enterta'!B8:B507, '6 - TV Stands &amp; Enterta'!DO8:DO507, '6 - TV Stands &amp; Enterta-WUO_ERR'!DO8:DO507, _xlfn.LAMBDA(_xlpm.part, _xlpm.val, _xlpm.error, IF(_xlpm.part = "", "", IF(LEN(_xlpm.error), _xlfn.SWITCH(IFERROR(_xlfn.TEXTBEFORE(_xlpm.error,":"), ""), "1", "Error", "2", "Disabled", "3", "Required", "4", "Warning", "Valid"), "Valid"))))</f>
        <v/>
      </c>
      <c r="DP8" s="22">
        <f t="array" ref="DP8">_xlfn.MAP('6 - TV Stands &amp; Enterta'!B8:B507, '6 - TV Stands &amp; Enterta'!DP8:DP507, '6 - TV Stands &amp; Enterta-WUO_ERR'!DP8:DP507, _xlfn.LAMBDA(_xlpm.part, _xlpm.val, _xlpm.error, IF(_xlpm.part = "", "", IF(LEN(_xlpm.error), _xlfn.SWITCH(IFERROR(_xlfn.TEXTBEFORE(_xlpm.error,":"), ""), "1", "Error", "2", "Disabled", "3", "Required", "4", "Warning", "Valid"), "Valid"))))</f>
        <v/>
      </c>
      <c r="DQ8" s="22">
        <f t="array" ref="DQ8">_xlfn.MAP('6 - TV Stands &amp; Enterta'!B8:B507, '6 - TV Stands &amp; Enterta'!DQ8:DQ507, '6 - TV Stands &amp; Enterta-WUO_ERR'!DQ8:DQ507, _xlfn.LAMBDA(_xlpm.part, _xlpm.val, _xlpm.error, IF(_xlpm.part = "", "", IF(LEN(_xlpm.error), _xlfn.SWITCH(IFERROR(_xlfn.TEXTBEFORE(_xlpm.error,":"), ""), "1", "Error", "2", "Disabled", "3", "Required", "4", "Warning", "Valid"), "Valid"))))</f>
        <v/>
      </c>
      <c r="DR8" s="22">
        <f t="array" ref="DR8">_xlfn.MAP('6 - TV Stands &amp; Enterta'!B8:B507, '6 - TV Stands &amp; Enterta'!DR8:DR507, '6 - TV Stands &amp; Enterta-WUO_ERR'!DR8:DR507, _xlfn.LAMBDA(_xlpm.part, _xlpm.val, _xlpm.error, IF(_xlpm.part = "", "", IF(LEN(_xlpm.error), _xlfn.SWITCH(IFERROR(_xlfn.TEXTBEFORE(_xlpm.error,":"), ""), "1", "Error", "2", "Disabled", "3", "Required", "4", "Warning", "Valid"), "Valid"))))</f>
        <v/>
      </c>
      <c r="DS8" s="22">
        <f t="array" ref="DS8">_xlfn.MAP('6 - TV Stands &amp; Enterta'!B8:B507, '6 - TV Stands &amp; Enterta'!DS8:DS507, '6 - TV Stands &amp; Enterta-WUO_ERR'!DS8:DS507, _xlfn.LAMBDA(_xlpm.part, _xlpm.val, _xlpm.error, IF(_xlpm.part = "", "", IF(LEN(_xlpm.error), _xlfn.SWITCH(IFERROR(_xlfn.TEXTBEFORE(_xlpm.error,":"), ""), "1", "Error", "2", "Disabled", "3", "Required", "4", "Warning", "Valid"), "Valid"))))</f>
        <v/>
      </c>
      <c r="DT8" s="22">
        <f t="array" ref="DT8">_xlfn.MAP('6 - TV Stands &amp; Enterta'!B8:B507, '6 - TV Stands &amp; Enterta'!DT8:DT507, '6 - TV Stands &amp; Enterta-WUO_ERR'!DT8:DT507, _xlfn.LAMBDA(_xlpm.part, _xlpm.val, _xlpm.error, IF(_xlpm.part = "", "", IF(LEN(_xlpm.error), _xlfn.SWITCH(IFERROR(_xlfn.TEXTBEFORE(_xlpm.error,":"), ""), "1", "Error", "2", "Disabled", "3", "Required", "4", "Warning", "Valid"), "Valid"))))</f>
        <v/>
      </c>
      <c r="DU8" s="22">
        <f t="array" ref="DU8">_xlfn.MAP('6 - TV Stands &amp; Enterta'!B8:B507, '6 - TV Stands &amp; Enterta'!DU8:DU507, '6 - TV Stands &amp; Enterta-WUO_ERR'!DU8:DU507, _xlfn.LAMBDA(_xlpm.part, _xlpm.val, _xlpm.error, IF(_xlpm.part = "", "", IF(LEN(_xlpm.error), _xlfn.SWITCH(IFERROR(_xlfn.TEXTBEFORE(_xlpm.error,":"), ""), "1", "Error", "2", "Disabled", "3", "Required", "4", "Warning", "Valid"), "Valid"))))</f>
        <v/>
      </c>
      <c r="DV8" s="22">
        <f t="array" ref="DV8">_xlfn.MAP('6 - TV Stands &amp; Enterta'!B8:B507, '6 - TV Stands &amp; Enterta'!DV8:DV507, '6 - TV Stands &amp; Enterta-WUO_ERR'!DV8:DV507, _xlfn.LAMBDA(_xlpm.part, _xlpm.val, _xlpm.error, IF(_xlpm.part = "", "", IF(LEN(_xlpm.error), _xlfn.SWITCH(IFERROR(_xlfn.TEXTBEFORE(_xlpm.error,":"), ""), "1", "Error", "2", "Disabled", "3", "Required", "4", "Warning", "Valid"), "Valid"))))</f>
        <v/>
      </c>
      <c r="DW8" s="22">
        <f t="array" ref="DW8">_xlfn.MAP('6 - TV Stands &amp; Enterta'!B8:B507, '6 - TV Stands &amp; Enterta'!DW8:DW507, '6 - TV Stands &amp; Enterta-WUO_ERR'!DW8:DW507, _xlfn.LAMBDA(_xlpm.part, _xlpm.val, _xlpm.error, IF(_xlpm.part = "", "", IF(LEN(_xlpm.error), _xlfn.SWITCH(IFERROR(_xlfn.TEXTBEFORE(_xlpm.error,":"), ""), "1", "Error", "2", "Disabled", "3", "Required", "4", "Warning", "Valid"), "Valid"))))</f>
        <v/>
      </c>
      <c r="DX8" s="22">
        <f t="array" ref="DX8">_xlfn.MAP('6 - TV Stands &amp; Enterta'!B8:B507, '6 - TV Stands &amp; Enterta'!DX8:DX507, '6 - TV Stands &amp; Enterta-WUO_ERR'!DX8:DX507, _xlfn.LAMBDA(_xlpm.part, _xlpm.val, _xlpm.error, IF(_xlpm.part = "", "", IF(LEN(_xlpm.error), _xlfn.SWITCH(IFERROR(_xlfn.TEXTBEFORE(_xlpm.error,":"), ""), "1", "Error", "2", "Disabled", "3", "Required", "4", "Warning", "Valid"), "Valid"))))</f>
        <v/>
      </c>
      <c r="DY8" s="22">
        <f t="array" ref="DY8">_xlfn.MAP('6 - TV Stands &amp; Enterta'!B8:B507, '6 - TV Stands &amp; Enterta'!DY8:DY507, '6 - TV Stands &amp; Enterta-WUO_ERR'!DY8:DY507, _xlfn.LAMBDA(_xlpm.part, _xlpm.val, _xlpm.error, IF(_xlpm.part = "", "", IF(LEN(_xlpm.error), _xlfn.SWITCH(IFERROR(_xlfn.TEXTBEFORE(_xlpm.error,":"), ""), "1", "Error", "2", "Disabled", "3", "Required", "4", "Warning", "Valid"), "Valid"))))</f>
        <v/>
      </c>
      <c r="DZ8" s="22">
        <f t="array" ref="DZ8">_xlfn.MAP('6 - TV Stands &amp; Enterta'!B8:B507, '6 - TV Stands &amp; Enterta'!DZ8:DZ507, '6 - TV Stands &amp; Enterta-WUO_ERR'!DZ8:DZ507, _xlfn.LAMBDA(_xlpm.part, _xlpm.val, _xlpm.error, IF(_xlpm.part = "", "", IF(LEN(_xlpm.error), _xlfn.SWITCH(IFERROR(_xlfn.TEXTBEFORE(_xlpm.error,":"), ""), "1", "Error", "2", "Disabled", "3", "Required", "4", "Warning", "Valid"), "Valid"))))</f>
        <v/>
      </c>
      <c r="EA8" s="22">
        <f t="array" ref="EA8">_xlfn.MAP('6 - TV Stands &amp; Enterta'!B8:B507, '6 - TV Stands &amp; Enterta'!EA8:EA507, '6 - TV Stands &amp; Enterta-WUO_ERR'!EA8:EA507, _xlfn.LAMBDA(_xlpm.part, _xlpm.val, _xlpm.error, IF(_xlpm.part = "", "", IF(LEN(_xlpm.error), _xlfn.SWITCH(IFERROR(_xlfn.TEXTBEFORE(_xlpm.error,":"), ""), "1", "Error", "2", "Disabled", "3", "Required", "4", "Warning", "Valid"), "Valid"))))</f>
        <v/>
      </c>
      <c r="EB8" s="22">
        <f t="array" ref="EB8">_xlfn.MAP('6 - TV Stands &amp; Enterta'!B8:B507, '6 - TV Stands &amp; Enterta'!EB8:EB507, '6 - TV Stands &amp; Enterta-WUO_ERR'!EB8:EB507, _xlfn.LAMBDA(_xlpm.part, _xlpm.val, _xlpm.error, IF(_xlpm.part = "", "", IF(LEN(_xlpm.error), _xlfn.SWITCH(IFERROR(_xlfn.TEXTBEFORE(_xlpm.error,":"), ""), "1", "Error", "2", "Disabled", "3", "Required", "4", "Warning", "Valid"), "Valid"))))</f>
        <v/>
      </c>
      <c r="EC8" s="22">
        <f t="array" ref="EC8">_xlfn.MAP('6 - TV Stands &amp; Enterta'!B8:B507, '6 - TV Stands &amp; Enterta'!EC8:EC507, '6 - TV Stands &amp; Enterta-WUO_ERR'!EC8:EC507, _xlfn.LAMBDA(_xlpm.part, _xlpm.val, _xlpm.error, IF(_xlpm.part = "", "", IF(LEN(_xlpm.error), _xlfn.SWITCH(IFERROR(_xlfn.TEXTBEFORE(_xlpm.error,":"), ""), "1", "Error", "2", "Disabled", "3", "Required", "4", "Warning", "Valid"), "Valid"))))</f>
        <v/>
      </c>
      <c r="ED8" s="22">
        <f t="array" ref="ED8">_xlfn.MAP('6 - TV Stands &amp; Enterta'!B8:B507, '6 - TV Stands &amp; Enterta'!ED8:ED507, '6 - TV Stands &amp; Enterta-WUO_ERR'!ED8:ED507, _xlfn.LAMBDA(_xlpm.part, _xlpm.val, _xlpm.error, IF(_xlpm.part = "", "", IF(LEN(_xlpm.error), _xlfn.SWITCH(IFERROR(_xlfn.TEXTBEFORE(_xlpm.error,":"), ""), "1", "Error", "2", "Disabled", "3", "Required", "4", "Warning", "Valid"), "Valid"))))</f>
        <v/>
      </c>
      <c r="EE8" s="22">
        <f t="array" ref="EE8">_xlfn.MAP('6 - TV Stands &amp; Enterta'!B8:B507, '6 - TV Stands &amp; Enterta'!EE8:EE507, '6 - TV Stands &amp; Enterta-WUO_ERR'!EE8:EE507, _xlfn.LAMBDA(_xlpm.part, _xlpm.val, _xlpm.error, IF(_xlpm.part = "", "", IF(LEN(_xlpm.error), _xlfn.SWITCH(IFERROR(_xlfn.TEXTBEFORE(_xlpm.error,":"), ""), "1", "Error", "2", "Disabled", "3", "Required", "4", "Warning", "Valid"), "Valid"))))</f>
        <v/>
      </c>
      <c r="EF8" s="22">
        <f t="array" ref="EF8">_xlfn.MAP('6 - TV Stands &amp; Enterta'!B8:B507, '6 - TV Stands &amp; Enterta'!EF8:EF507, '6 - TV Stands &amp; Enterta-WUO_ERR'!EF8:EF507, _xlfn.LAMBDA(_xlpm.part, _xlpm.val, _xlpm.error, IF(_xlpm.part = "", "", IF(LEN(_xlpm.error), _xlfn.SWITCH(IFERROR(_xlfn.TEXTBEFORE(_xlpm.error,":"), ""), "1", "Error", "2", "Disabled", "3", "Required", "4", "Warning", "Valid"), "Valid"))))</f>
        <v/>
      </c>
      <c r="EG8" s="22">
        <f t="array" ref="EG8">_xlfn.MAP('6 - TV Stands &amp; Enterta'!B8:B507, '6 - TV Stands &amp; Enterta'!EG8:EG507, '6 - TV Stands &amp; Enterta-WUO_ERR'!EG8:EG507, _xlfn.LAMBDA(_xlpm.part, _xlpm.val, _xlpm.error, IF(_xlpm.part = "", "", IF(LEN(_xlpm.error), _xlfn.SWITCH(IFERROR(_xlfn.TEXTBEFORE(_xlpm.error,":"), ""), "1", "Error", "2", "Disabled", "3", "Required", "4", "Warning", "Valid"), "Valid"))))</f>
        <v/>
      </c>
      <c r="EH8" s="22">
        <f t="array" ref="EH8">_xlfn.MAP('6 - TV Stands &amp; Enterta'!B8:B507, '6 - TV Stands &amp; Enterta'!EH8:EH507, '6 - TV Stands &amp; Enterta-WUO_ERR'!EH8:EH507, _xlfn.LAMBDA(_xlpm.part, _xlpm.val, _xlpm.error, IF(_xlpm.part = "", "", IF(LEN(_xlpm.error), _xlfn.SWITCH(IFERROR(_xlfn.TEXTBEFORE(_xlpm.error,":"), ""), "1", "Error", "2", "Disabled", "3", "Required", "4", "Warning", "Valid"), "Valid"))))</f>
        <v/>
      </c>
      <c r="EI8" s="22">
        <f t="array" ref="EI8">_xlfn.MAP('6 - TV Stands &amp; Enterta'!B8:B507, '6 - TV Stands &amp; Enterta'!EI8:EI507, '6 - TV Stands &amp; Enterta-WUO_ERR'!EI8:EI507, _xlfn.LAMBDA(_xlpm.part, _xlpm.val, _xlpm.error, IF(_xlpm.part = "", "", IF(LEN(_xlpm.error), _xlfn.SWITCH(IFERROR(_xlfn.TEXTBEFORE(_xlpm.error,":"), ""), "1", "Error", "2", "Disabled", "3", "Required", "4", "Warning", "Valid"), "Valid"))))</f>
        <v/>
      </c>
      <c r="EJ8" s="22">
        <f t="array" ref="EJ8">_xlfn.MAP('6 - TV Stands &amp; Enterta'!B8:B507, '6 - TV Stands &amp; Enterta'!EJ8:EJ507, '6 - TV Stands &amp; Enterta-WUO_ERR'!EJ8:EJ507, _xlfn.LAMBDA(_xlpm.part, _xlpm.val, _xlpm.error, IF(_xlpm.part = "", "", IF(LEN(_xlpm.error), _xlfn.SWITCH(IFERROR(_xlfn.TEXTBEFORE(_xlpm.error,":"), ""), "1", "Error", "2", "Disabled", "3", "Required", "4", "Warning", "Valid"), "Valid"))))</f>
        <v/>
      </c>
      <c r="EK8" s="22">
        <f t="array" ref="EK8">_xlfn.MAP('6 - TV Stands &amp; Enterta'!B8:B507, '6 - TV Stands &amp; Enterta'!EK8:EK507, '6 - TV Stands &amp; Enterta-WUO_ERR'!EK8:EK507, _xlfn.LAMBDA(_xlpm.part, _xlpm.val, _xlpm.error, IF(_xlpm.part = "", "", IF(LEN(_xlpm.error), _xlfn.SWITCH(IFERROR(_xlfn.TEXTBEFORE(_xlpm.error,":"), ""), "1", "Error", "2", "Disabled", "3", "Required", "4", "Warning", "Valid"), "Valid"))))</f>
        <v/>
      </c>
      <c r="EL8" s="22">
        <f t="array" ref="EL8">_xlfn.MAP('6 - TV Stands &amp; Enterta'!B8:B507, '6 - TV Stands &amp; Enterta'!EL8:EL507, '6 - TV Stands &amp; Enterta-WUO_ERR'!EL8:EL507, _xlfn.LAMBDA(_xlpm.part, _xlpm.val, _xlpm.error, IF(_xlpm.part = "", "", IF(LEN(_xlpm.error), _xlfn.SWITCH(IFERROR(_xlfn.TEXTBEFORE(_xlpm.error,":"), ""), "1", "Error", "2", "Disabled", "3", "Required", "4", "Warning", "Valid"), "Valid"))))</f>
        <v/>
      </c>
      <c r="EM8" s="22">
        <f t="array" ref="EM8">_xlfn.MAP('6 - TV Stands &amp; Enterta'!B8:B507, '6 - TV Stands &amp; Enterta'!EM8:EM507, '6 - TV Stands &amp; Enterta-WUO_ERR'!EM8:EM507, _xlfn.LAMBDA(_xlpm.part, _xlpm.val, _xlpm.error, IF(_xlpm.part = "", "", IF(LEN(_xlpm.error), _xlfn.SWITCH(IFERROR(_xlfn.TEXTBEFORE(_xlpm.error,":"), ""), "1", "Error", "2", "Disabled", "3", "Required", "4", "Warning", "Valid"), "Valid"))))</f>
        <v/>
      </c>
      <c r="EN8" s="22">
        <f t="array" ref="EN8">_xlfn.MAP('6 - TV Stands &amp; Enterta'!B8:B507, '6 - TV Stands &amp; Enterta'!EN8:EN507, '6 - TV Stands &amp; Enterta-WUO_ERR'!EN8:EN507, _xlfn.LAMBDA(_xlpm.part, _xlpm.val, _xlpm.error, IF(_xlpm.part = "", "", IF(LEN(_xlpm.error), _xlfn.SWITCH(IFERROR(_xlfn.TEXTBEFORE(_xlpm.error,":"), ""), "1", "Error", "2", "Disabled", "3", "Required", "4", "Warning", "Valid"), "Valid"))))</f>
        <v/>
      </c>
      <c r="EO8" s="22">
        <f t="array" ref="EO8">_xlfn.MAP('6 - TV Stands &amp; Enterta'!B8:B507, '6 - TV Stands &amp; Enterta'!EO8:EO507, '6 - TV Stands &amp; Enterta-WUO_ERR'!EO8:EO507, _xlfn.LAMBDA(_xlpm.part, _xlpm.val, _xlpm.error, IF(_xlpm.part = "", "", IF(LEN(_xlpm.error), _xlfn.SWITCH(IFERROR(_xlfn.TEXTBEFORE(_xlpm.error,":"), ""), "1", "Error", "2", "Disabled", "3", "Required", "4", "Warning", "Valid"), "Valid"))))</f>
        <v/>
      </c>
      <c r="EP8" s="22">
        <f t="array" ref="EP8">_xlfn.MAP('6 - TV Stands &amp; Enterta'!B8:B507, '6 - TV Stands &amp; Enterta'!EP8:EP507, '6 - TV Stands &amp; Enterta-WUO_ERR'!EP8:EP507, _xlfn.LAMBDA(_xlpm.part, _xlpm.val, _xlpm.error, IF(_xlpm.part = "", "", IF(LEN(_xlpm.error), _xlfn.SWITCH(IFERROR(_xlfn.TEXTBEFORE(_xlpm.error,":"), ""), "1", "Error", "2", "Disabled", "3", "Required", "4", "Warning", "Valid"), "Valid"))))</f>
        <v/>
      </c>
      <c r="EQ8" s="22">
        <f t="array" ref="EQ8">_xlfn.MAP('6 - TV Stands &amp; Enterta'!B8:B507, '6 - TV Stands &amp; Enterta'!EQ8:EQ507, '6 - TV Stands &amp; Enterta-WUO_ERR'!EQ8:EQ507, _xlfn.LAMBDA(_xlpm.part, _xlpm.val, _xlpm.error, IF(_xlpm.part = "", "", IF(LEN(_xlpm.error), _xlfn.SWITCH(IFERROR(_xlfn.TEXTBEFORE(_xlpm.error,":"), ""), "1", "Error", "2", "Disabled", "3", "Required", "4", "Warning", "Valid"), "Valid"))))</f>
        <v/>
      </c>
      <c r="ER8" s="22">
        <f t="array" ref="ER8">_xlfn.MAP('6 - TV Stands &amp; Enterta'!B8:B507, '6 - TV Stands &amp; Enterta'!ER8:ER507, '6 - TV Stands &amp; Enterta-WUO_ERR'!ER8:ER507, _xlfn.LAMBDA(_xlpm.part, _xlpm.val, _xlpm.error, IF(_xlpm.part = "", "", IF(LEN(_xlpm.error), _xlfn.SWITCH(IFERROR(_xlfn.TEXTBEFORE(_xlpm.error,":"), ""), "1", "Error", "2", "Disabled", "3", "Required", "4", "Warning", "Valid"), "Valid"))))</f>
        <v/>
      </c>
      <c r="ES8" s="22">
        <f t="array" ref="ES8">_xlfn.MAP('6 - TV Stands &amp; Enterta'!B8:B507, '6 - TV Stands &amp; Enterta'!ES8:ES507, '6 - TV Stands &amp; Enterta-WUO_ERR'!ES8:ES507, _xlfn.LAMBDA(_xlpm.part, _xlpm.val, _xlpm.error, IF(_xlpm.part = "", "", IF(LEN(_xlpm.error), _xlfn.SWITCH(IFERROR(_xlfn.TEXTBEFORE(_xlpm.error,":"), ""), "1", "Error", "2", "Disabled", "3", "Required", "4", "Warning", "Valid"), "Valid"))))</f>
        <v/>
      </c>
      <c r="ET8" s="22">
        <f t="array" ref="ET8">_xlfn.MAP('6 - TV Stands &amp; Enterta'!B8:B507, '6 - TV Stands &amp; Enterta'!ET8:ET507, '6 - TV Stands &amp; Enterta-WUO_ERR'!ET8:ET507, _xlfn.LAMBDA(_xlpm.part, _xlpm.val, _xlpm.error, IF(_xlpm.part = "", "", IF(LEN(_xlpm.error), _xlfn.SWITCH(IFERROR(_xlfn.TEXTBEFORE(_xlpm.error,":"), ""), "1", "Error", "2", "Disabled", "3", "Required", "4", "Warning", "Valid"), "Valid"))))</f>
        <v/>
      </c>
      <c r="EU8" s="22">
        <f t="array" ref="EU8">_xlfn.MAP('6 - TV Stands &amp; Enterta'!B8:B507, '6 - TV Stands &amp; Enterta'!EU8:EU507, '6 - TV Stands &amp; Enterta-WUO_ERR'!EU8:EU507, _xlfn.LAMBDA(_xlpm.part, _xlpm.val, _xlpm.error, IF(_xlpm.part = "", "", IF(LEN(_xlpm.error), _xlfn.SWITCH(IFERROR(_xlfn.TEXTBEFORE(_xlpm.error,":"), ""), "1", "Error", "2", "Disabled", "3", "Required", "4", "Warning", "Valid"), "Valid"))))</f>
        <v/>
      </c>
      <c r="EV8" s="22">
        <f t="array" ref="EV8">_xlfn.MAP('6 - TV Stands &amp; Enterta'!B8:B507, '6 - TV Stands &amp; Enterta'!EV8:EV507, '6 - TV Stands &amp; Enterta-WUO_ERR'!EV8:EV507, _xlfn.LAMBDA(_xlpm.part, _xlpm.val, _xlpm.error, IF(_xlpm.part = "", "", IF(LEN(_xlpm.error), _xlfn.SWITCH(IFERROR(_xlfn.TEXTBEFORE(_xlpm.error,":"), ""), "1", "Error", "2", "Disabled", "3", "Required", "4", "Warning", "Valid"), "Valid"))))</f>
        <v/>
      </c>
      <c r="EW8" s="22">
        <f t="array" ref="EW8">_xlfn.MAP('6 - TV Stands &amp; Enterta'!B8:B507, '6 - TV Stands &amp; Enterta'!EW8:EW507, '6 - TV Stands &amp; Enterta-WUO_ERR'!EW8:EW507, _xlfn.LAMBDA(_xlpm.part, _xlpm.val, _xlpm.error, IF(_xlpm.part = "", "", IF(LEN(_xlpm.error), _xlfn.SWITCH(IFERROR(_xlfn.TEXTBEFORE(_xlpm.error,":"), ""), "1", "Error", "2", "Disabled", "3", "Required", "4", "Warning", "Valid"), "Valid"))))</f>
        <v/>
      </c>
      <c r="EX8" s="22">
        <f t="array" ref="EX8">_xlfn.MAP('6 - TV Stands &amp; Enterta'!B8:B507, '6 - TV Stands &amp; Enterta'!EX8:EX507, '6 - TV Stands &amp; Enterta-WUO_ERR'!EX8:EX507, _xlfn.LAMBDA(_xlpm.part, _xlpm.val, _xlpm.error, IF(_xlpm.part = "", "", IF(LEN(_xlpm.error), _xlfn.SWITCH(IFERROR(_xlfn.TEXTBEFORE(_xlpm.error,":"), ""), "1", "Error", "2", "Disabled", "3", "Required", "4", "Warning", "Valid"), "Valid"))))</f>
        <v/>
      </c>
      <c r="EY8" s="22">
        <f t="array" ref="EY8">_xlfn.MAP('6 - TV Stands &amp; Enterta'!B8:B507, '6 - TV Stands &amp; Enterta'!EY8:EY507, '6 - TV Stands &amp; Enterta-WUO_ERR'!EY8:EY507, _xlfn.LAMBDA(_xlpm.part, _xlpm.val, _xlpm.error, IF(_xlpm.part = "", "", IF(LEN(_xlpm.error), _xlfn.SWITCH(IFERROR(_xlfn.TEXTBEFORE(_xlpm.error,":"), ""), "1", "Error", "2", "Disabled", "3", "Required", "4", "Warning", "Valid"), "Valid"))))</f>
        <v/>
      </c>
      <c r="EZ8" s="22">
        <f t="array" ref="EZ8">_xlfn.MAP('6 - TV Stands &amp; Enterta'!B8:B507, '6 - TV Stands &amp; Enterta'!EZ8:EZ507, '6 - TV Stands &amp; Enterta-WUO_ERR'!EZ8:EZ507, _xlfn.LAMBDA(_xlpm.part, _xlpm.val, _xlpm.error, IF(_xlpm.part = "", "", IF(LEN(_xlpm.error), _xlfn.SWITCH(IFERROR(_xlfn.TEXTBEFORE(_xlpm.error,":"), ""), "1", "Error", "2", "Disabled", "3", "Required", "4", "Warning", "Valid"), "Valid"))))</f>
        <v/>
      </c>
      <c r="FA8" s="22">
        <f t="array" ref="FA8">_xlfn.MAP('6 - TV Stands &amp; Enterta'!B8:B507, '6 - TV Stands &amp; Enterta'!FA8:FA507, '6 - TV Stands &amp; Enterta-WUO_ERR'!FA8:FA507, _xlfn.LAMBDA(_xlpm.part, _xlpm.val, _xlpm.error, IF(_xlpm.part = "", "", IF(LEN(_xlpm.error), _xlfn.SWITCH(IFERROR(_xlfn.TEXTBEFORE(_xlpm.error,":"), ""), "1", "Error", "2", "Disabled", "3", "Required", "4", "Warning", "Valid"), "Valid"))))</f>
        <v/>
      </c>
      <c r="FB8" s="22">
        <f t="array" ref="FB8">_xlfn.MAP('6 - TV Stands &amp; Enterta'!B8:B507, '6 - TV Stands &amp; Enterta'!FB8:FB507, '6 - TV Stands &amp; Enterta-WUO_ERR'!FB8:FB507,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9">
    <mergeCell ref="AL2:AO2"/>
    <mergeCell ref="AP2:AS2"/>
    <mergeCell ref="U2:Z2"/>
    <mergeCell ref="R2:T2"/>
    <mergeCell ref="B2:I2"/>
    <mergeCell ref="AA2:AK2"/>
    <mergeCell ref="AT2:BN2"/>
    <mergeCell ref="BO2:FB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FP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s="39">
        <f>IF('10 - Office Chairs'!B8 = "", "", IF('10 - Office Chairs-WUO_ERR'!A8 = "", "Validated", HYPERLINK("#" &amp; ADDRESS(8, '10 - Office Chairs-WUO_TRK'!A8),_xlfn.TEXTAFTER('10 - Office Chairs-WUO_ERR'!A8, ":"))))</f>
        <v/>
      </c>
    </row>
    <row r="9">
      <c r="A9" s="39">
        <f>IF('10 - Office Chairs'!B9 = "", "", IF('10 - Office Chairs-WUO_ERR'!A9 = "", "Validated", HYPERLINK("#" &amp; ADDRESS(9, '10 - Office Chairs-WUO_TRK'!A9),_xlfn.TEXTAFTER('10 - Office Chairs-WUO_ERR'!A9, ":"))))</f>
        <v/>
      </c>
    </row>
    <row r="10">
      <c r="A10" s="39">
        <f>IF('10 - Office Chairs'!B10 = "", "", IF('10 - Office Chairs-WUO_ERR'!A10 = "", "Validated", HYPERLINK("#" &amp; ADDRESS(10, '10 - Office Chairs-WUO_TRK'!A10),_xlfn.TEXTAFTER('10 - Office Chairs-WUO_ERR'!A10, ":"))))</f>
        <v/>
      </c>
    </row>
    <row r="11">
      <c r="A11" s="39">
        <f>IF('10 - Office Chairs'!B11 = "", "", IF('10 - Office Chairs-WUO_ERR'!A11 = "", "Validated", HYPERLINK("#" &amp; ADDRESS(11, '10 - Office Chairs-WUO_TRK'!A11),_xlfn.TEXTAFTER('10 - Office Chairs-WUO_ERR'!A11, ":"))))</f>
        <v/>
      </c>
    </row>
    <row r="12">
      <c r="A12" s="39">
        <f>IF('10 - Office Chairs'!B12 = "", "", IF('10 - Office Chairs-WUO_ERR'!A12 = "", "Validated", HYPERLINK("#" &amp; ADDRESS(12, '10 - Office Chairs-WUO_TRK'!A12),_xlfn.TEXTAFTER('10 - Office Chairs-WUO_ERR'!A12, ":"))))</f>
        <v/>
      </c>
    </row>
    <row r="13">
      <c r="A13" s="39">
        <f>IF('10 - Office Chairs'!B13 = "", "", IF('10 - Office Chairs-WUO_ERR'!A13 = "", "Validated", HYPERLINK("#" &amp; ADDRESS(13, '10 - Office Chairs-WUO_TRK'!A13),_xlfn.TEXTAFTER('10 - Office Chairs-WUO_ERR'!A13, ":"))))</f>
        <v/>
      </c>
    </row>
    <row r="14">
      <c r="A14" s="39">
        <f>IF('10 - Office Chairs'!B14 = "", "", IF('10 - Office Chairs-WUO_ERR'!A14 = "", "Validated", HYPERLINK("#" &amp; ADDRESS(14, '10 - Office Chairs-WUO_TRK'!A14),_xlfn.TEXTAFTER('10 - Office Chairs-WUO_ERR'!A14, ":"))))</f>
        <v/>
      </c>
    </row>
    <row r="15">
      <c r="A15" s="39">
        <f>IF('10 - Office Chairs'!B15 = "", "", IF('10 - Office Chairs-WUO_ERR'!A15 = "", "Validated", HYPERLINK("#" &amp; ADDRESS(15, '10 - Office Chairs-WUO_TRK'!A15),_xlfn.TEXTAFTER('10 - Office Chairs-WUO_ERR'!A15, ":"))))</f>
        <v/>
      </c>
    </row>
    <row r="16">
      <c r="A16" s="39">
        <f>IF('10 - Office Chairs'!B16 = "", "", IF('10 - Office Chairs-WUO_ERR'!A16 = "", "Validated", HYPERLINK("#" &amp; ADDRESS(16, '10 - Office Chairs-WUO_TRK'!A16),_xlfn.TEXTAFTER('10 - Office Chairs-WUO_ERR'!A16, ":"))))</f>
        <v/>
      </c>
    </row>
    <row r="17">
      <c r="A17" s="39">
        <f>IF('10 - Office Chairs'!B17 = "", "", IF('10 - Office Chairs-WUO_ERR'!A17 = "", "Validated", HYPERLINK("#" &amp; ADDRESS(17, '10 - Office Chairs-WUO_TRK'!A17),_xlfn.TEXTAFTER('10 - Office Chairs-WUO_ERR'!A17, ":"))))</f>
        <v/>
      </c>
    </row>
    <row r="18">
      <c r="A18" s="39">
        <f>IF('10 - Office Chairs'!B18 = "", "", IF('10 - Office Chairs-WUO_ERR'!A18 = "", "Validated", HYPERLINK("#" &amp; ADDRESS(18, '10 - Office Chairs-WUO_TRK'!A18),_xlfn.TEXTAFTER('10 - Office Chairs-WUO_ERR'!A18, ":"))))</f>
        <v/>
      </c>
    </row>
    <row r="19">
      <c r="A19" s="39">
        <f>IF('10 - Office Chairs'!B19 = "", "", IF('10 - Office Chairs-WUO_ERR'!A19 = "", "Validated", HYPERLINK("#" &amp; ADDRESS(19, '10 - Office Chairs-WUO_TRK'!A19),_xlfn.TEXTAFTER('10 - Office Chairs-WUO_ERR'!A19, ":"))))</f>
        <v/>
      </c>
    </row>
    <row r="20">
      <c r="A20" s="39">
        <f>IF('10 - Office Chairs'!B20 = "", "", IF('10 - Office Chairs-WUO_ERR'!A20 = "", "Validated", HYPERLINK("#" &amp; ADDRESS(20, '10 - Office Chairs-WUO_TRK'!A20),_xlfn.TEXTAFTER('10 - Office Chairs-WUO_ERR'!A20, ":"))))</f>
        <v/>
      </c>
    </row>
    <row r="21">
      <c r="A21" s="39">
        <f>IF('10 - Office Chairs'!B21 = "", "", IF('10 - Office Chairs-WUO_ERR'!A21 = "", "Validated", HYPERLINK("#" &amp; ADDRESS(21, '10 - Office Chairs-WUO_TRK'!A21),_xlfn.TEXTAFTER('10 - Office Chairs-WUO_ERR'!A21, ":"))))</f>
        <v/>
      </c>
    </row>
    <row r="22">
      <c r="A22" s="39">
        <f>IF('10 - Office Chairs'!B22 = "", "", IF('10 - Office Chairs-WUO_ERR'!A22 = "", "Validated", HYPERLINK("#" &amp; ADDRESS(22, '10 - Office Chairs-WUO_TRK'!A22),_xlfn.TEXTAFTER('10 - Office Chairs-WUO_ERR'!A22, ":"))))</f>
        <v/>
      </c>
    </row>
    <row r="23">
      <c r="A23" s="39">
        <f>IF('10 - Office Chairs'!B23 = "", "", IF('10 - Office Chairs-WUO_ERR'!A23 = "", "Validated", HYPERLINK("#" &amp; ADDRESS(23, '10 - Office Chairs-WUO_TRK'!A23),_xlfn.TEXTAFTER('10 - Office Chairs-WUO_ERR'!A23, ":"))))</f>
        <v/>
      </c>
    </row>
    <row r="24">
      <c r="A24" s="39">
        <f>IF('10 - Office Chairs'!B24 = "", "", IF('10 - Office Chairs-WUO_ERR'!A24 = "", "Validated", HYPERLINK("#" &amp; ADDRESS(24, '10 - Office Chairs-WUO_TRK'!A24),_xlfn.TEXTAFTER('10 - Office Chairs-WUO_ERR'!A24, ":"))))</f>
        <v/>
      </c>
    </row>
    <row r="25">
      <c r="A25" s="39">
        <f>IF('10 - Office Chairs'!B25 = "", "", IF('10 - Office Chairs-WUO_ERR'!A25 = "", "Validated", HYPERLINK("#" &amp; ADDRESS(25, '10 - Office Chairs-WUO_TRK'!A25),_xlfn.TEXTAFTER('10 - Office Chairs-WUO_ERR'!A25, ":"))))</f>
        <v/>
      </c>
    </row>
    <row r="26">
      <c r="A26" s="39">
        <f>IF('10 - Office Chairs'!B26 = "", "", IF('10 - Office Chairs-WUO_ERR'!A26 = "", "Validated", HYPERLINK("#" &amp; ADDRESS(26, '10 - Office Chairs-WUO_TRK'!A26),_xlfn.TEXTAFTER('10 - Office Chairs-WUO_ERR'!A26, ":"))))</f>
        <v/>
      </c>
    </row>
    <row r="27">
      <c r="A27" s="39">
        <f>IF('10 - Office Chairs'!B27 = "", "", IF('10 - Office Chairs-WUO_ERR'!A27 = "", "Validated", HYPERLINK("#" &amp; ADDRESS(27, '10 - Office Chairs-WUO_TRK'!A27),_xlfn.TEXTAFTER('10 - Office Chairs-WUO_ERR'!A27, ":"))))</f>
        <v/>
      </c>
    </row>
    <row r="28">
      <c r="A28" s="39">
        <f>IF('10 - Office Chairs'!B28 = "", "", IF('10 - Office Chairs-WUO_ERR'!A28 = "", "Validated", HYPERLINK("#" &amp; ADDRESS(28, '10 - Office Chairs-WUO_TRK'!A28),_xlfn.TEXTAFTER('10 - Office Chairs-WUO_ERR'!A28, ":"))))</f>
        <v/>
      </c>
    </row>
    <row r="29">
      <c r="A29" s="39">
        <f>IF('10 - Office Chairs'!B29 = "", "", IF('10 - Office Chairs-WUO_ERR'!A29 = "", "Validated", HYPERLINK("#" &amp; ADDRESS(29, '10 - Office Chairs-WUO_TRK'!A29),_xlfn.TEXTAFTER('10 - Office Chairs-WUO_ERR'!A29, ":"))))</f>
        <v/>
      </c>
    </row>
    <row r="30">
      <c r="A30" s="39">
        <f>IF('10 - Office Chairs'!B30 = "", "", IF('10 - Office Chairs-WUO_ERR'!A30 = "", "Validated", HYPERLINK("#" &amp; ADDRESS(30, '10 - Office Chairs-WUO_TRK'!A30),_xlfn.TEXTAFTER('10 - Office Chairs-WUO_ERR'!A30, ":"))))</f>
        <v/>
      </c>
    </row>
    <row r="31">
      <c r="A31" s="39">
        <f>IF('10 - Office Chairs'!B31 = "", "", IF('10 - Office Chairs-WUO_ERR'!A31 = "", "Validated", HYPERLINK("#" &amp; ADDRESS(31, '10 - Office Chairs-WUO_TRK'!A31),_xlfn.TEXTAFTER('10 - Office Chairs-WUO_ERR'!A31, ":"))))</f>
        <v/>
      </c>
    </row>
    <row r="32">
      <c r="A32" s="39">
        <f>IF('10 - Office Chairs'!B32 = "", "", IF('10 - Office Chairs-WUO_ERR'!A32 = "", "Validated", HYPERLINK("#" &amp; ADDRESS(32, '10 - Office Chairs-WUO_TRK'!A32),_xlfn.TEXTAFTER('10 - Office Chairs-WUO_ERR'!A32, ":"))))</f>
        <v/>
      </c>
    </row>
    <row r="33">
      <c r="A33" s="39">
        <f>IF('10 - Office Chairs'!B33 = "", "", IF('10 - Office Chairs-WUO_ERR'!A33 = "", "Validated", HYPERLINK("#" &amp; ADDRESS(33, '10 - Office Chairs-WUO_TRK'!A33),_xlfn.TEXTAFTER('10 - Office Chairs-WUO_ERR'!A33, ":"))))</f>
        <v/>
      </c>
    </row>
    <row r="34">
      <c r="A34" s="39">
        <f>IF('10 - Office Chairs'!B34 = "", "", IF('10 - Office Chairs-WUO_ERR'!A34 = "", "Validated", HYPERLINK("#" &amp; ADDRESS(34, '10 - Office Chairs-WUO_TRK'!A34),_xlfn.TEXTAFTER('10 - Office Chairs-WUO_ERR'!A34, ":"))))</f>
        <v/>
      </c>
    </row>
    <row r="35">
      <c r="A35" s="39">
        <f>IF('10 - Office Chairs'!B35 = "", "", IF('10 - Office Chairs-WUO_ERR'!A35 = "", "Validated", HYPERLINK("#" &amp; ADDRESS(35, '10 - Office Chairs-WUO_TRK'!A35),_xlfn.TEXTAFTER('10 - Office Chairs-WUO_ERR'!A35, ":"))))</f>
        <v/>
      </c>
    </row>
    <row r="36">
      <c r="A36" s="39">
        <f>IF('10 - Office Chairs'!B36 = "", "", IF('10 - Office Chairs-WUO_ERR'!A36 = "", "Validated", HYPERLINK("#" &amp; ADDRESS(36, '10 - Office Chairs-WUO_TRK'!A36),_xlfn.TEXTAFTER('10 - Office Chairs-WUO_ERR'!A36, ":"))))</f>
        <v/>
      </c>
    </row>
    <row r="37">
      <c r="A37" s="39">
        <f>IF('10 - Office Chairs'!B37 = "", "", IF('10 - Office Chairs-WUO_ERR'!A37 = "", "Validated", HYPERLINK("#" &amp; ADDRESS(37, '10 - Office Chairs-WUO_TRK'!A37),_xlfn.TEXTAFTER('10 - Office Chairs-WUO_ERR'!A37, ":"))))</f>
        <v/>
      </c>
    </row>
    <row r="38">
      <c r="A38" s="39">
        <f>IF('10 - Office Chairs'!B38 = "", "", IF('10 - Office Chairs-WUO_ERR'!A38 = "", "Validated", HYPERLINK("#" &amp; ADDRESS(38, '10 - Office Chairs-WUO_TRK'!A38),_xlfn.TEXTAFTER('10 - Office Chairs-WUO_ERR'!A38, ":"))))</f>
        <v/>
      </c>
    </row>
    <row r="39">
      <c r="A39" s="39">
        <f>IF('10 - Office Chairs'!B39 = "", "", IF('10 - Office Chairs-WUO_ERR'!A39 = "", "Validated", HYPERLINK("#" &amp; ADDRESS(39, '10 - Office Chairs-WUO_TRK'!A39),_xlfn.TEXTAFTER('10 - Office Chairs-WUO_ERR'!A39, ":"))))</f>
        <v/>
      </c>
    </row>
    <row r="40">
      <c r="A40" s="39">
        <f>IF('10 - Office Chairs'!B40 = "", "", IF('10 - Office Chairs-WUO_ERR'!A40 = "", "Validated", HYPERLINK("#" &amp; ADDRESS(40, '10 - Office Chairs-WUO_TRK'!A40),_xlfn.TEXTAFTER('10 - Office Chairs-WUO_ERR'!A40, ":"))))</f>
        <v/>
      </c>
    </row>
    <row r="41">
      <c r="A41" s="39">
        <f>IF('10 - Office Chairs'!B41 = "", "", IF('10 - Office Chairs-WUO_ERR'!A41 = "", "Validated", HYPERLINK("#" &amp; ADDRESS(41, '10 - Office Chairs-WUO_TRK'!A41),_xlfn.TEXTAFTER('10 - Office Chairs-WUO_ERR'!A41, ":"))))</f>
        <v/>
      </c>
    </row>
    <row r="42">
      <c r="A42" s="39">
        <f>IF('10 - Office Chairs'!B42 = "", "", IF('10 - Office Chairs-WUO_ERR'!A42 = "", "Validated", HYPERLINK("#" &amp; ADDRESS(42, '10 - Office Chairs-WUO_TRK'!A42),_xlfn.TEXTAFTER('10 - Office Chairs-WUO_ERR'!A42, ":"))))</f>
        <v/>
      </c>
    </row>
    <row r="43">
      <c r="A43" s="39">
        <f>IF('10 - Office Chairs'!B43 = "", "", IF('10 - Office Chairs-WUO_ERR'!A43 = "", "Validated", HYPERLINK("#" &amp; ADDRESS(43, '10 - Office Chairs-WUO_TRK'!A43),_xlfn.TEXTAFTER('10 - Office Chairs-WUO_ERR'!A43, ":"))))</f>
        <v/>
      </c>
    </row>
    <row r="44">
      <c r="A44" s="39">
        <f>IF('10 - Office Chairs'!B44 = "", "", IF('10 - Office Chairs-WUO_ERR'!A44 = "", "Validated", HYPERLINK("#" &amp; ADDRESS(44, '10 - Office Chairs-WUO_TRK'!A44),_xlfn.TEXTAFTER('10 - Office Chairs-WUO_ERR'!A44, ":"))))</f>
        <v/>
      </c>
    </row>
    <row r="45">
      <c r="A45" s="39">
        <f>IF('10 - Office Chairs'!B45 = "", "", IF('10 - Office Chairs-WUO_ERR'!A45 = "", "Validated", HYPERLINK("#" &amp; ADDRESS(45, '10 - Office Chairs-WUO_TRK'!A45),_xlfn.TEXTAFTER('10 - Office Chairs-WUO_ERR'!A45, ":"))))</f>
        <v/>
      </c>
    </row>
    <row r="46">
      <c r="A46" s="39">
        <f>IF('10 - Office Chairs'!B46 = "", "", IF('10 - Office Chairs-WUO_ERR'!A46 = "", "Validated", HYPERLINK("#" &amp; ADDRESS(46, '10 - Office Chairs-WUO_TRK'!A46),_xlfn.TEXTAFTER('10 - Office Chairs-WUO_ERR'!A46, ":"))))</f>
        <v/>
      </c>
    </row>
    <row r="47">
      <c r="A47" s="39">
        <f>IF('10 - Office Chairs'!B47 = "", "", IF('10 - Office Chairs-WUO_ERR'!A47 = "", "Validated", HYPERLINK("#" &amp; ADDRESS(47, '10 - Office Chairs-WUO_TRK'!A47),_xlfn.TEXTAFTER('10 - Office Chairs-WUO_ERR'!A47, ":"))))</f>
        <v/>
      </c>
    </row>
    <row r="48">
      <c r="A48" s="39">
        <f>IF('10 - Office Chairs'!B48 = "", "", IF('10 - Office Chairs-WUO_ERR'!A48 = "", "Validated", HYPERLINK("#" &amp; ADDRESS(48, '10 - Office Chairs-WUO_TRK'!A48),_xlfn.TEXTAFTER('10 - Office Chairs-WUO_ERR'!A48, ":"))))</f>
        <v/>
      </c>
    </row>
    <row r="49">
      <c r="A49" s="39">
        <f>IF('10 - Office Chairs'!B49 = "", "", IF('10 - Office Chairs-WUO_ERR'!A49 = "", "Validated", HYPERLINK("#" &amp; ADDRESS(49, '10 - Office Chairs-WUO_TRK'!A49),_xlfn.TEXTAFTER('10 - Office Chairs-WUO_ERR'!A49, ":"))))</f>
        <v/>
      </c>
    </row>
    <row r="50">
      <c r="A50" s="39">
        <f>IF('10 - Office Chairs'!B50 = "", "", IF('10 - Office Chairs-WUO_ERR'!A50 = "", "Validated", HYPERLINK("#" &amp; ADDRESS(50, '10 - Office Chairs-WUO_TRK'!A50),_xlfn.TEXTAFTER('10 - Office Chairs-WUO_ERR'!A50, ":"))))</f>
        <v/>
      </c>
    </row>
    <row r="51">
      <c r="A51" s="39">
        <f>IF('10 - Office Chairs'!B51 = "", "", IF('10 - Office Chairs-WUO_ERR'!A51 = "", "Validated", HYPERLINK("#" &amp; ADDRESS(51, '10 - Office Chairs-WUO_TRK'!A51),_xlfn.TEXTAFTER('10 - Office Chairs-WUO_ERR'!A51, ":"))))</f>
        <v/>
      </c>
    </row>
    <row r="52">
      <c r="A52" s="39">
        <f>IF('10 - Office Chairs'!B52 = "", "", IF('10 - Office Chairs-WUO_ERR'!A52 = "", "Validated", HYPERLINK("#" &amp; ADDRESS(52, '10 - Office Chairs-WUO_TRK'!A52),_xlfn.TEXTAFTER('10 - Office Chairs-WUO_ERR'!A52, ":"))))</f>
        <v/>
      </c>
    </row>
    <row r="53">
      <c r="A53" s="39">
        <f>IF('10 - Office Chairs'!B53 = "", "", IF('10 - Office Chairs-WUO_ERR'!A53 = "", "Validated", HYPERLINK("#" &amp; ADDRESS(53, '10 - Office Chairs-WUO_TRK'!A53),_xlfn.TEXTAFTER('10 - Office Chairs-WUO_ERR'!A53, ":"))))</f>
        <v/>
      </c>
    </row>
    <row r="54">
      <c r="A54" s="39">
        <f>IF('10 - Office Chairs'!B54 = "", "", IF('10 - Office Chairs-WUO_ERR'!A54 = "", "Validated", HYPERLINK("#" &amp; ADDRESS(54, '10 - Office Chairs-WUO_TRK'!A54),_xlfn.TEXTAFTER('10 - Office Chairs-WUO_ERR'!A54, ":"))))</f>
        <v/>
      </c>
    </row>
    <row r="55">
      <c r="A55" s="39">
        <f>IF('10 - Office Chairs'!B55 = "", "", IF('10 - Office Chairs-WUO_ERR'!A55 = "", "Validated", HYPERLINK("#" &amp; ADDRESS(55, '10 - Office Chairs-WUO_TRK'!A55),_xlfn.TEXTAFTER('10 - Office Chairs-WUO_ERR'!A55, ":"))))</f>
        <v/>
      </c>
    </row>
    <row r="56">
      <c r="A56" s="39">
        <f>IF('10 - Office Chairs'!B56 = "", "", IF('10 - Office Chairs-WUO_ERR'!A56 = "", "Validated", HYPERLINK("#" &amp; ADDRESS(56, '10 - Office Chairs-WUO_TRK'!A56),_xlfn.TEXTAFTER('10 - Office Chairs-WUO_ERR'!A56, ":"))))</f>
        <v/>
      </c>
    </row>
    <row r="57">
      <c r="A57" s="39">
        <f>IF('10 - Office Chairs'!B57 = "", "", IF('10 - Office Chairs-WUO_ERR'!A57 = "", "Validated", HYPERLINK("#" &amp; ADDRESS(57, '10 - Office Chairs-WUO_TRK'!A57),_xlfn.TEXTAFTER('10 - Office Chairs-WUO_ERR'!A57, ":"))))</f>
        <v/>
      </c>
    </row>
    <row r="58">
      <c r="A58" s="39">
        <f>IF('10 - Office Chairs'!B58 = "", "", IF('10 - Office Chairs-WUO_ERR'!A58 = "", "Validated", HYPERLINK("#" &amp; ADDRESS(58, '10 - Office Chairs-WUO_TRK'!A58),_xlfn.TEXTAFTER('10 - Office Chairs-WUO_ERR'!A58, ":"))))</f>
        <v/>
      </c>
    </row>
    <row r="59">
      <c r="A59" s="39">
        <f>IF('10 - Office Chairs'!B59 = "", "", IF('10 - Office Chairs-WUO_ERR'!A59 = "", "Validated", HYPERLINK("#" &amp; ADDRESS(59, '10 - Office Chairs-WUO_TRK'!A59),_xlfn.TEXTAFTER('10 - Office Chairs-WUO_ERR'!A59, ":"))))</f>
        <v/>
      </c>
    </row>
    <row r="60">
      <c r="A60" s="39">
        <f>IF('10 - Office Chairs'!B60 = "", "", IF('10 - Office Chairs-WUO_ERR'!A60 = "", "Validated", HYPERLINK("#" &amp; ADDRESS(60, '10 - Office Chairs-WUO_TRK'!A60),_xlfn.TEXTAFTER('10 - Office Chairs-WUO_ERR'!A60, ":"))))</f>
        <v/>
      </c>
    </row>
    <row r="61">
      <c r="A61" s="39">
        <f>IF('10 - Office Chairs'!B61 = "", "", IF('10 - Office Chairs-WUO_ERR'!A61 = "", "Validated", HYPERLINK("#" &amp; ADDRESS(61, '10 - Office Chairs-WUO_TRK'!A61),_xlfn.TEXTAFTER('10 - Office Chairs-WUO_ERR'!A61, ":"))))</f>
        <v/>
      </c>
    </row>
    <row r="62">
      <c r="A62" s="39">
        <f>IF('10 - Office Chairs'!B62 = "", "", IF('10 - Office Chairs-WUO_ERR'!A62 = "", "Validated", HYPERLINK("#" &amp; ADDRESS(62, '10 - Office Chairs-WUO_TRK'!A62),_xlfn.TEXTAFTER('10 - Office Chairs-WUO_ERR'!A62, ":"))))</f>
        <v/>
      </c>
    </row>
    <row r="63">
      <c r="A63" s="39">
        <f>IF('10 - Office Chairs'!B63 = "", "", IF('10 - Office Chairs-WUO_ERR'!A63 = "", "Validated", HYPERLINK("#" &amp; ADDRESS(63, '10 - Office Chairs-WUO_TRK'!A63),_xlfn.TEXTAFTER('10 - Office Chairs-WUO_ERR'!A63, ":"))))</f>
        <v/>
      </c>
    </row>
    <row r="64">
      <c r="A64" s="39">
        <f>IF('10 - Office Chairs'!B64 = "", "", IF('10 - Office Chairs-WUO_ERR'!A64 = "", "Validated", HYPERLINK("#" &amp; ADDRESS(64, '10 - Office Chairs-WUO_TRK'!A64),_xlfn.TEXTAFTER('10 - Office Chairs-WUO_ERR'!A64, ":"))))</f>
        <v/>
      </c>
    </row>
    <row r="65">
      <c r="A65" s="39">
        <f>IF('10 - Office Chairs'!B65 = "", "", IF('10 - Office Chairs-WUO_ERR'!A65 = "", "Validated", HYPERLINK("#" &amp; ADDRESS(65, '10 - Office Chairs-WUO_TRK'!A65),_xlfn.TEXTAFTER('10 - Office Chairs-WUO_ERR'!A65, ":"))))</f>
        <v/>
      </c>
    </row>
    <row r="66">
      <c r="A66" s="39">
        <f>IF('10 - Office Chairs'!B66 = "", "", IF('10 - Office Chairs-WUO_ERR'!A66 = "", "Validated", HYPERLINK("#" &amp; ADDRESS(66, '10 - Office Chairs-WUO_TRK'!A66),_xlfn.TEXTAFTER('10 - Office Chairs-WUO_ERR'!A66, ":"))))</f>
        <v/>
      </c>
    </row>
    <row r="67">
      <c r="A67" s="39">
        <f>IF('10 - Office Chairs'!B67 = "", "", IF('10 - Office Chairs-WUO_ERR'!A67 = "", "Validated", HYPERLINK("#" &amp; ADDRESS(67, '10 - Office Chairs-WUO_TRK'!A67),_xlfn.TEXTAFTER('10 - Office Chairs-WUO_ERR'!A67, ":"))))</f>
        <v/>
      </c>
    </row>
    <row r="68">
      <c r="A68" s="39">
        <f>IF('10 - Office Chairs'!B68 = "", "", IF('10 - Office Chairs-WUO_ERR'!A68 = "", "Validated", HYPERLINK("#" &amp; ADDRESS(68, '10 - Office Chairs-WUO_TRK'!A68),_xlfn.TEXTAFTER('10 - Office Chairs-WUO_ERR'!A68, ":"))))</f>
        <v/>
      </c>
    </row>
    <row r="69">
      <c r="A69" s="39">
        <f>IF('10 - Office Chairs'!B69 = "", "", IF('10 - Office Chairs-WUO_ERR'!A69 = "", "Validated", HYPERLINK("#" &amp; ADDRESS(69, '10 - Office Chairs-WUO_TRK'!A69),_xlfn.TEXTAFTER('10 - Office Chairs-WUO_ERR'!A69, ":"))))</f>
        <v/>
      </c>
    </row>
    <row r="70">
      <c r="A70" s="39">
        <f>IF('10 - Office Chairs'!B70 = "", "", IF('10 - Office Chairs-WUO_ERR'!A70 = "", "Validated", HYPERLINK("#" &amp; ADDRESS(70, '10 - Office Chairs-WUO_TRK'!A70),_xlfn.TEXTAFTER('10 - Office Chairs-WUO_ERR'!A70, ":"))))</f>
        <v/>
      </c>
    </row>
    <row r="71">
      <c r="A71" s="39">
        <f>IF('10 - Office Chairs'!B71 = "", "", IF('10 - Office Chairs-WUO_ERR'!A71 = "", "Validated", HYPERLINK("#" &amp; ADDRESS(71, '10 - Office Chairs-WUO_TRK'!A71),_xlfn.TEXTAFTER('10 - Office Chairs-WUO_ERR'!A71, ":"))))</f>
        <v/>
      </c>
    </row>
    <row r="72">
      <c r="A72" s="39">
        <f>IF('10 - Office Chairs'!B72 = "", "", IF('10 - Office Chairs-WUO_ERR'!A72 = "", "Validated", HYPERLINK("#" &amp; ADDRESS(72, '10 - Office Chairs-WUO_TRK'!A72),_xlfn.TEXTAFTER('10 - Office Chairs-WUO_ERR'!A72, ":"))))</f>
        <v/>
      </c>
    </row>
    <row r="73">
      <c r="A73" s="39">
        <f>IF('10 - Office Chairs'!B73 = "", "", IF('10 - Office Chairs-WUO_ERR'!A73 = "", "Validated", HYPERLINK("#" &amp; ADDRESS(73, '10 - Office Chairs-WUO_TRK'!A73),_xlfn.TEXTAFTER('10 - Office Chairs-WUO_ERR'!A73, ":"))))</f>
        <v/>
      </c>
    </row>
    <row r="74">
      <c r="A74" s="39">
        <f>IF('10 - Office Chairs'!B74 = "", "", IF('10 - Office Chairs-WUO_ERR'!A74 = "", "Validated", HYPERLINK("#" &amp; ADDRESS(74, '10 - Office Chairs-WUO_TRK'!A74),_xlfn.TEXTAFTER('10 - Office Chairs-WUO_ERR'!A74, ":"))))</f>
        <v/>
      </c>
    </row>
    <row r="75">
      <c r="A75" s="39">
        <f>IF('10 - Office Chairs'!B75 = "", "", IF('10 - Office Chairs-WUO_ERR'!A75 = "", "Validated", HYPERLINK("#" &amp; ADDRESS(75, '10 - Office Chairs-WUO_TRK'!A75),_xlfn.TEXTAFTER('10 - Office Chairs-WUO_ERR'!A75, ":"))))</f>
        <v/>
      </c>
    </row>
    <row r="76">
      <c r="A76" s="39">
        <f>IF('10 - Office Chairs'!B76 = "", "", IF('10 - Office Chairs-WUO_ERR'!A76 = "", "Validated", HYPERLINK("#" &amp; ADDRESS(76, '10 - Office Chairs-WUO_TRK'!A76),_xlfn.TEXTAFTER('10 - Office Chairs-WUO_ERR'!A76, ":"))))</f>
        <v/>
      </c>
    </row>
    <row r="77">
      <c r="A77" s="39">
        <f>IF('10 - Office Chairs'!B77 = "", "", IF('10 - Office Chairs-WUO_ERR'!A77 = "", "Validated", HYPERLINK("#" &amp; ADDRESS(77, '10 - Office Chairs-WUO_TRK'!A77),_xlfn.TEXTAFTER('10 - Office Chairs-WUO_ERR'!A77, ":"))))</f>
        <v/>
      </c>
    </row>
    <row r="78">
      <c r="A78" s="39">
        <f>IF('10 - Office Chairs'!B78 = "", "", IF('10 - Office Chairs-WUO_ERR'!A78 = "", "Validated", HYPERLINK("#" &amp; ADDRESS(78, '10 - Office Chairs-WUO_TRK'!A78),_xlfn.TEXTAFTER('10 - Office Chairs-WUO_ERR'!A78, ":"))))</f>
        <v/>
      </c>
    </row>
    <row r="79">
      <c r="A79" s="39">
        <f>IF('10 - Office Chairs'!B79 = "", "", IF('10 - Office Chairs-WUO_ERR'!A79 = "", "Validated", HYPERLINK("#" &amp; ADDRESS(79, '10 - Office Chairs-WUO_TRK'!A79),_xlfn.TEXTAFTER('10 - Office Chairs-WUO_ERR'!A79, ":"))))</f>
        <v/>
      </c>
    </row>
    <row r="80">
      <c r="A80" s="39">
        <f>IF('10 - Office Chairs'!B80 = "", "", IF('10 - Office Chairs-WUO_ERR'!A80 = "", "Validated", HYPERLINK("#" &amp; ADDRESS(80, '10 - Office Chairs-WUO_TRK'!A80),_xlfn.TEXTAFTER('10 - Office Chairs-WUO_ERR'!A80, ":"))))</f>
        <v/>
      </c>
    </row>
    <row r="81">
      <c r="A81" s="39">
        <f>IF('10 - Office Chairs'!B81 = "", "", IF('10 - Office Chairs-WUO_ERR'!A81 = "", "Validated", HYPERLINK("#" &amp; ADDRESS(81, '10 - Office Chairs-WUO_TRK'!A81),_xlfn.TEXTAFTER('10 - Office Chairs-WUO_ERR'!A81, ":"))))</f>
        <v/>
      </c>
    </row>
    <row r="82">
      <c r="A82" s="39">
        <f>IF('10 - Office Chairs'!B82 = "", "", IF('10 - Office Chairs-WUO_ERR'!A82 = "", "Validated", HYPERLINK("#" &amp; ADDRESS(82, '10 - Office Chairs-WUO_TRK'!A82),_xlfn.TEXTAFTER('10 - Office Chairs-WUO_ERR'!A82, ":"))))</f>
        <v/>
      </c>
    </row>
    <row r="83">
      <c r="A83" s="39">
        <f>IF('10 - Office Chairs'!B83 = "", "", IF('10 - Office Chairs-WUO_ERR'!A83 = "", "Validated", HYPERLINK("#" &amp; ADDRESS(83, '10 - Office Chairs-WUO_TRK'!A83),_xlfn.TEXTAFTER('10 - Office Chairs-WUO_ERR'!A83, ":"))))</f>
        <v/>
      </c>
    </row>
    <row r="84">
      <c r="A84" s="39">
        <f>IF('10 - Office Chairs'!B84 = "", "", IF('10 - Office Chairs-WUO_ERR'!A84 = "", "Validated", HYPERLINK("#" &amp; ADDRESS(84, '10 - Office Chairs-WUO_TRK'!A84),_xlfn.TEXTAFTER('10 - Office Chairs-WUO_ERR'!A84, ":"))))</f>
        <v/>
      </c>
    </row>
    <row r="85">
      <c r="A85" s="39">
        <f>IF('10 - Office Chairs'!B85 = "", "", IF('10 - Office Chairs-WUO_ERR'!A85 = "", "Validated", HYPERLINK("#" &amp; ADDRESS(85, '10 - Office Chairs-WUO_TRK'!A85),_xlfn.TEXTAFTER('10 - Office Chairs-WUO_ERR'!A85, ":"))))</f>
        <v/>
      </c>
    </row>
    <row r="86">
      <c r="A86" s="39">
        <f>IF('10 - Office Chairs'!B86 = "", "", IF('10 - Office Chairs-WUO_ERR'!A86 = "", "Validated", HYPERLINK("#" &amp; ADDRESS(86, '10 - Office Chairs-WUO_TRK'!A86),_xlfn.TEXTAFTER('10 - Office Chairs-WUO_ERR'!A86, ":"))))</f>
        <v/>
      </c>
    </row>
    <row r="87">
      <c r="A87" s="39">
        <f>IF('10 - Office Chairs'!B87 = "", "", IF('10 - Office Chairs-WUO_ERR'!A87 = "", "Validated", HYPERLINK("#" &amp; ADDRESS(87, '10 - Office Chairs-WUO_TRK'!A87),_xlfn.TEXTAFTER('10 - Office Chairs-WUO_ERR'!A87, ":"))))</f>
        <v/>
      </c>
    </row>
    <row r="88">
      <c r="A88" s="39">
        <f>IF('10 - Office Chairs'!B88 = "", "", IF('10 - Office Chairs-WUO_ERR'!A88 = "", "Validated", HYPERLINK("#" &amp; ADDRESS(88, '10 - Office Chairs-WUO_TRK'!A88),_xlfn.TEXTAFTER('10 - Office Chairs-WUO_ERR'!A88, ":"))))</f>
        <v/>
      </c>
    </row>
    <row r="89">
      <c r="A89" s="39">
        <f>IF('10 - Office Chairs'!B89 = "", "", IF('10 - Office Chairs-WUO_ERR'!A89 = "", "Validated", HYPERLINK("#" &amp; ADDRESS(89, '10 - Office Chairs-WUO_TRK'!A89),_xlfn.TEXTAFTER('10 - Office Chairs-WUO_ERR'!A89, ":"))))</f>
        <v/>
      </c>
    </row>
    <row r="90">
      <c r="A90" s="39">
        <f>IF('10 - Office Chairs'!B90 = "", "", IF('10 - Office Chairs-WUO_ERR'!A90 = "", "Validated", HYPERLINK("#" &amp; ADDRESS(90, '10 - Office Chairs-WUO_TRK'!A90),_xlfn.TEXTAFTER('10 - Office Chairs-WUO_ERR'!A90, ":"))))</f>
        <v/>
      </c>
    </row>
    <row r="91">
      <c r="A91" s="39">
        <f>IF('10 - Office Chairs'!B91 = "", "", IF('10 - Office Chairs-WUO_ERR'!A91 = "", "Validated", HYPERLINK("#" &amp; ADDRESS(91, '10 - Office Chairs-WUO_TRK'!A91),_xlfn.TEXTAFTER('10 - Office Chairs-WUO_ERR'!A91, ":"))))</f>
        <v/>
      </c>
    </row>
    <row r="92">
      <c r="A92" s="39">
        <f>IF('10 - Office Chairs'!B92 = "", "", IF('10 - Office Chairs-WUO_ERR'!A92 = "", "Validated", HYPERLINK("#" &amp; ADDRESS(92, '10 - Office Chairs-WUO_TRK'!A92),_xlfn.TEXTAFTER('10 - Office Chairs-WUO_ERR'!A92, ":"))))</f>
        <v/>
      </c>
    </row>
    <row r="93">
      <c r="A93" s="39">
        <f>IF('10 - Office Chairs'!B93 = "", "", IF('10 - Office Chairs-WUO_ERR'!A93 = "", "Validated", HYPERLINK("#" &amp; ADDRESS(93, '10 - Office Chairs-WUO_TRK'!A93),_xlfn.TEXTAFTER('10 - Office Chairs-WUO_ERR'!A93, ":"))))</f>
        <v/>
      </c>
    </row>
    <row r="94">
      <c r="A94" s="39">
        <f>IF('10 - Office Chairs'!B94 = "", "", IF('10 - Office Chairs-WUO_ERR'!A94 = "", "Validated", HYPERLINK("#" &amp; ADDRESS(94, '10 - Office Chairs-WUO_TRK'!A94),_xlfn.TEXTAFTER('10 - Office Chairs-WUO_ERR'!A94, ":"))))</f>
        <v/>
      </c>
    </row>
    <row r="95">
      <c r="A95" s="39">
        <f>IF('10 - Office Chairs'!B95 = "", "", IF('10 - Office Chairs-WUO_ERR'!A95 = "", "Validated", HYPERLINK("#" &amp; ADDRESS(95, '10 - Office Chairs-WUO_TRK'!A95),_xlfn.TEXTAFTER('10 - Office Chairs-WUO_ERR'!A95, ":"))))</f>
        <v/>
      </c>
    </row>
    <row r="96">
      <c r="A96" s="39">
        <f>IF('10 - Office Chairs'!B96 = "", "", IF('10 - Office Chairs-WUO_ERR'!A96 = "", "Validated", HYPERLINK("#" &amp; ADDRESS(96, '10 - Office Chairs-WUO_TRK'!A96),_xlfn.TEXTAFTER('10 - Office Chairs-WUO_ERR'!A96, ":"))))</f>
        <v/>
      </c>
    </row>
    <row r="97">
      <c r="A97" s="39">
        <f>IF('10 - Office Chairs'!B97 = "", "", IF('10 - Office Chairs-WUO_ERR'!A97 = "", "Validated", HYPERLINK("#" &amp; ADDRESS(97, '10 - Office Chairs-WUO_TRK'!A97),_xlfn.TEXTAFTER('10 - Office Chairs-WUO_ERR'!A97, ":"))))</f>
        <v/>
      </c>
    </row>
    <row r="98">
      <c r="A98" s="39">
        <f>IF('10 - Office Chairs'!B98 = "", "", IF('10 - Office Chairs-WUO_ERR'!A98 = "", "Validated", HYPERLINK("#" &amp; ADDRESS(98, '10 - Office Chairs-WUO_TRK'!A98),_xlfn.TEXTAFTER('10 - Office Chairs-WUO_ERR'!A98, ":"))))</f>
        <v/>
      </c>
    </row>
    <row r="99">
      <c r="A99" s="39">
        <f>IF('10 - Office Chairs'!B99 = "", "", IF('10 - Office Chairs-WUO_ERR'!A99 = "", "Validated", HYPERLINK("#" &amp; ADDRESS(99, '10 - Office Chairs-WUO_TRK'!A99),_xlfn.TEXTAFTER('10 - Office Chairs-WUO_ERR'!A99, ":"))))</f>
        <v/>
      </c>
    </row>
    <row r="100">
      <c r="A100" s="39">
        <f>IF('10 - Office Chairs'!B100 = "", "", IF('10 - Office Chairs-WUO_ERR'!A100 = "", "Validated", HYPERLINK("#" &amp; ADDRESS(100, '10 - Office Chairs-WUO_TRK'!A100),_xlfn.TEXTAFTER('10 - Office Chairs-WUO_ERR'!A100, ":"))))</f>
        <v/>
      </c>
    </row>
    <row r="101">
      <c r="A101" s="39">
        <f>IF('10 - Office Chairs'!B101 = "", "", IF('10 - Office Chairs-WUO_ERR'!A101 = "", "Validated", HYPERLINK("#" &amp; ADDRESS(101, '10 - Office Chairs-WUO_TRK'!A101),_xlfn.TEXTAFTER('10 - Office Chairs-WUO_ERR'!A101, ":"))))</f>
        <v/>
      </c>
    </row>
    <row r="102">
      <c r="A102" s="39">
        <f>IF('10 - Office Chairs'!B102 = "", "", IF('10 - Office Chairs-WUO_ERR'!A102 = "", "Validated", HYPERLINK("#" &amp; ADDRESS(102, '10 - Office Chairs-WUO_TRK'!A102),_xlfn.TEXTAFTER('10 - Office Chairs-WUO_ERR'!A102, ":"))))</f>
        <v/>
      </c>
    </row>
    <row r="103">
      <c r="A103" s="39">
        <f>IF('10 - Office Chairs'!B103 = "", "", IF('10 - Office Chairs-WUO_ERR'!A103 = "", "Validated", HYPERLINK("#" &amp; ADDRESS(103, '10 - Office Chairs-WUO_TRK'!A103),_xlfn.TEXTAFTER('10 - Office Chairs-WUO_ERR'!A103, ":"))))</f>
        <v/>
      </c>
    </row>
    <row r="104">
      <c r="A104" s="39">
        <f>IF('10 - Office Chairs'!B104 = "", "", IF('10 - Office Chairs-WUO_ERR'!A104 = "", "Validated", HYPERLINK("#" &amp; ADDRESS(104, '10 - Office Chairs-WUO_TRK'!A104),_xlfn.TEXTAFTER('10 - Office Chairs-WUO_ERR'!A104, ":"))))</f>
        <v/>
      </c>
    </row>
    <row r="105">
      <c r="A105" s="39">
        <f>IF('10 - Office Chairs'!B105 = "", "", IF('10 - Office Chairs-WUO_ERR'!A105 = "", "Validated", HYPERLINK("#" &amp; ADDRESS(105, '10 - Office Chairs-WUO_TRK'!A105),_xlfn.TEXTAFTER('10 - Office Chairs-WUO_ERR'!A105, ":"))))</f>
        <v/>
      </c>
    </row>
    <row r="106">
      <c r="A106" s="39">
        <f>IF('10 - Office Chairs'!B106 = "", "", IF('10 - Office Chairs-WUO_ERR'!A106 = "", "Validated", HYPERLINK("#" &amp; ADDRESS(106, '10 - Office Chairs-WUO_TRK'!A106),_xlfn.TEXTAFTER('10 - Office Chairs-WUO_ERR'!A106, ":"))))</f>
        <v/>
      </c>
    </row>
    <row r="107">
      <c r="A107" s="39">
        <f>IF('10 - Office Chairs'!B107 = "", "", IF('10 - Office Chairs-WUO_ERR'!A107 = "", "Validated", HYPERLINK("#" &amp; ADDRESS(107, '10 - Office Chairs-WUO_TRK'!A107),_xlfn.TEXTAFTER('10 - Office Chairs-WUO_ERR'!A107, ":"))))</f>
        <v/>
      </c>
    </row>
    <row r="108">
      <c r="A108" s="39">
        <f>IF('10 - Office Chairs'!B108 = "", "", IF('10 - Office Chairs-WUO_ERR'!A108 = "", "Validated", HYPERLINK("#" &amp; ADDRESS(108, '10 - Office Chairs-WUO_TRK'!A108),_xlfn.TEXTAFTER('10 - Office Chairs-WUO_ERR'!A108, ":"))))</f>
        <v/>
      </c>
    </row>
    <row r="109">
      <c r="A109" s="39">
        <f>IF('10 - Office Chairs'!B109 = "", "", IF('10 - Office Chairs-WUO_ERR'!A109 = "", "Validated", HYPERLINK("#" &amp; ADDRESS(109, '10 - Office Chairs-WUO_TRK'!A109),_xlfn.TEXTAFTER('10 - Office Chairs-WUO_ERR'!A109, ":"))))</f>
        <v/>
      </c>
    </row>
    <row r="110">
      <c r="A110" s="39">
        <f>IF('10 - Office Chairs'!B110 = "", "", IF('10 - Office Chairs-WUO_ERR'!A110 = "", "Validated", HYPERLINK("#" &amp; ADDRESS(110, '10 - Office Chairs-WUO_TRK'!A110),_xlfn.TEXTAFTER('10 - Office Chairs-WUO_ERR'!A110, ":"))))</f>
        <v/>
      </c>
    </row>
    <row r="111">
      <c r="A111" s="39">
        <f>IF('10 - Office Chairs'!B111 = "", "", IF('10 - Office Chairs-WUO_ERR'!A111 = "", "Validated", HYPERLINK("#" &amp; ADDRESS(111, '10 - Office Chairs-WUO_TRK'!A111),_xlfn.TEXTAFTER('10 - Office Chairs-WUO_ERR'!A111, ":"))))</f>
        <v/>
      </c>
    </row>
    <row r="112">
      <c r="A112" s="39">
        <f>IF('10 - Office Chairs'!B112 = "", "", IF('10 - Office Chairs-WUO_ERR'!A112 = "", "Validated", HYPERLINK("#" &amp; ADDRESS(112, '10 - Office Chairs-WUO_TRK'!A112),_xlfn.TEXTAFTER('10 - Office Chairs-WUO_ERR'!A112, ":"))))</f>
        <v/>
      </c>
    </row>
    <row r="113">
      <c r="A113" s="39">
        <f>IF('10 - Office Chairs'!B113 = "", "", IF('10 - Office Chairs-WUO_ERR'!A113 = "", "Validated", HYPERLINK("#" &amp; ADDRESS(113, '10 - Office Chairs-WUO_TRK'!A113),_xlfn.TEXTAFTER('10 - Office Chairs-WUO_ERR'!A113, ":"))))</f>
        <v/>
      </c>
    </row>
    <row r="114">
      <c r="A114" s="39">
        <f>IF('10 - Office Chairs'!B114 = "", "", IF('10 - Office Chairs-WUO_ERR'!A114 = "", "Validated", HYPERLINK("#" &amp; ADDRESS(114, '10 - Office Chairs-WUO_TRK'!A114),_xlfn.TEXTAFTER('10 - Office Chairs-WUO_ERR'!A114, ":"))))</f>
        <v/>
      </c>
    </row>
    <row r="115">
      <c r="A115" s="39">
        <f>IF('10 - Office Chairs'!B115 = "", "", IF('10 - Office Chairs-WUO_ERR'!A115 = "", "Validated", HYPERLINK("#" &amp; ADDRESS(115, '10 - Office Chairs-WUO_TRK'!A115),_xlfn.TEXTAFTER('10 - Office Chairs-WUO_ERR'!A115, ":"))))</f>
        <v/>
      </c>
    </row>
    <row r="116">
      <c r="A116" s="39">
        <f>IF('10 - Office Chairs'!B116 = "", "", IF('10 - Office Chairs-WUO_ERR'!A116 = "", "Validated", HYPERLINK("#" &amp; ADDRESS(116, '10 - Office Chairs-WUO_TRK'!A116),_xlfn.TEXTAFTER('10 - Office Chairs-WUO_ERR'!A116, ":"))))</f>
        <v/>
      </c>
    </row>
    <row r="117">
      <c r="A117" s="39">
        <f>IF('10 - Office Chairs'!B117 = "", "", IF('10 - Office Chairs-WUO_ERR'!A117 = "", "Validated", HYPERLINK("#" &amp; ADDRESS(117, '10 - Office Chairs-WUO_TRK'!A117),_xlfn.TEXTAFTER('10 - Office Chairs-WUO_ERR'!A117, ":"))))</f>
        <v/>
      </c>
    </row>
    <row r="118">
      <c r="A118" s="39">
        <f>IF('10 - Office Chairs'!B118 = "", "", IF('10 - Office Chairs-WUO_ERR'!A118 = "", "Validated", HYPERLINK("#" &amp; ADDRESS(118, '10 - Office Chairs-WUO_TRK'!A118),_xlfn.TEXTAFTER('10 - Office Chairs-WUO_ERR'!A118, ":"))))</f>
        <v/>
      </c>
    </row>
    <row r="119">
      <c r="A119" s="39">
        <f>IF('10 - Office Chairs'!B119 = "", "", IF('10 - Office Chairs-WUO_ERR'!A119 = "", "Validated", HYPERLINK("#" &amp; ADDRESS(119, '10 - Office Chairs-WUO_TRK'!A119),_xlfn.TEXTAFTER('10 - Office Chairs-WUO_ERR'!A119, ":"))))</f>
        <v/>
      </c>
    </row>
    <row r="120">
      <c r="A120" s="39">
        <f>IF('10 - Office Chairs'!B120 = "", "", IF('10 - Office Chairs-WUO_ERR'!A120 = "", "Validated", HYPERLINK("#" &amp; ADDRESS(120, '10 - Office Chairs-WUO_TRK'!A120),_xlfn.TEXTAFTER('10 - Office Chairs-WUO_ERR'!A120, ":"))))</f>
        <v/>
      </c>
    </row>
    <row r="121">
      <c r="A121" s="39">
        <f>IF('10 - Office Chairs'!B121 = "", "", IF('10 - Office Chairs-WUO_ERR'!A121 = "", "Validated", HYPERLINK("#" &amp; ADDRESS(121, '10 - Office Chairs-WUO_TRK'!A121),_xlfn.TEXTAFTER('10 - Office Chairs-WUO_ERR'!A121, ":"))))</f>
        <v/>
      </c>
    </row>
    <row r="122">
      <c r="A122" s="39">
        <f>IF('10 - Office Chairs'!B122 = "", "", IF('10 - Office Chairs-WUO_ERR'!A122 = "", "Validated", HYPERLINK("#" &amp; ADDRESS(122, '10 - Office Chairs-WUO_TRK'!A122),_xlfn.TEXTAFTER('10 - Office Chairs-WUO_ERR'!A122, ":"))))</f>
        <v/>
      </c>
    </row>
    <row r="123">
      <c r="A123" s="39">
        <f>IF('10 - Office Chairs'!B123 = "", "", IF('10 - Office Chairs-WUO_ERR'!A123 = "", "Validated", HYPERLINK("#" &amp; ADDRESS(123, '10 - Office Chairs-WUO_TRK'!A123),_xlfn.TEXTAFTER('10 - Office Chairs-WUO_ERR'!A123, ":"))))</f>
        <v/>
      </c>
    </row>
    <row r="124">
      <c r="A124" s="39">
        <f>IF('10 - Office Chairs'!B124 = "", "", IF('10 - Office Chairs-WUO_ERR'!A124 = "", "Validated", HYPERLINK("#" &amp; ADDRESS(124, '10 - Office Chairs-WUO_TRK'!A124),_xlfn.TEXTAFTER('10 - Office Chairs-WUO_ERR'!A124, ":"))))</f>
        <v/>
      </c>
    </row>
    <row r="125">
      <c r="A125" s="39">
        <f>IF('10 - Office Chairs'!B125 = "", "", IF('10 - Office Chairs-WUO_ERR'!A125 = "", "Validated", HYPERLINK("#" &amp; ADDRESS(125, '10 - Office Chairs-WUO_TRK'!A125),_xlfn.TEXTAFTER('10 - Office Chairs-WUO_ERR'!A125, ":"))))</f>
        <v/>
      </c>
    </row>
    <row r="126">
      <c r="A126" s="39">
        <f>IF('10 - Office Chairs'!B126 = "", "", IF('10 - Office Chairs-WUO_ERR'!A126 = "", "Validated", HYPERLINK("#" &amp; ADDRESS(126, '10 - Office Chairs-WUO_TRK'!A126),_xlfn.TEXTAFTER('10 - Office Chairs-WUO_ERR'!A126, ":"))))</f>
        <v/>
      </c>
    </row>
    <row r="127">
      <c r="A127" s="39">
        <f>IF('10 - Office Chairs'!B127 = "", "", IF('10 - Office Chairs-WUO_ERR'!A127 = "", "Validated", HYPERLINK("#" &amp; ADDRESS(127, '10 - Office Chairs-WUO_TRK'!A127),_xlfn.TEXTAFTER('10 - Office Chairs-WUO_ERR'!A127, ":"))))</f>
        <v/>
      </c>
    </row>
    <row r="128">
      <c r="A128" s="39">
        <f>IF('10 - Office Chairs'!B128 = "", "", IF('10 - Office Chairs-WUO_ERR'!A128 = "", "Validated", HYPERLINK("#" &amp; ADDRESS(128, '10 - Office Chairs-WUO_TRK'!A128),_xlfn.TEXTAFTER('10 - Office Chairs-WUO_ERR'!A128, ":"))))</f>
        <v/>
      </c>
    </row>
    <row r="129">
      <c r="A129" s="39">
        <f>IF('10 - Office Chairs'!B129 = "", "", IF('10 - Office Chairs-WUO_ERR'!A129 = "", "Validated", HYPERLINK("#" &amp; ADDRESS(129, '10 - Office Chairs-WUO_TRK'!A129),_xlfn.TEXTAFTER('10 - Office Chairs-WUO_ERR'!A129, ":"))))</f>
        <v/>
      </c>
    </row>
    <row r="130">
      <c r="A130" s="39">
        <f>IF('10 - Office Chairs'!B130 = "", "", IF('10 - Office Chairs-WUO_ERR'!A130 = "", "Validated", HYPERLINK("#" &amp; ADDRESS(130, '10 - Office Chairs-WUO_TRK'!A130),_xlfn.TEXTAFTER('10 - Office Chairs-WUO_ERR'!A130, ":"))))</f>
        <v/>
      </c>
    </row>
    <row r="131">
      <c r="A131" s="39">
        <f>IF('10 - Office Chairs'!B131 = "", "", IF('10 - Office Chairs-WUO_ERR'!A131 = "", "Validated", HYPERLINK("#" &amp; ADDRESS(131, '10 - Office Chairs-WUO_TRK'!A131),_xlfn.TEXTAFTER('10 - Office Chairs-WUO_ERR'!A131, ":"))))</f>
        <v/>
      </c>
    </row>
    <row r="132">
      <c r="A132" s="39">
        <f>IF('10 - Office Chairs'!B132 = "", "", IF('10 - Office Chairs-WUO_ERR'!A132 = "", "Validated", HYPERLINK("#" &amp; ADDRESS(132, '10 - Office Chairs-WUO_TRK'!A132),_xlfn.TEXTAFTER('10 - Office Chairs-WUO_ERR'!A132, ":"))))</f>
        <v/>
      </c>
    </row>
    <row r="133">
      <c r="A133" s="39">
        <f>IF('10 - Office Chairs'!B133 = "", "", IF('10 - Office Chairs-WUO_ERR'!A133 = "", "Validated", HYPERLINK("#" &amp; ADDRESS(133, '10 - Office Chairs-WUO_TRK'!A133),_xlfn.TEXTAFTER('10 - Office Chairs-WUO_ERR'!A133, ":"))))</f>
        <v/>
      </c>
    </row>
    <row r="134">
      <c r="A134" s="39">
        <f>IF('10 - Office Chairs'!B134 = "", "", IF('10 - Office Chairs-WUO_ERR'!A134 = "", "Validated", HYPERLINK("#" &amp; ADDRESS(134, '10 - Office Chairs-WUO_TRK'!A134),_xlfn.TEXTAFTER('10 - Office Chairs-WUO_ERR'!A134, ":"))))</f>
        <v/>
      </c>
    </row>
    <row r="135">
      <c r="A135" s="39">
        <f>IF('10 - Office Chairs'!B135 = "", "", IF('10 - Office Chairs-WUO_ERR'!A135 = "", "Validated", HYPERLINK("#" &amp; ADDRESS(135, '10 - Office Chairs-WUO_TRK'!A135),_xlfn.TEXTAFTER('10 - Office Chairs-WUO_ERR'!A135, ":"))))</f>
        <v/>
      </c>
    </row>
    <row r="136">
      <c r="A136" s="39">
        <f>IF('10 - Office Chairs'!B136 = "", "", IF('10 - Office Chairs-WUO_ERR'!A136 = "", "Validated", HYPERLINK("#" &amp; ADDRESS(136, '10 - Office Chairs-WUO_TRK'!A136),_xlfn.TEXTAFTER('10 - Office Chairs-WUO_ERR'!A136, ":"))))</f>
        <v/>
      </c>
    </row>
    <row r="137">
      <c r="A137" s="39">
        <f>IF('10 - Office Chairs'!B137 = "", "", IF('10 - Office Chairs-WUO_ERR'!A137 = "", "Validated", HYPERLINK("#" &amp; ADDRESS(137, '10 - Office Chairs-WUO_TRK'!A137),_xlfn.TEXTAFTER('10 - Office Chairs-WUO_ERR'!A137, ":"))))</f>
        <v/>
      </c>
    </row>
    <row r="138">
      <c r="A138" s="39">
        <f>IF('10 - Office Chairs'!B138 = "", "", IF('10 - Office Chairs-WUO_ERR'!A138 = "", "Validated", HYPERLINK("#" &amp; ADDRESS(138, '10 - Office Chairs-WUO_TRK'!A138),_xlfn.TEXTAFTER('10 - Office Chairs-WUO_ERR'!A138, ":"))))</f>
        <v/>
      </c>
    </row>
    <row r="139">
      <c r="A139" s="39">
        <f>IF('10 - Office Chairs'!B139 = "", "", IF('10 - Office Chairs-WUO_ERR'!A139 = "", "Validated", HYPERLINK("#" &amp; ADDRESS(139, '10 - Office Chairs-WUO_TRK'!A139),_xlfn.TEXTAFTER('10 - Office Chairs-WUO_ERR'!A139, ":"))))</f>
        <v/>
      </c>
    </row>
    <row r="140">
      <c r="A140" s="39">
        <f>IF('10 - Office Chairs'!B140 = "", "", IF('10 - Office Chairs-WUO_ERR'!A140 = "", "Validated", HYPERLINK("#" &amp; ADDRESS(140, '10 - Office Chairs-WUO_TRK'!A140),_xlfn.TEXTAFTER('10 - Office Chairs-WUO_ERR'!A140, ":"))))</f>
        <v/>
      </c>
    </row>
    <row r="141">
      <c r="A141" s="39">
        <f>IF('10 - Office Chairs'!B141 = "", "", IF('10 - Office Chairs-WUO_ERR'!A141 = "", "Validated", HYPERLINK("#" &amp; ADDRESS(141, '10 - Office Chairs-WUO_TRK'!A141),_xlfn.TEXTAFTER('10 - Office Chairs-WUO_ERR'!A141, ":"))))</f>
        <v/>
      </c>
    </row>
    <row r="142">
      <c r="A142" s="39">
        <f>IF('10 - Office Chairs'!B142 = "", "", IF('10 - Office Chairs-WUO_ERR'!A142 = "", "Validated", HYPERLINK("#" &amp; ADDRESS(142, '10 - Office Chairs-WUO_TRK'!A142),_xlfn.TEXTAFTER('10 - Office Chairs-WUO_ERR'!A142, ":"))))</f>
        <v/>
      </c>
    </row>
    <row r="143">
      <c r="A143" s="39">
        <f>IF('10 - Office Chairs'!B143 = "", "", IF('10 - Office Chairs-WUO_ERR'!A143 = "", "Validated", HYPERLINK("#" &amp; ADDRESS(143, '10 - Office Chairs-WUO_TRK'!A143),_xlfn.TEXTAFTER('10 - Office Chairs-WUO_ERR'!A143, ":"))))</f>
        <v/>
      </c>
    </row>
    <row r="144">
      <c r="A144" s="39">
        <f>IF('10 - Office Chairs'!B144 = "", "", IF('10 - Office Chairs-WUO_ERR'!A144 = "", "Validated", HYPERLINK("#" &amp; ADDRESS(144, '10 - Office Chairs-WUO_TRK'!A144),_xlfn.TEXTAFTER('10 - Office Chairs-WUO_ERR'!A144, ":"))))</f>
        <v/>
      </c>
    </row>
    <row r="145">
      <c r="A145" s="39">
        <f>IF('10 - Office Chairs'!B145 = "", "", IF('10 - Office Chairs-WUO_ERR'!A145 = "", "Validated", HYPERLINK("#" &amp; ADDRESS(145, '10 - Office Chairs-WUO_TRK'!A145),_xlfn.TEXTAFTER('10 - Office Chairs-WUO_ERR'!A145, ":"))))</f>
        <v/>
      </c>
    </row>
    <row r="146">
      <c r="A146" s="39">
        <f>IF('10 - Office Chairs'!B146 = "", "", IF('10 - Office Chairs-WUO_ERR'!A146 = "", "Validated", HYPERLINK("#" &amp; ADDRESS(146, '10 - Office Chairs-WUO_TRK'!A146),_xlfn.TEXTAFTER('10 - Office Chairs-WUO_ERR'!A146, ":"))))</f>
        <v/>
      </c>
    </row>
    <row r="147">
      <c r="A147" s="39">
        <f>IF('10 - Office Chairs'!B147 = "", "", IF('10 - Office Chairs-WUO_ERR'!A147 = "", "Validated", HYPERLINK("#" &amp; ADDRESS(147, '10 - Office Chairs-WUO_TRK'!A147),_xlfn.TEXTAFTER('10 - Office Chairs-WUO_ERR'!A147, ":"))))</f>
        <v/>
      </c>
    </row>
    <row r="148">
      <c r="A148" s="39">
        <f>IF('10 - Office Chairs'!B148 = "", "", IF('10 - Office Chairs-WUO_ERR'!A148 = "", "Validated", HYPERLINK("#" &amp; ADDRESS(148, '10 - Office Chairs-WUO_TRK'!A148),_xlfn.TEXTAFTER('10 - Office Chairs-WUO_ERR'!A148, ":"))))</f>
        <v/>
      </c>
    </row>
    <row r="149">
      <c r="A149" s="39">
        <f>IF('10 - Office Chairs'!B149 = "", "", IF('10 - Office Chairs-WUO_ERR'!A149 = "", "Validated", HYPERLINK("#" &amp; ADDRESS(149, '10 - Office Chairs-WUO_TRK'!A149),_xlfn.TEXTAFTER('10 - Office Chairs-WUO_ERR'!A149, ":"))))</f>
        <v/>
      </c>
    </row>
    <row r="150">
      <c r="A150" s="39">
        <f>IF('10 - Office Chairs'!B150 = "", "", IF('10 - Office Chairs-WUO_ERR'!A150 = "", "Validated", HYPERLINK("#" &amp; ADDRESS(150, '10 - Office Chairs-WUO_TRK'!A150),_xlfn.TEXTAFTER('10 - Office Chairs-WUO_ERR'!A150, ":"))))</f>
        <v/>
      </c>
    </row>
    <row r="151">
      <c r="A151" s="39">
        <f>IF('10 - Office Chairs'!B151 = "", "", IF('10 - Office Chairs-WUO_ERR'!A151 = "", "Validated", HYPERLINK("#" &amp; ADDRESS(151, '10 - Office Chairs-WUO_TRK'!A151),_xlfn.TEXTAFTER('10 - Office Chairs-WUO_ERR'!A151, ":"))))</f>
        <v/>
      </c>
    </row>
    <row r="152">
      <c r="A152" s="39">
        <f>IF('10 - Office Chairs'!B152 = "", "", IF('10 - Office Chairs-WUO_ERR'!A152 = "", "Validated", HYPERLINK("#" &amp; ADDRESS(152, '10 - Office Chairs-WUO_TRK'!A152),_xlfn.TEXTAFTER('10 - Office Chairs-WUO_ERR'!A152, ":"))))</f>
        <v/>
      </c>
    </row>
    <row r="153">
      <c r="A153" s="39">
        <f>IF('10 - Office Chairs'!B153 = "", "", IF('10 - Office Chairs-WUO_ERR'!A153 = "", "Validated", HYPERLINK("#" &amp; ADDRESS(153, '10 - Office Chairs-WUO_TRK'!A153),_xlfn.TEXTAFTER('10 - Office Chairs-WUO_ERR'!A153, ":"))))</f>
        <v/>
      </c>
    </row>
    <row r="154">
      <c r="A154" s="39">
        <f>IF('10 - Office Chairs'!B154 = "", "", IF('10 - Office Chairs-WUO_ERR'!A154 = "", "Validated", HYPERLINK("#" &amp; ADDRESS(154, '10 - Office Chairs-WUO_TRK'!A154),_xlfn.TEXTAFTER('10 - Office Chairs-WUO_ERR'!A154, ":"))))</f>
        <v/>
      </c>
    </row>
    <row r="155">
      <c r="A155" s="39">
        <f>IF('10 - Office Chairs'!B155 = "", "", IF('10 - Office Chairs-WUO_ERR'!A155 = "", "Validated", HYPERLINK("#" &amp; ADDRESS(155, '10 - Office Chairs-WUO_TRK'!A155),_xlfn.TEXTAFTER('10 - Office Chairs-WUO_ERR'!A155, ":"))))</f>
        <v/>
      </c>
    </row>
    <row r="156">
      <c r="A156" s="39">
        <f>IF('10 - Office Chairs'!B156 = "", "", IF('10 - Office Chairs-WUO_ERR'!A156 = "", "Validated", HYPERLINK("#" &amp; ADDRESS(156, '10 - Office Chairs-WUO_TRK'!A156),_xlfn.TEXTAFTER('10 - Office Chairs-WUO_ERR'!A156, ":"))))</f>
        <v/>
      </c>
    </row>
    <row r="157">
      <c r="A157" s="39">
        <f>IF('10 - Office Chairs'!B157 = "", "", IF('10 - Office Chairs-WUO_ERR'!A157 = "", "Validated", HYPERLINK("#" &amp; ADDRESS(157, '10 - Office Chairs-WUO_TRK'!A157),_xlfn.TEXTAFTER('10 - Office Chairs-WUO_ERR'!A157, ":"))))</f>
        <v/>
      </c>
    </row>
    <row r="158">
      <c r="A158" s="39">
        <f>IF('10 - Office Chairs'!B158 = "", "", IF('10 - Office Chairs-WUO_ERR'!A158 = "", "Validated", HYPERLINK("#" &amp; ADDRESS(158, '10 - Office Chairs-WUO_TRK'!A158),_xlfn.TEXTAFTER('10 - Office Chairs-WUO_ERR'!A158, ":"))))</f>
        <v/>
      </c>
    </row>
    <row r="159">
      <c r="A159" s="39">
        <f>IF('10 - Office Chairs'!B159 = "", "", IF('10 - Office Chairs-WUO_ERR'!A159 = "", "Validated", HYPERLINK("#" &amp; ADDRESS(159, '10 - Office Chairs-WUO_TRK'!A159),_xlfn.TEXTAFTER('10 - Office Chairs-WUO_ERR'!A159, ":"))))</f>
        <v/>
      </c>
    </row>
    <row r="160">
      <c r="A160" s="39">
        <f>IF('10 - Office Chairs'!B160 = "", "", IF('10 - Office Chairs-WUO_ERR'!A160 = "", "Validated", HYPERLINK("#" &amp; ADDRESS(160, '10 - Office Chairs-WUO_TRK'!A160),_xlfn.TEXTAFTER('10 - Office Chairs-WUO_ERR'!A160, ":"))))</f>
        <v/>
      </c>
    </row>
    <row r="161">
      <c r="A161" s="39">
        <f>IF('10 - Office Chairs'!B161 = "", "", IF('10 - Office Chairs-WUO_ERR'!A161 = "", "Validated", HYPERLINK("#" &amp; ADDRESS(161, '10 - Office Chairs-WUO_TRK'!A161),_xlfn.TEXTAFTER('10 - Office Chairs-WUO_ERR'!A161, ":"))))</f>
        <v/>
      </c>
    </row>
    <row r="162">
      <c r="A162" s="39">
        <f>IF('10 - Office Chairs'!B162 = "", "", IF('10 - Office Chairs-WUO_ERR'!A162 = "", "Validated", HYPERLINK("#" &amp; ADDRESS(162, '10 - Office Chairs-WUO_TRK'!A162),_xlfn.TEXTAFTER('10 - Office Chairs-WUO_ERR'!A162, ":"))))</f>
        <v/>
      </c>
    </row>
    <row r="163">
      <c r="A163" s="39">
        <f>IF('10 - Office Chairs'!B163 = "", "", IF('10 - Office Chairs-WUO_ERR'!A163 = "", "Validated", HYPERLINK("#" &amp; ADDRESS(163, '10 - Office Chairs-WUO_TRK'!A163),_xlfn.TEXTAFTER('10 - Office Chairs-WUO_ERR'!A163, ":"))))</f>
        <v/>
      </c>
    </row>
    <row r="164">
      <c r="A164" s="39">
        <f>IF('10 - Office Chairs'!B164 = "", "", IF('10 - Office Chairs-WUO_ERR'!A164 = "", "Validated", HYPERLINK("#" &amp; ADDRESS(164, '10 - Office Chairs-WUO_TRK'!A164),_xlfn.TEXTAFTER('10 - Office Chairs-WUO_ERR'!A164, ":"))))</f>
        <v/>
      </c>
    </row>
    <row r="165">
      <c r="A165" s="39">
        <f>IF('10 - Office Chairs'!B165 = "", "", IF('10 - Office Chairs-WUO_ERR'!A165 = "", "Validated", HYPERLINK("#" &amp; ADDRESS(165, '10 - Office Chairs-WUO_TRK'!A165),_xlfn.TEXTAFTER('10 - Office Chairs-WUO_ERR'!A165, ":"))))</f>
        <v/>
      </c>
    </row>
    <row r="166">
      <c r="A166" s="39">
        <f>IF('10 - Office Chairs'!B166 = "", "", IF('10 - Office Chairs-WUO_ERR'!A166 = "", "Validated", HYPERLINK("#" &amp; ADDRESS(166, '10 - Office Chairs-WUO_TRK'!A166),_xlfn.TEXTAFTER('10 - Office Chairs-WUO_ERR'!A166, ":"))))</f>
        <v/>
      </c>
    </row>
    <row r="167">
      <c r="A167" s="39">
        <f>IF('10 - Office Chairs'!B167 = "", "", IF('10 - Office Chairs-WUO_ERR'!A167 = "", "Validated", HYPERLINK("#" &amp; ADDRESS(167, '10 - Office Chairs-WUO_TRK'!A167),_xlfn.TEXTAFTER('10 - Office Chairs-WUO_ERR'!A167, ":"))))</f>
        <v/>
      </c>
    </row>
    <row r="168">
      <c r="A168" s="39">
        <f>IF('10 - Office Chairs'!B168 = "", "", IF('10 - Office Chairs-WUO_ERR'!A168 = "", "Validated", HYPERLINK("#" &amp; ADDRESS(168, '10 - Office Chairs-WUO_TRK'!A168),_xlfn.TEXTAFTER('10 - Office Chairs-WUO_ERR'!A168, ":"))))</f>
        <v/>
      </c>
    </row>
    <row r="169">
      <c r="A169" s="39">
        <f>IF('10 - Office Chairs'!B169 = "", "", IF('10 - Office Chairs-WUO_ERR'!A169 = "", "Validated", HYPERLINK("#" &amp; ADDRESS(169, '10 - Office Chairs-WUO_TRK'!A169),_xlfn.TEXTAFTER('10 - Office Chairs-WUO_ERR'!A169, ":"))))</f>
        <v/>
      </c>
    </row>
    <row r="170">
      <c r="A170" s="39">
        <f>IF('10 - Office Chairs'!B170 = "", "", IF('10 - Office Chairs-WUO_ERR'!A170 = "", "Validated", HYPERLINK("#" &amp; ADDRESS(170, '10 - Office Chairs-WUO_TRK'!A170),_xlfn.TEXTAFTER('10 - Office Chairs-WUO_ERR'!A170, ":"))))</f>
        <v/>
      </c>
    </row>
    <row r="171">
      <c r="A171" s="39">
        <f>IF('10 - Office Chairs'!B171 = "", "", IF('10 - Office Chairs-WUO_ERR'!A171 = "", "Validated", HYPERLINK("#" &amp; ADDRESS(171, '10 - Office Chairs-WUO_TRK'!A171),_xlfn.TEXTAFTER('10 - Office Chairs-WUO_ERR'!A171, ":"))))</f>
        <v/>
      </c>
    </row>
    <row r="172">
      <c r="A172" s="39">
        <f>IF('10 - Office Chairs'!B172 = "", "", IF('10 - Office Chairs-WUO_ERR'!A172 = "", "Validated", HYPERLINK("#" &amp; ADDRESS(172, '10 - Office Chairs-WUO_TRK'!A172),_xlfn.TEXTAFTER('10 - Office Chairs-WUO_ERR'!A172, ":"))))</f>
        <v/>
      </c>
    </row>
    <row r="173">
      <c r="A173" s="39">
        <f>IF('10 - Office Chairs'!B173 = "", "", IF('10 - Office Chairs-WUO_ERR'!A173 = "", "Validated", HYPERLINK("#" &amp; ADDRESS(173, '10 - Office Chairs-WUO_TRK'!A173),_xlfn.TEXTAFTER('10 - Office Chairs-WUO_ERR'!A173, ":"))))</f>
        <v/>
      </c>
    </row>
    <row r="174">
      <c r="A174" s="39">
        <f>IF('10 - Office Chairs'!B174 = "", "", IF('10 - Office Chairs-WUO_ERR'!A174 = "", "Validated", HYPERLINK("#" &amp; ADDRESS(174, '10 - Office Chairs-WUO_TRK'!A174),_xlfn.TEXTAFTER('10 - Office Chairs-WUO_ERR'!A174, ":"))))</f>
        <v/>
      </c>
    </row>
    <row r="175">
      <c r="A175" s="39">
        <f>IF('10 - Office Chairs'!B175 = "", "", IF('10 - Office Chairs-WUO_ERR'!A175 = "", "Validated", HYPERLINK("#" &amp; ADDRESS(175, '10 - Office Chairs-WUO_TRK'!A175),_xlfn.TEXTAFTER('10 - Office Chairs-WUO_ERR'!A175, ":"))))</f>
        <v/>
      </c>
    </row>
    <row r="176">
      <c r="A176" s="39">
        <f>IF('10 - Office Chairs'!B176 = "", "", IF('10 - Office Chairs-WUO_ERR'!A176 = "", "Validated", HYPERLINK("#" &amp; ADDRESS(176, '10 - Office Chairs-WUO_TRK'!A176),_xlfn.TEXTAFTER('10 - Office Chairs-WUO_ERR'!A176, ":"))))</f>
        <v/>
      </c>
    </row>
    <row r="177">
      <c r="A177" s="39">
        <f>IF('10 - Office Chairs'!B177 = "", "", IF('10 - Office Chairs-WUO_ERR'!A177 = "", "Validated", HYPERLINK("#" &amp; ADDRESS(177, '10 - Office Chairs-WUO_TRK'!A177),_xlfn.TEXTAFTER('10 - Office Chairs-WUO_ERR'!A177, ":"))))</f>
        <v/>
      </c>
    </row>
    <row r="178">
      <c r="A178" s="39">
        <f>IF('10 - Office Chairs'!B178 = "", "", IF('10 - Office Chairs-WUO_ERR'!A178 = "", "Validated", HYPERLINK("#" &amp; ADDRESS(178, '10 - Office Chairs-WUO_TRK'!A178),_xlfn.TEXTAFTER('10 - Office Chairs-WUO_ERR'!A178, ":"))))</f>
        <v/>
      </c>
    </row>
    <row r="179">
      <c r="A179" s="39">
        <f>IF('10 - Office Chairs'!B179 = "", "", IF('10 - Office Chairs-WUO_ERR'!A179 = "", "Validated", HYPERLINK("#" &amp; ADDRESS(179, '10 - Office Chairs-WUO_TRK'!A179),_xlfn.TEXTAFTER('10 - Office Chairs-WUO_ERR'!A179, ":"))))</f>
        <v/>
      </c>
    </row>
    <row r="180">
      <c r="A180" s="39">
        <f>IF('10 - Office Chairs'!B180 = "", "", IF('10 - Office Chairs-WUO_ERR'!A180 = "", "Validated", HYPERLINK("#" &amp; ADDRESS(180, '10 - Office Chairs-WUO_TRK'!A180),_xlfn.TEXTAFTER('10 - Office Chairs-WUO_ERR'!A180, ":"))))</f>
        <v/>
      </c>
    </row>
    <row r="181">
      <c r="A181" s="39">
        <f>IF('10 - Office Chairs'!B181 = "", "", IF('10 - Office Chairs-WUO_ERR'!A181 = "", "Validated", HYPERLINK("#" &amp; ADDRESS(181, '10 - Office Chairs-WUO_TRK'!A181),_xlfn.TEXTAFTER('10 - Office Chairs-WUO_ERR'!A181, ":"))))</f>
        <v/>
      </c>
    </row>
    <row r="182">
      <c r="A182" s="39">
        <f>IF('10 - Office Chairs'!B182 = "", "", IF('10 - Office Chairs-WUO_ERR'!A182 = "", "Validated", HYPERLINK("#" &amp; ADDRESS(182, '10 - Office Chairs-WUO_TRK'!A182),_xlfn.TEXTAFTER('10 - Office Chairs-WUO_ERR'!A182, ":"))))</f>
        <v/>
      </c>
    </row>
    <row r="183">
      <c r="A183" s="39">
        <f>IF('10 - Office Chairs'!B183 = "", "", IF('10 - Office Chairs-WUO_ERR'!A183 = "", "Validated", HYPERLINK("#" &amp; ADDRESS(183, '10 - Office Chairs-WUO_TRK'!A183),_xlfn.TEXTAFTER('10 - Office Chairs-WUO_ERR'!A183, ":"))))</f>
        <v/>
      </c>
    </row>
    <row r="184">
      <c r="A184" s="39">
        <f>IF('10 - Office Chairs'!B184 = "", "", IF('10 - Office Chairs-WUO_ERR'!A184 = "", "Validated", HYPERLINK("#" &amp; ADDRESS(184, '10 - Office Chairs-WUO_TRK'!A184),_xlfn.TEXTAFTER('10 - Office Chairs-WUO_ERR'!A184, ":"))))</f>
        <v/>
      </c>
    </row>
    <row r="185">
      <c r="A185" s="39">
        <f>IF('10 - Office Chairs'!B185 = "", "", IF('10 - Office Chairs-WUO_ERR'!A185 = "", "Validated", HYPERLINK("#" &amp; ADDRESS(185, '10 - Office Chairs-WUO_TRK'!A185),_xlfn.TEXTAFTER('10 - Office Chairs-WUO_ERR'!A185, ":"))))</f>
        <v/>
      </c>
    </row>
    <row r="186">
      <c r="A186" s="39">
        <f>IF('10 - Office Chairs'!B186 = "", "", IF('10 - Office Chairs-WUO_ERR'!A186 = "", "Validated", HYPERLINK("#" &amp; ADDRESS(186, '10 - Office Chairs-WUO_TRK'!A186),_xlfn.TEXTAFTER('10 - Office Chairs-WUO_ERR'!A186, ":"))))</f>
        <v/>
      </c>
    </row>
    <row r="187">
      <c r="A187" s="39">
        <f>IF('10 - Office Chairs'!B187 = "", "", IF('10 - Office Chairs-WUO_ERR'!A187 = "", "Validated", HYPERLINK("#" &amp; ADDRESS(187, '10 - Office Chairs-WUO_TRK'!A187),_xlfn.TEXTAFTER('10 - Office Chairs-WUO_ERR'!A187, ":"))))</f>
        <v/>
      </c>
    </row>
    <row r="188">
      <c r="A188" s="39">
        <f>IF('10 - Office Chairs'!B188 = "", "", IF('10 - Office Chairs-WUO_ERR'!A188 = "", "Validated", HYPERLINK("#" &amp; ADDRESS(188, '10 - Office Chairs-WUO_TRK'!A188),_xlfn.TEXTAFTER('10 - Office Chairs-WUO_ERR'!A188, ":"))))</f>
        <v/>
      </c>
    </row>
    <row r="189">
      <c r="A189" s="39">
        <f>IF('10 - Office Chairs'!B189 = "", "", IF('10 - Office Chairs-WUO_ERR'!A189 = "", "Validated", HYPERLINK("#" &amp; ADDRESS(189, '10 - Office Chairs-WUO_TRK'!A189),_xlfn.TEXTAFTER('10 - Office Chairs-WUO_ERR'!A189, ":"))))</f>
        <v/>
      </c>
    </row>
    <row r="190">
      <c r="A190" s="39">
        <f>IF('10 - Office Chairs'!B190 = "", "", IF('10 - Office Chairs-WUO_ERR'!A190 = "", "Validated", HYPERLINK("#" &amp; ADDRESS(190, '10 - Office Chairs-WUO_TRK'!A190),_xlfn.TEXTAFTER('10 - Office Chairs-WUO_ERR'!A190, ":"))))</f>
        <v/>
      </c>
    </row>
    <row r="191">
      <c r="A191" s="39">
        <f>IF('10 - Office Chairs'!B191 = "", "", IF('10 - Office Chairs-WUO_ERR'!A191 = "", "Validated", HYPERLINK("#" &amp; ADDRESS(191, '10 - Office Chairs-WUO_TRK'!A191),_xlfn.TEXTAFTER('10 - Office Chairs-WUO_ERR'!A191, ":"))))</f>
        <v/>
      </c>
    </row>
    <row r="192">
      <c r="A192" s="39">
        <f>IF('10 - Office Chairs'!B192 = "", "", IF('10 - Office Chairs-WUO_ERR'!A192 = "", "Validated", HYPERLINK("#" &amp; ADDRESS(192, '10 - Office Chairs-WUO_TRK'!A192),_xlfn.TEXTAFTER('10 - Office Chairs-WUO_ERR'!A192, ":"))))</f>
        <v/>
      </c>
    </row>
    <row r="193">
      <c r="A193" s="39">
        <f>IF('10 - Office Chairs'!B193 = "", "", IF('10 - Office Chairs-WUO_ERR'!A193 = "", "Validated", HYPERLINK("#" &amp; ADDRESS(193, '10 - Office Chairs-WUO_TRK'!A193),_xlfn.TEXTAFTER('10 - Office Chairs-WUO_ERR'!A193, ":"))))</f>
        <v/>
      </c>
    </row>
    <row r="194">
      <c r="A194" s="39">
        <f>IF('10 - Office Chairs'!B194 = "", "", IF('10 - Office Chairs-WUO_ERR'!A194 = "", "Validated", HYPERLINK("#" &amp; ADDRESS(194, '10 - Office Chairs-WUO_TRK'!A194),_xlfn.TEXTAFTER('10 - Office Chairs-WUO_ERR'!A194, ":"))))</f>
        <v/>
      </c>
    </row>
    <row r="195">
      <c r="A195" s="39">
        <f>IF('10 - Office Chairs'!B195 = "", "", IF('10 - Office Chairs-WUO_ERR'!A195 = "", "Validated", HYPERLINK("#" &amp; ADDRESS(195, '10 - Office Chairs-WUO_TRK'!A195),_xlfn.TEXTAFTER('10 - Office Chairs-WUO_ERR'!A195, ":"))))</f>
        <v/>
      </c>
    </row>
    <row r="196">
      <c r="A196" s="39">
        <f>IF('10 - Office Chairs'!B196 = "", "", IF('10 - Office Chairs-WUO_ERR'!A196 = "", "Validated", HYPERLINK("#" &amp; ADDRESS(196, '10 - Office Chairs-WUO_TRK'!A196),_xlfn.TEXTAFTER('10 - Office Chairs-WUO_ERR'!A196, ":"))))</f>
        <v/>
      </c>
    </row>
    <row r="197">
      <c r="A197" s="39">
        <f>IF('10 - Office Chairs'!B197 = "", "", IF('10 - Office Chairs-WUO_ERR'!A197 = "", "Validated", HYPERLINK("#" &amp; ADDRESS(197, '10 - Office Chairs-WUO_TRK'!A197),_xlfn.TEXTAFTER('10 - Office Chairs-WUO_ERR'!A197, ":"))))</f>
        <v/>
      </c>
    </row>
    <row r="198">
      <c r="A198" s="39">
        <f>IF('10 - Office Chairs'!B198 = "", "", IF('10 - Office Chairs-WUO_ERR'!A198 = "", "Validated", HYPERLINK("#" &amp; ADDRESS(198, '10 - Office Chairs-WUO_TRK'!A198),_xlfn.TEXTAFTER('10 - Office Chairs-WUO_ERR'!A198, ":"))))</f>
        <v/>
      </c>
    </row>
    <row r="199">
      <c r="A199" s="39">
        <f>IF('10 - Office Chairs'!B199 = "", "", IF('10 - Office Chairs-WUO_ERR'!A199 = "", "Validated", HYPERLINK("#" &amp; ADDRESS(199, '10 - Office Chairs-WUO_TRK'!A199),_xlfn.TEXTAFTER('10 - Office Chairs-WUO_ERR'!A199, ":"))))</f>
        <v/>
      </c>
    </row>
    <row r="200">
      <c r="A200" s="39">
        <f>IF('10 - Office Chairs'!B200 = "", "", IF('10 - Office Chairs-WUO_ERR'!A200 = "", "Validated", HYPERLINK("#" &amp; ADDRESS(200, '10 - Office Chairs-WUO_TRK'!A200),_xlfn.TEXTAFTER('10 - Office Chairs-WUO_ERR'!A200, ":"))))</f>
        <v/>
      </c>
    </row>
    <row r="201">
      <c r="A201" s="39">
        <f>IF('10 - Office Chairs'!B201 = "", "", IF('10 - Office Chairs-WUO_ERR'!A201 = "", "Validated", HYPERLINK("#" &amp; ADDRESS(201, '10 - Office Chairs-WUO_TRK'!A201),_xlfn.TEXTAFTER('10 - Office Chairs-WUO_ERR'!A201, ":"))))</f>
        <v/>
      </c>
    </row>
    <row r="202">
      <c r="A202" s="39">
        <f>IF('10 - Office Chairs'!B202 = "", "", IF('10 - Office Chairs-WUO_ERR'!A202 = "", "Validated", HYPERLINK("#" &amp; ADDRESS(202, '10 - Office Chairs-WUO_TRK'!A202),_xlfn.TEXTAFTER('10 - Office Chairs-WUO_ERR'!A202, ":"))))</f>
        <v/>
      </c>
    </row>
    <row r="203">
      <c r="A203" s="39">
        <f>IF('10 - Office Chairs'!B203 = "", "", IF('10 - Office Chairs-WUO_ERR'!A203 = "", "Validated", HYPERLINK("#" &amp; ADDRESS(203, '10 - Office Chairs-WUO_TRK'!A203),_xlfn.TEXTAFTER('10 - Office Chairs-WUO_ERR'!A203, ":"))))</f>
        <v/>
      </c>
    </row>
    <row r="204">
      <c r="A204" s="39">
        <f>IF('10 - Office Chairs'!B204 = "", "", IF('10 - Office Chairs-WUO_ERR'!A204 = "", "Validated", HYPERLINK("#" &amp; ADDRESS(204, '10 - Office Chairs-WUO_TRK'!A204),_xlfn.TEXTAFTER('10 - Office Chairs-WUO_ERR'!A204, ":"))))</f>
        <v/>
      </c>
    </row>
    <row r="205">
      <c r="A205" s="39">
        <f>IF('10 - Office Chairs'!B205 = "", "", IF('10 - Office Chairs-WUO_ERR'!A205 = "", "Validated", HYPERLINK("#" &amp; ADDRESS(205, '10 - Office Chairs-WUO_TRK'!A205),_xlfn.TEXTAFTER('10 - Office Chairs-WUO_ERR'!A205, ":"))))</f>
        <v/>
      </c>
    </row>
    <row r="206">
      <c r="A206" s="39">
        <f>IF('10 - Office Chairs'!B206 = "", "", IF('10 - Office Chairs-WUO_ERR'!A206 = "", "Validated", HYPERLINK("#" &amp; ADDRESS(206, '10 - Office Chairs-WUO_TRK'!A206),_xlfn.TEXTAFTER('10 - Office Chairs-WUO_ERR'!A206, ":"))))</f>
        <v/>
      </c>
    </row>
    <row r="207">
      <c r="A207" s="39">
        <f>IF('10 - Office Chairs'!B207 = "", "", IF('10 - Office Chairs-WUO_ERR'!A207 = "", "Validated", HYPERLINK("#" &amp; ADDRESS(207, '10 - Office Chairs-WUO_TRK'!A207),_xlfn.TEXTAFTER('10 - Office Chairs-WUO_ERR'!A207, ":"))))</f>
        <v/>
      </c>
    </row>
    <row r="208">
      <c r="A208" s="39">
        <f>IF('10 - Office Chairs'!B208 = "", "", IF('10 - Office Chairs-WUO_ERR'!A208 = "", "Validated", HYPERLINK("#" &amp; ADDRESS(208, '10 - Office Chairs-WUO_TRK'!A208),_xlfn.TEXTAFTER('10 - Office Chairs-WUO_ERR'!A208, ":"))))</f>
        <v/>
      </c>
    </row>
    <row r="209">
      <c r="A209" s="39">
        <f>IF('10 - Office Chairs'!B209 = "", "", IF('10 - Office Chairs-WUO_ERR'!A209 = "", "Validated", HYPERLINK("#" &amp; ADDRESS(209, '10 - Office Chairs-WUO_TRK'!A209),_xlfn.TEXTAFTER('10 - Office Chairs-WUO_ERR'!A209, ":"))))</f>
        <v/>
      </c>
    </row>
    <row r="210">
      <c r="A210" s="39">
        <f>IF('10 - Office Chairs'!B210 = "", "", IF('10 - Office Chairs-WUO_ERR'!A210 = "", "Validated", HYPERLINK("#" &amp; ADDRESS(210, '10 - Office Chairs-WUO_TRK'!A210),_xlfn.TEXTAFTER('10 - Office Chairs-WUO_ERR'!A210, ":"))))</f>
        <v/>
      </c>
    </row>
    <row r="211">
      <c r="A211" s="39">
        <f>IF('10 - Office Chairs'!B211 = "", "", IF('10 - Office Chairs-WUO_ERR'!A211 = "", "Validated", HYPERLINK("#" &amp; ADDRESS(211, '10 - Office Chairs-WUO_TRK'!A211),_xlfn.TEXTAFTER('10 - Office Chairs-WUO_ERR'!A211, ":"))))</f>
        <v/>
      </c>
    </row>
    <row r="212">
      <c r="A212" s="39">
        <f>IF('10 - Office Chairs'!B212 = "", "", IF('10 - Office Chairs-WUO_ERR'!A212 = "", "Validated", HYPERLINK("#" &amp; ADDRESS(212, '10 - Office Chairs-WUO_TRK'!A212),_xlfn.TEXTAFTER('10 - Office Chairs-WUO_ERR'!A212, ":"))))</f>
        <v/>
      </c>
    </row>
    <row r="213">
      <c r="A213" s="39">
        <f>IF('10 - Office Chairs'!B213 = "", "", IF('10 - Office Chairs-WUO_ERR'!A213 = "", "Validated", HYPERLINK("#" &amp; ADDRESS(213, '10 - Office Chairs-WUO_TRK'!A213),_xlfn.TEXTAFTER('10 - Office Chairs-WUO_ERR'!A213, ":"))))</f>
        <v/>
      </c>
    </row>
    <row r="214">
      <c r="A214" s="39">
        <f>IF('10 - Office Chairs'!B214 = "", "", IF('10 - Office Chairs-WUO_ERR'!A214 = "", "Validated", HYPERLINK("#" &amp; ADDRESS(214, '10 - Office Chairs-WUO_TRK'!A214),_xlfn.TEXTAFTER('10 - Office Chairs-WUO_ERR'!A214, ":"))))</f>
        <v/>
      </c>
    </row>
    <row r="215">
      <c r="A215" s="39">
        <f>IF('10 - Office Chairs'!B215 = "", "", IF('10 - Office Chairs-WUO_ERR'!A215 = "", "Validated", HYPERLINK("#" &amp; ADDRESS(215, '10 - Office Chairs-WUO_TRK'!A215),_xlfn.TEXTAFTER('10 - Office Chairs-WUO_ERR'!A215, ":"))))</f>
        <v/>
      </c>
    </row>
    <row r="216">
      <c r="A216" s="39">
        <f>IF('10 - Office Chairs'!B216 = "", "", IF('10 - Office Chairs-WUO_ERR'!A216 = "", "Validated", HYPERLINK("#" &amp; ADDRESS(216, '10 - Office Chairs-WUO_TRK'!A216),_xlfn.TEXTAFTER('10 - Office Chairs-WUO_ERR'!A216, ":"))))</f>
        <v/>
      </c>
    </row>
    <row r="217">
      <c r="A217" s="39">
        <f>IF('10 - Office Chairs'!B217 = "", "", IF('10 - Office Chairs-WUO_ERR'!A217 = "", "Validated", HYPERLINK("#" &amp; ADDRESS(217, '10 - Office Chairs-WUO_TRK'!A217),_xlfn.TEXTAFTER('10 - Office Chairs-WUO_ERR'!A217, ":"))))</f>
        <v/>
      </c>
    </row>
    <row r="218">
      <c r="A218" s="39">
        <f>IF('10 - Office Chairs'!B218 = "", "", IF('10 - Office Chairs-WUO_ERR'!A218 = "", "Validated", HYPERLINK("#" &amp; ADDRESS(218, '10 - Office Chairs-WUO_TRK'!A218),_xlfn.TEXTAFTER('10 - Office Chairs-WUO_ERR'!A218, ":"))))</f>
        <v/>
      </c>
    </row>
    <row r="219">
      <c r="A219" s="39">
        <f>IF('10 - Office Chairs'!B219 = "", "", IF('10 - Office Chairs-WUO_ERR'!A219 = "", "Validated", HYPERLINK("#" &amp; ADDRESS(219, '10 - Office Chairs-WUO_TRK'!A219),_xlfn.TEXTAFTER('10 - Office Chairs-WUO_ERR'!A219, ":"))))</f>
        <v/>
      </c>
    </row>
    <row r="220">
      <c r="A220" s="39">
        <f>IF('10 - Office Chairs'!B220 = "", "", IF('10 - Office Chairs-WUO_ERR'!A220 = "", "Validated", HYPERLINK("#" &amp; ADDRESS(220, '10 - Office Chairs-WUO_TRK'!A220),_xlfn.TEXTAFTER('10 - Office Chairs-WUO_ERR'!A220, ":"))))</f>
        <v/>
      </c>
    </row>
    <row r="221">
      <c r="A221" s="39">
        <f>IF('10 - Office Chairs'!B221 = "", "", IF('10 - Office Chairs-WUO_ERR'!A221 = "", "Validated", HYPERLINK("#" &amp; ADDRESS(221, '10 - Office Chairs-WUO_TRK'!A221),_xlfn.TEXTAFTER('10 - Office Chairs-WUO_ERR'!A221, ":"))))</f>
        <v/>
      </c>
    </row>
    <row r="222">
      <c r="A222" s="39">
        <f>IF('10 - Office Chairs'!B222 = "", "", IF('10 - Office Chairs-WUO_ERR'!A222 = "", "Validated", HYPERLINK("#" &amp; ADDRESS(222, '10 - Office Chairs-WUO_TRK'!A222),_xlfn.TEXTAFTER('10 - Office Chairs-WUO_ERR'!A222, ":"))))</f>
        <v/>
      </c>
    </row>
    <row r="223">
      <c r="A223" s="39">
        <f>IF('10 - Office Chairs'!B223 = "", "", IF('10 - Office Chairs-WUO_ERR'!A223 = "", "Validated", HYPERLINK("#" &amp; ADDRESS(223, '10 - Office Chairs-WUO_TRK'!A223),_xlfn.TEXTAFTER('10 - Office Chairs-WUO_ERR'!A223, ":"))))</f>
        <v/>
      </c>
    </row>
    <row r="224">
      <c r="A224" s="39">
        <f>IF('10 - Office Chairs'!B224 = "", "", IF('10 - Office Chairs-WUO_ERR'!A224 = "", "Validated", HYPERLINK("#" &amp; ADDRESS(224, '10 - Office Chairs-WUO_TRK'!A224),_xlfn.TEXTAFTER('10 - Office Chairs-WUO_ERR'!A224, ":"))))</f>
        <v/>
      </c>
    </row>
    <row r="225">
      <c r="A225" s="39">
        <f>IF('10 - Office Chairs'!B225 = "", "", IF('10 - Office Chairs-WUO_ERR'!A225 = "", "Validated", HYPERLINK("#" &amp; ADDRESS(225, '10 - Office Chairs-WUO_TRK'!A225),_xlfn.TEXTAFTER('10 - Office Chairs-WUO_ERR'!A225, ":"))))</f>
        <v/>
      </c>
    </row>
    <row r="226">
      <c r="A226" s="39">
        <f>IF('10 - Office Chairs'!B226 = "", "", IF('10 - Office Chairs-WUO_ERR'!A226 = "", "Validated", HYPERLINK("#" &amp; ADDRESS(226, '10 - Office Chairs-WUO_TRK'!A226),_xlfn.TEXTAFTER('10 - Office Chairs-WUO_ERR'!A226, ":"))))</f>
        <v/>
      </c>
    </row>
    <row r="227">
      <c r="A227" s="39">
        <f>IF('10 - Office Chairs'!B227 = "", "", IF('10 - Office Chairs-WUO_ERR'!A227 = "", "Validated", HYPERLINK("#" &amp; ADDRESS(227, '10 - Office Chairs-WUO_TRK'!A227),_xlfn.TEXTAFTER('10 - Office Chairs-WUO_ERR'!A227, ":"))))</f>
        <v/>
      </c>
    </row>
    <row r="228">
      <c r="A228" s="39">
        <f>IF('10 - Office Chairs'!B228 = "", "", IF('10 - Office Chairs-WUO_ERR'!A228 = "", "Validated", HYPERLINK("#" &amp; ADDRESS(228, '10 - Office Chairs-WUO_TRK'!A228),_xlfn.TEXTAFTER('10 - Office Chairs-WUO_ERR'!A228, ":"))))</f>
        <v/>
      </c>
    </row>
    <row r="229">
      <c r="A229" s="39">
        <f>IF('10 - Office Chairs'!B229 = "", "", IF('10 - Office Chairs-WUO_ERR'!A229 = "", "Validated", HYPERLINK("#" &amp; ADDRESS(229, '10 - Office Chairs-WUO_TRK'!A229),_xlfn.TEXTAFTER('10 - Office Chairs-WUO_ERR'!A229, ":"))))</f>
        <v/>
      </c>
    </row>
    <row r="230">
      <c r="A230" s="39">
        <f>IF('10 - Office Chairs'!B230 = "", "", IF('10 - Office Chairs-WUO_ERR'!A230 = "", "Validated", HYPERLINK("#" &amp; ADDRESS(230, '10 - Office Chairs-WUO_TRK'!A230),_xlfn.TEXTAFTER('10 - Office Chairs-WUO_ERR'!A230, ":"))))</f>
        <v/>
      </c>
    </row>
    <row r="231">
      <c r="A231" s="39">
        <f>IF('10 - Office Chairs'!B231 = "", "", IF('10 - Office Chairs-WUO_ERR'!A231 = "", "Validated", HYPERLINK("#" &amp; ADDRESS(231, '10 - Office Chairs-WUO_TRK'!A231),_xlfn.TEXTAFTER('10 - Office Chairs-WUO_ERR'!A231, ":"))))</f>
        <v/>
      </c>
    </row>
    <row r="232">
      <c r="A232" s="39">
        <f>IF('10 - Office Chairs'!B232 = "", "", IF('10 - Office Chairs-WUO_ERR'!A232 = "", "Validated", HYPERLINK("#" &amp; ADDRESS(232, '10 - Office Chairs-WUO_TRK'!A232),_xlfn.TEXTAFTER('10 - Office Chairs-WUO_ERR'!A232, ":"))))</f>
        <v/>
      </c>
    </row>
    <row r="233">
      <c r="A233" s="39">
        <f>IF('10 - Office Chairs'!B233 = "", "", IF('10 - Office Chairs-WUO_ERR'!A233 = "", "Validated", HYPERLINK("#" &amp; ADDRESS(233, '10 - Office Chairs-WUO_TRK'!A233),_xlfn.TEXTAFTER('10 - Office Chairs-WUO_ERR'!A233, ":"))))</f>
        <v/>
      </c>
    </row>
    <row r="234">
      <c r="A234" s="39">
        <f>IF('10 - Office Chairs'!B234 = "", "", IF('10 - Office Chairs-WUO_ERR'!A234 = "", "Validated", HYPERLINK("#" &amp; ADDRESS(234, '10 - Office Chairs-WUO_TRK'!A234),_xlfn.TEXTAFTER('10 - Office Chairs-WUO_ERR'!A234, ":"))))</f>
        <v/>
      </c>
    </row>
    <row r="235">
      <c r="A235" s="39">
        <f>IF('10 - Office Chairs'!B235 = "", "", IF('10 - Office Chairs-WUO_ERR'!A235 = "", "Validated", HYPERLINK("#" &amp; ADDRESS(235, '10 - Office Chairs-WUO_TRK'!A235),_xlfn.TEXTAFTER('10 - Office Chairs-WUO_ERR'!A235, ":"))))</f>
        <v/>
      </c>
    </row>
    <row r="236">
      <c r="A236" s="39">
        <f>IF('10 - Office Chairs'!B236 = "", "", IF('10 - Office Chairs-WUO_ERR'!A236 = "", "Validated", HYPERLINK("#" &amp; ADDRESS(236, '10 - Office Chairs-WUO_TRK'!A236),_xlfn.TEXTAFTER('10 - Office Chairs-WUO_ERR'!A236, ":"))))</f>
        <v/>
      </c>
    </row>
    <row r="237">
      <c r="A237" s="39">
        <f>IF('10 - Office Chairs'!B237 = "", "", IF('10 - Office Chairs-WUO_ERR'!A237 = "", "Validated", HYPERLINK("#" &amp; ADDRESS(237, '10 - Office Chairs-WUO_TRK'!A237),_xlfn.TEXTAFTER('10 - Office Chairs-WUO_ERR'!A237, ":"))))</f>
        <v/>
      </c>
    </row>
    <row r="238">
      <c r="A238" s="39">
        <f>IF('10 - Office Chairs'!B238 = "", "", IF('10 - Office Chairs-WUO_ERR'!A238 = "", "Validated", HYPERLINK("#" &amp; ADDRESS(238, '10 - Office Chairs-WUO_TRK'!A238),_xlfn.TEXTAFTER('10 - Office Chairs-WUO_ERR'!A238, ":"))))</f>
        <v/>
      </c>
    </row>
    <row r="239">
      <c r="A239" s="39">
        <f>IF('10 - Office Chairs'!B239 = "", "", IF('10 - Office Chairs-WUO_ERR'!A239 = "", "Validated", HYPERLINK("#" &amp; ADDRESS(239, '10 - Office Chairs-WUO_TRK'!A239),_xlfn.TEXTAFTER('10 - Office Chairs-WUO_ERR'!A239, ":"))))</f>
        <v/>
      </c>
    </row>
    <row r="240">
      <c r="A240" s="39">
        <f>IF('10 - Office Chairs'!B240 = "", "", IF('10 - Office Chairs-WUO_ERR'!A240 = "", "Validated", HYPERLINK("#" &amp; ADDRESS(240, '10 - Office Chairs-WUO_TRK'!A240),_xlfn.TEXTAFTER('10 - Office Chairs-WUO_ERR'!A240, ":"))))</f>
        <v/>
      </c>
    </row>
    <row r="241">
      <c r="A241" s="39">
        <f>IF('10 - Office Chairs'!B241 = "", "", IF('10 - Office Chairs-WUO_ERR'!A241 = "", "Validated", HYPERLINK("#" &amp; ADDRESS(241, '10 - Office Chairs-WUO_TRK'!A241),_xlfn.TEXTAFTER('10 - Office Chairs-WUO_ERR'!A241, ":"))))</f>
        <v/>
      </c>
    </row>
    <row r="242">
      <c r="A242" s="39">
        <f>IF('10 - Office Chairs'!B242 = "", "", IF('10 - Office Chairs-WUO_ERR'!A242 = "", "Validated", HYPERLINK("#" &amp; ADDRESS(242, '10 - Office Chairs-WUO_TRK'!A242),_xlfn.TEXTAFTER('10 - Office Chairs-WUO_ERR'!A242, ":"))))</f>
        <v/>
      </c>
    </row>
    <row r="243">
      <c r="A243" s="39">
        <f>IF('10 - Office Chairs'!B243 = "", "", IF('10 - Office Chairs-WUO_ERR'!A243 = "", "Validated", HYPERLINK("#" &amp; ADDRESS(243, '10 - Office Chairs-WUO_TRK'!A243),_xlfn.TEXTAFTER('10 - Office Chairs-WUO_ERR'!A243, ":"))))</f>
        <v/>
      </c>
    </row>
    <row r="244">
      <c r="A244" s="39">
        <f>IF('10 - Office Chairs'!B244 = "", "", IF('10 - Office Chairs-WUO_ERR'!A244 = "", "Validated", HYPERLINK("#" &amp; ADDRESS(244, '10 - Office Chairs-WUO_TRK'!A244),_xlfn.TEXTAFTER('10 - Office Chairs-WUO_ERR'!A244, ":"))))</f>
        <v/>
      </c>
    </row>
    <row r="245">
      <c r="A245" s="39">
        <f>IF('10 - Office Chairs'!B245 = "", "", IF('10 - Office Chairs-WUO_ERR'!A245 = "", "Validated", HYPERLINK("#" &amp; ADDRESS(245, '10 - Office Chairs-WUO_TRK'!A245),_xlfn.TEXTAFTER('10 - Office Chairs-WUO_ERR'!A245, ":"))))</f>
        <v/>
      </c>
    </row>
    <row r="246">
      <c r="A246" s="39">
        <f>IF('10 - Office Chairs'!B246 = "", "", IF('10 - Office Chairs-WUO_ERR'!A246 = "", "Validated", HYPERLINK("#" &amp; ADDRESS(246, '10 - Office Chairs-WUO_TRK'!A246),_xlfn.TEXTAFTER('10 - Office Chairs-WUO_ERR'!A246, ":"))))</f>
        <v/>
      </c>
    </row>
    <row r="247">
      <c r="A247" s="39">
        <f>IF('10 - Office Chairs'!B247 = "", "", IF('10 - Office Chairs-WUO_ERR'!A247 = "", "Validated", HYPERLINK("#" &amp; ADDRESS(247, '10 - Office Chairs-WUO_TRK'!A247),_xlfn.TEXTAFTER('10 - Office Chairs-WUO_ERR'!A247, ":"))))</f>
        <v/>
      </c>
    </row>
    <row r="248">
      <c r="A248" s="39">
        <f>IF('10 - Office Chairs'!B248 = "", "", IF('10 - Office Chairs-WUO_ERR'!A248 = "", "Validated", HYPERLINK("#" &amp; ADDRESS(248, '10 - Office Chairs-WUO_TRK'!A248),_xlfn.TEXTAFTER('10 - Office Chairs-WUO_ERR'!A248, ":"))))</f>
        <v/>
      </c>
    </row>
    <row r="249">
      <c r="A249" s="39">
        <f>IF('10 - Office Chairs'!B249 = "", "", IF('10 - Office Chairs-WUO_ERR'!A249 = "", "Validated", HYPERLINK("#" &amp; ADDRESS(249, '10 - Office Chairs-WUO_TRK'!A249),_xlfn.TEXTAFTER('10 - Office Chairs-WUO_ERR'!A249, ":"))))</f>
        <v/>
      </c>
    </row>
    <row r="250">
      <c r="A250" s="39">
        <f>IF('10 - Office Chairs'!B250 = "", "", IF('10 - Office Chairs-WUO_ERR'!A250 = "", "Validated", HYPERLINK("#" &amp; ADDRESS(250, '10 - Office Chairs-WUO_TRK'!A250),_xlfn.TEXTAFTER('10 - Office Chairs-WUO_ERR'!A250, ":"))))</f>
        <v/>
      </c>
    </row>
    <row r="251">
      <c r="A251" s="39">
        <f>IF('10 - Office Chairs'!B251 = "", "", IF('10 - Office Chairs-WUO_ERR'!A251 = "", "Validated", HYPERLINK("#" &amp; ADDRESS(251, '10 - Office Chairs-WUO_TRK'!A251),_xlfn.TEXTAFTER('10 - Office Chairs-WUO_ERR'!A251, ":"))))</f>
        <v/>
      </c>
    </row>
    <row r="252">
      <c r="A252" s="39">
        <f>IF('10 - Office Chairs'!B252 = "", "", IF('10 - Office Chairs-WUO_ERR'!A252 = "", "Validated", HYPERLINK("#" &amp; ADDRESS(252, '10 - Office Chairs-WUO_TRK'!A252),_xlfn.TEXTAFTER('10 - Office Chairs-WUO_ERR'!A252, ":"))))</f>
        <v/>
      </c>
    </row>
    <row r="253">
      <c r="A253" s="39">
        <f>IF('10 - Office Chairs'!B253 = "", "", IF('10 - Office Chairs-WUO_ERR'!A253 = "", "Validated", HYPERLINK("#" &amp; ADDRESS(253, '10 - Office Chairs-WUO_TRK'!A253),_xlfn.TEXTAFTER('10 - Office Chairs-WUO_ERR'!A253, ":"))))</f>
        <v/>
      </c>
    </row>
    <row r="254">
      <c r="A254" s="39">
        <f>IF('10 - Office Chairs'!B254 = "", "", IF('10 - Office Chairs-WUO_ERR'!A254 = "", "Validated", HYPERLINK("#" &amp; ADDRESS(254, '10 - Office Chairs-WUO_TRK'!A254),_xlfn.TEXTAFTER('10 - Office Chairs-WUO_ERR'!A254, ":"))))</f>
        <v/>
      </c>
    </row>
    <row r="255">
      <c r="A255" s="39">
        <f>IF('10 - Office Chairs'!B255 = "", "", IF('10 - Office Chairs-WUO_ERR'!A255 = "", "Validated", HYPERLINK("#" &amp; ADDRESS(255, '10 - Office Chairs-WUO_TRK'!A255),_xlfn.TEXTAFTER('10 - Office Chairs-WUO_ERR'!A255, ":"))))</f>
        <v/>
      </c>
    </row>
    <row r="256">
      <c r="A256" s="39">
        <f>IF('10 - Office Chairs'!B256 = "", "", IF('10 - Office Chairs-WUO_ERR'!A256 = "", "Validated", HYPERLINK("#" &amp; ADDRESS(256, '10 - Office Chairs-WUO_TRK'!A256),_xlfn.TEXTAFTER('10 - Office Chairs-WUO_ERR'!A256, ":"))))</f>
        <v/>
      </c>
    </row>
    <row r="257">
      <c r="A257" s="39">
        <f>IF('10 - Office Chairs'!B257 = "", "", IF('10 - Office Chairs-WUO_ERR'!A257 = "", "Validated", HYPERLINK("#" &amp; ADDRESS(257, '10 - Office Chairs-WUO_TRK'!A257),_xlfn.TEXTAFTER('10 - Office Chairs-WUO_ERR'!A257, ":"))))</f>
        <v/>
      </c>
    </row>
    <row r="258">
      <c r="A258" s="39">
        <f>IF('10 - Office Chairs'!B258 = "", "", IF('10 - Office Chairs-WUO_ERR'!A258 = "", "Validated", HYPERLINK("#" &amp; ADDRESS(258, '10 - Office Chairs-WUO_TRK'!A258),_xlfn.TEXTAFTER('10 - Office Chairs-WUO_ERR'!A258, ":"))))</f>
        <v/>
      </c>
    </row>
    <row r="259">
      <c r="A259" s="39">
        <f>IF('10 - Office Chairs'!B259 = "", "", IF('10 - Office Chairs-WUO_ERR'!A259 = "", "Validated", HYPERLINK("#" &amp; ADDRESS(259, '10 - Office Chairs-WUO_TRK'!A259),_xlfn.TEXTAFTER('10 - Office Chairs-WUO_ERR'!A259, ":"))))</f>
        <v/>
      </c>
    </row>
    <row r="260">
      <c r="A260" s="39">
        <f>IF('10 - Office Chairs'!B260 = "", "", IF('10 - Office Chairs-WUO_ERR'!A260 = "", "Validated", HYPERLINK("#" &amp; ADDRESS(260, '10 - Office Chairs-WUO_TRK'!A260),_xlfn.TEXTAFTER('10 - Office Chairs-WUO_ERR'!A260, ":"))))</f>
        <v/>
      </c>
    </row>
    <row r="261">
      <c r="A261" s="39">
        <f>IF('10 - Office Chairs'!B261 = "", "", IF('10 - Office Chairs-WUO_ERR'!A261 = "", "Validated", HYPERLINK("#" &amp; ADDRESS(261, '10 - Office Chairs-WUO_TRK'!A261),_xlfn.TEXTAFTER('10 - Office Chairs-WUO_ERR'!A261, ":"))))</f>
        <v/>
      </c>
    </row>
    <row r="262">
      <c r="A262" s="39">
        <f>IF('10 - Office Chairs'!B262 = "", "", IF('10 - Office Chairs-WUO_ERR'!A262 = "", "Validated", HYPERLINK("#" &amp; ADDRESS(262, '10 - Office Chairs-WUO_TRK'!A262),_xlfn.TEXTAFTER('10 - Office Chairs-WUO_ERR'!A262, ":"))))</f>
        <v/>
      </c>
    </row>
    <row r="263">
      <c r="A263" s="39">
        <f>IF('10 - Office Chairs'!B263 = "", "", IF('10 - Office Chairs-WUO_ERR'!A263 = "", "Validated", HYPERLINK("#" &amp; ADDRESS(263, '10 - Office Chairs-WUO_TRK'!A263),_xlfn.TEXTAFTER('10 - Office Chairs-WUO_ERR'!A263, ":"))))</f>
        <v/>
      </c>
    </row>
    <row r="264">
      <c r="A264" s="39">
        <f>IF('10 - Office Chairs'!B264 = "", "", IF('10 - Office Chairs-WUO_ERR'!A264 = "", "Validated", HYPERLINK("#" &amp; ADDRESS(264, '10 - Office Chairs-WUO_TRK'!A264),_xlfn.TEXTAFTER('10 - Office Chairs-WUO_ERR'!A264, ":"))))</f>
        <v/>
      </c>
    </row>
    <row r="265">
      <c r="A265" s="39">
        <f>IF('10 - Office Chairs'!B265 = "", "", IF('10 - Office Chairs-WUO_ERR'!A265 = "", "Validated", HYPERLINK("#" &amp; ADDRESS(265, '10 - Office Chairs-WUO_TRK'!A265),_xlfn.TEXTAFTER('10 - Office Chairs-WUO_ERR'!A265, ":"))))</f>
        <v/>
      </c>
    </row>
    <row r="266">
      <c r="A266" s="39">
        <f>IF('10 - Office Chairs'!B266 = "", "", IF('10 - Office Chairs-WUO_ERR'!A266 = "", "Validated", HYPERLINK("#" &amp; ADDRESS(266, '10 - Office Chairs-WUO_TRK'!A266),_xlfn.TEXTAFTER('10 - Office Chairs-WUO_ERR'!A266, ":"))))</f>
        <v/>
      </c>
    </row>
    <row r="267">
      <c r="A267" s="39">
        <f>IF('10 - Office Chairs'!B267 = "", "", IF('10 - Office Chairs-WUO_ERR'!A267 = "", "Validated", HYPERLINK("#" &amp; ADDRESS(267, '10 - Office Chairs-WUO_TRK'!A267),_xlfn.TEXTAFTER('10 - Office Chairs-WUO_ERR'!A267, ":"))))</f>
        <v/>
      </c>
    </row>
    <row r="268">
      <c r="A268" s="39">
        <f>IF('10 - Office Chairs'!B268 = "", "", IF('10 - Office Chairs-WUO_ERR'!A268 = "", "Validated", HYPERLINK("#" &amp; ADDRESS(268, '10 - Office Chairs-WUO_TRK'!A268),_xlfn.TEXTAFTER('10 - Office Chairs-WUO_ERR'!A268, ":"))))</f>
        <v/>
      </c>
    </row>
    <row r="269">
      <c r="A269" s="39">
        <f>IF('10 - Office Chairs'!B269 = "", "", IF('10 - Office Chairs-WUO_ERR'!A269 = "", "Validated", HYPERLINK("#" &amp; ADDRESS(269, '10 - Office Chairs-WUO_TRK'!A269),_xlfn.TEXTAFTER('10 - Office Chairs-WUO_ERR'!A269, ":"))))</f>
        <v/>
      </c>
    </row>
    <row r="270">
      <c r="A270" s="39">
        <f>IF('10 - Office Chairs'!B270 = "", "", IF('10 - Office Chairs-WUO_ERR'!A270 = "", "Validated", HYPERLINK("#" &amp; ADDRESS(270, '10 - Office Chairs-WUO_TRK'!A270),_xlfn.TEXTAFTER('10 - Office Chairs-WUO_ERR'!A270, ":"))))</f>
        <v/>
      </c>
    </row>
    <row r="271">
      <c r="A271" s="39">
        <f>IF('10 - Office Chairs'!B271 = "", "", IF('10 - Office Chairs-WUO_ERR'!A271 = "", "Validated", HYPERLINK("#" &amp; ADDRESS(271, '10 - Office Chairs-WUO_TRK'!A271),_xlfn.TEXTAFTER('10 - Office Chairs-WUO_ERR'!A271, ":"))))</f>
        <v/>
      </c>
    </row>
    <row r="272">
      <c r="A272" s="39">
        <f>IF('10 - Office Chairs'!B272 = "", "", IF('10 - Office Chairs-WUO_ERR'!A272 = "", "Validated", HYPERLINK("#" &amp; ADDRESS(272, '10 - Office Chairs-WUO_TRK'!A272),_xlfn.TEXTAFTER('10 - Office Chairs-WUO_ERR'!A272, ":"))))</f>
        <v/>
      </c>
    </row>
    <row r="273">
      <c r="A273" s="39">
        <f>IF('10 - Office Chairs'!B273 = "", "", IF('10 - Office Chairs-WUO_ERR'!A273 = "", "Validated", HYPERLINK("#" &amp; ADDRESS(273, '10 - Office Chairs-WUO_TRK'!A273),_xlfn.TEXTAFTER('10 - Office Chairs-WUO_ERR'!A273, ":"))))</f>
        <v/>
      </c>
    </row>
    <row r="274">
      <c r="A274" s="39">
        <f>IF('10 - Office Chairs'!B274 = "", "", IF('10 - Office Chairs-WUO_ERR'!A274 = "", "Validated", HYPERLINK("#" &amp; ADDRESS(274, '10 - Office Chairs-WUO_TRK'!A274),_xlfn.TEXTAFTER('10 - Office Chairs-WUO_ERR'!A274, ":"))))</f>
        <v/>
      </c>
    </row>
    <row r="275">
      <c r="A275" s="39">
        <f>IF('10 - Office Chairs'!B275 = "", "", IF('10 - Office Chairs-WUO_ERR'!A275 = "", "Validated", HYPERLINK("#" &amp; ADDRESS(275, '10 - Office Chairs-WUO_TRK'!A275),_xlfn.TEXTAFTER('10 - Office Chairs-WUO_ERR'!A275, ":"))))</f>
        <v/>
      </c>
    </row>
    <row r="276">
      <c r="A276" s="39">
        <f>IF('10 - Office Chairs'!B276 = "", "", IF('10 - Office Chairs-WUO_ERR'!A276 = "", "Validated", HYPERLINK("#" &amp; ADDRESS(276, '10 - Office Chairs-WUO_TRK'!A276),_xlfn.TEXTAFTER('10 - Office Chairs-WUO_ERR'!A276, ":"))))</f>
        <v/>
      </c>
    </row>
    <row r="277">
      <c r="A277" s="39">
        <f>IF('10 - Office Chairs'!B277 = "", "", IF('10 - Office Chairs-WUO_ERR'!A277 = "", "Validated", HYPERLINK("#" &amp; ADDRESS(277, '10 - Office Chairs-WUO_TRK'!A277),_xlfn.TEXTAFTER('10 - Office Chairs-WUO_ERR'!A277, ":"))))</f>
        <v/>
      </c>
    </row>
    <row r="278">
      <c r="A278" s="39">
        <f>IF('10 - Office Chairs'!B278 = "", "", IF('10 - Office Chairs-WUO_ERR'!A278 = "", "Validated", HYPERLINK("#" &amp; ADDRESS(278, '10 - Office Chairs-WUO_TRK'!A278),_xlfn.TEXTAFTER('10 - Office Chairs-WUO_ERR'!A278, ":"))))</f>
        <v/>
      </c>
    </row>
    <row r="279">
      <c r="A279" s="39">
        <f>IF('10 - Office Chairs'!B279 = "", "", IF('10 - Office Chairs-WUO_ERR'!A279 = "", "Validated", HYPERLINK("#" &amp; ADDRESS(279, '10 - Office Chairs-WUO_TRK'!A279),_xlfn.TEXTAFTER('10 - Office Chairs-WUO_ERR'!A279, ":"))))</f>
        <v/>
      </c>
    </row>
    <row r="280">
      <c r="A280" s="39">
        <f>IF('10 - Office Chairs'!B280 = "", "", IF('10 - Office Chairs-WUO_ERR'!A280 = "", "Validated", HYPERLINK("#" &amp; ADDRESS(280, '10 - Office Chairs-WUO_TRK'!A280),_xlfn.TEXTAFTER('10 - Office Chairs-WUO_ERR'!A280, ":"))))</f>
        <v/>
      </c>
    </row>
    <row r="281">
      <c r="A281" s="39">
        <f>IF('10 - Office Chairs'!B281 = "", "", IF('10 - Office Chairs-WUO_ERR'!A281 = "", "Validated", HYPERLINK("#" &amp; ADDRESS(281, '10 - Office Chairs-WUO_TRK'!A281),_xlfn.TEXTAFTER('10 - Office Chairs-WUO_ERR'!A281, ":"))))</f>
        <v/>
      </c>
    </row>
    <row r="282">
      <c r="A282" s="39">
        <f>IF('10 - Office Chairs'!B282 = "", "", IF('10 - Office Chairs-WUO_ERR'!A282 = "", "Validated", HYPERLINK("#" &amp; ADDRESS(282, '10 - Office Chairs-WUO_TRK'!A282),_xlfn.TEXTAFTER('10 - Office Chairs-WUO_ERR'!A282, ":"))))</f>
        <v/>
      </c>
    </row>
    <row r="283">
      <c r="A283" s="39">
        <f>IF('10 - Office Chairs'!B283 = "", "", IF('10 - Office Chairs-WUO_ERR'!A283 = "", "Validated", HYPERLINK("#" &amp; ADDRESS(283, '10 - Office Chairs-WUO_TRK'!A283),_xlfn.TEXTAFTER('10 - Office Chairs-WUO_ERR'!A283, ":"))))</f>
        <v/>
      </c>
    </row>
    <row r="284">
      <c r="A284" s="39">
        <f>IF('10 - Office Chairs'!B284 = "", "", IF('10 - Office Chairs-WUO_ERR'!A284 = "", "Validated", HYPERLINK("#" &amp; ADDRESS(284, '10 - Office Chairs-WUO_TRK'!A284),_xlfn.TEXTAFTER('10 - Office Chairs-WUO_ERR'!A284, ":"))))</f>
        <v/>
      </c>
    </row>
    <row r="285">
      <c r="A285" s="39">
        <f>IF('10 - Office Chairs'!B285 = "", "", IF('10 - Office Chairs-WUO_ERR'!A285 = "", "Validated", HYPERLINK("#" &amp; ADDRESS(285, '10 - Office Chairs-WUO_TRK'!A285),_xlfn.TEXTAFTER('10 - Office Chairs-WUO_ERR'!A285, ":"))))</f>
        <v/>
      </c>
    </row>
    <row r="286">
      <c r="A286" s="39">
        <f>IF('10 - Office Chairs'!B286 = "", "", IF('10 - Office Chairs-WUO_ERR'!A286 = "", "Validated", HYPERLINK("#" &amp; ADDRESS(286, '10 - Office Chairs-WUO_TRK'!A286),_xlfn.TEXTAFTER('10 - Office Chairs-WUO_ERR'!A286, ":"))))</f>
        <v/>
      </c>
    </row>
    <row r="287">
      <c r="A287" s="39">
        <f>IF('10 - Office Chairs'!B287 = "", "", IF('10 - Office Chairs-WUO_ERR'!A287 = "", "Validated", HYPERLINK("#" &amp; ADDRESS(287, '10 - Office Chairs-WUO_TRK'!A287),_xlfn.TEXTAFTER('10 - Office Chairs-WUO_ERR'!A287, ":"))))</f>
        <v/>
      </c>
    </row>
    <row r="288">
      <c r="A288" s="39">
        <f>IF('10 - Office Chairs'!B288 = "", "", IF('10 - Office Chairs-WUO_ERR'!A288 = "", "Validated", HYPERLINK("#" &amp; ADDRESS(288, '10 - Office Chairs-WUO_TRK'!A288),_xlfn.TEXTAFTER('10 - Office Chairs-WUO_ERR'!A288, ":"))))</f>
        <v/>
      </c>
    </row>
    <row r="289">
      <c r="A289" s="39">
        <f>IF('10 - Office Chairs'!B289 = "", "", IF('10 - Office Chairs-WUO_ERR'!A289 = "", "Validated", HYPERLINK("#" &amp; ADDRESS(289, '10 - Office Chairs-WUO_TRK'!A289),_xlfn.TEXTAFTER('10 - Office Chairs-WUO_ERR'!A289, ":"))))</f>
        <v/>
      </c>
    </row>
    <row r="290">
      <c r="A290" s="39">
        <f>IF('10 - Office Chairs'!B290 = "", "", IF('10 - Office Chairs-WUO_ERR'!A290 = "", "Validated", HYPERLINK("#" &amp; ADDRESS(290, '10 - Office Chairs-WUO_TRK'!A290),_xlfn.TEXTAFTER('10 - Office Chairs-WUO_ERR'!A290, ":"))))</f>
        <v/>
      </c>
    </row>
    <row r="291">
      <c r="A291" s="39">
        <f>IF('10 - Office Chairs'!B291 = "", "", IF('10 - Office Chairs-WUO_ERR'!A291 = "", "Validated", HYPERLINK("#" &amp; ADDRESS(291, '10 - Office Chairs-WUO_TRK'!A291),_xlfn.TEXTAFTER('10 - Office Chairs-WUO_ERR'!A291, ":"))))</f>
        <v/>
      </c>
    </row>
    <row r="292">
      <c r="A292" s="39">
        <f>IF('10 - Office Chairs'!B292 = "", "", IF('10 - Office Chairs-WUO_ERR'!A292 = "", "Validated", HYPERLINK("#" &amp; ADDRESS(292, '10 - Office Chairs-WUO_TRK'!A292),_xlfn.TEXTAFTER('10 - Office Chairs-WUO_ERR'!A292, ":"))))</f>
        <v/>
      </c>
    </row>
    <row r="293">
      <c r="A293" s="39">
        <f>IF('10 - Office Chairs'!B293 = "", "", IF('10 - Office Chairs-WUO_ERR'!A293 = "", "Validated", HYPERLINK("#" &amp; ADDRESS(293, '10 - Office Chairs-WUO_TRK'!A293),_xlfn.TEXTAFTER('10 - Office Chairs-WUO_ERR'!A293, ":"))))</f>
        <v/>
      </c>
    </row>
    <row r="294">
      <c r="A294" s="39">
        <f>IF('10 - Office Chairs'!B294 = "", "", IF('10 - Office Chairs-WUO_ERR'!A294 = "", "Validated", HYPERLINK("#" &amp; ADDRESS(294, '10 - Office Chairs-WUO_TRK'!A294),_xlfn.TEXTAFTER('10 - Office Chairs-WUO_ERR'!A294, ":"))))</f>
        <v/>
      </c>
    </row>
    <row r="295">
      <c r="A295" s="39">
        <f>IF('10 - Office Chairs'!B295 = "", "", IF('10 - Office Chairs-WUO_ERR'!A295 = "", "Validated", HYPERLINK("#" &amp; ADDRESS(295, '10 - Office Chairs-WUO_TRK'!A295),_xlfn.TEXTAFTER('10 - Office Chairs-WUO_ERR'!A295, ":"))))</f>
        <v/>
      </c>
    </row>
    <row r="296">
      <c r="A296" s="39">
        <f>IF('10 - Office Chairs'!B296 = "", "", IF('10 - Office Chairs-WUO_ERR'!A296 = "", "Validated", HYPERLINK("#" &amp; ADDRESS(296, '10 - Office Chairs-WUO_TRK'!A296),_xlfn.TEXTAFTER('10 - Office Chairs-WUO_ERR'!A296, ":"))))</f>
        <v/>
      </c>
    </row>
    <row r="297">
      <c r="A297" s="39">
        <f>IF('10 - Office Chairs'!B297 = "", "", IF('10 - Office Chairs-WUO_ERR'!A297 = "", "Validated", HYPERLINK("#" &amp; ADDRESS(297, '10 - Office Chairs-WUO_TRK'!A297),_xlfn.TEXTAFTER('10 - Office Chairs-WUO_ERR'!A297, ":"))))</f>
        <v/>
      </c>
    </row>
    <row r="298">
      <c r="A298" s="39">
        <f>IF('10 - Office Chairs'!B298 = "", "", IF('10 - Office Chairs-WUO_ERR'!A298 = "", "Validated", HYPERLINK("#" &amp; ADDRESS(298, '10 - Office Chairs-WUO_TRK'!A298),_xlfn.TEXTAFTER('10 - Office Chairs-WUO_ERR'!A298, ":"))))</f>
        <v/>
      </c>
    </row>
    <row r="299">
      <c r="A299" s="39">
        <f>IF('10 - Office Chairs'!B299 = "", "", IF('10 - Office Chairs-WUO_ERR'!A299 = "", "Validated", HYPERLINK("#" &amp; ADDRESS(299, '10 - Office Chairs-WUO_TRK'!A299),_xlfn.TEXTAFTER('10 - Office Chairs-WUO_ERR'!A299, ":"))))</f>
        <v/>
      </c>
    </row>
    <row r="300">
      <c r="A300" s="39">
        <f>IF('10 - Office Chairs'!B300 = "", "", IF('10 - Office Chairs-WUO_ERR'!A300 = "", "Validated", HYPERLINK("#" &amp; ADDRESS(300, '10 - Office Chairs-WUO_TRK'!A300),_xlfn.TEXTAFTER('10 - Office Chairs-WUO_ERR'!A300, ":"))))</f>
        <v/>
      </c>
    </row>
    <row r="301">
      <c r="A301" s="39">
        <f>IF('10 - Office Chairs'!B301 = "", "", IF('10 - Office Chairs-WUO_ERR'!A301 = "", "Validated", HYPERLINK("#" &amp; ADDRESS(301, '10 - Office Chairs-WUO_TRK'!A301),_xlfn.TEXTAFTER('10 - Office Chairs-WUO_ERR'!A301, ":"))))</f>
        <v/>
      </c>
    </row>
    <row r="302">
      <c r="A302" s="39">
        <f>IF('10 - Office Chairs'!B302 = "", "", IF('10 - Office Chairs-WUO_ERR'!A302 = "", "Validated", HYPERLINK("#" &amp; ADDRESS(302, '10 - Office Chairs-WUO_TRK'!A302),_xlfn.TEXTAFTER('10 - Office Chairs-WUO_ERR'!A302, ":"))))</f>
        <v/>
      </c>
    </row>
    <row r="303">
      <c r="A303" s="39">
        <f>IF('10 - Office Chairs'!B303 = "", "", IF('10 - Office Chairs-WUO_ERR'!A303 = "", "Validated", HYPERLINK("#" &amp; ADDRESS(303, '10 - Office Chairs-WUO_TRK'!A303),_xlfn.TEXTAFTER('10 - Office Chairs-WUO_ERR'!A303, ":"))))</f>
        <v/>
      </c>
    </row>
    <row r="304">
      <c r="A304" s="39">
        <f>IF('10 - Office Chairs'!B304 = "", "", IF('10 - Office Chairs-WUO_ERR'!A304 = "", "Validated", HYPERLINK("#" &amp; ADDRESS(304, '10 - Office Chairs-WUO_TRK'!A304),_xlfn.TEXTAFTER('10 - Office Chairs-WUO_ERR'!A304, ":"))))</f>
        <v/>
      </c>
    </row>
    <row r="305">
      <c r="A305" s="39">
        <f>IF('10 - Office Chairs'!B305 = "", "", IF('10 - Office Chairs-WUO_ERR'!A305 = "", "Validated", HYPERLINK("#" &amp; ADDRESS(305, '10 - Office Chairs-WUO_TRK'!A305),_xlfn.TEXTAFTER('10 - Office Chairs-WUO_ERR'!A305, ":"))))</f>
        <v/>
      </c>
    </row>
    <row r="306">
      <c r="A306" s="39">
        <f>IF('10 - Office Chairs'!B306 = "", "", IF('10 - Office Chairs-WUO_ERR'!A306 = "", "Validated", HYPERLINK("#" &amp; ADDRESS(306, '10 - Office Chairs-WUO_TRK'!A306),_xlfn.TEXTAFTER('10 - Office Chairs-WUO_ERR'!A306, ":"))))</f>
        <v/>
      </c>
    </row>
    <row r="307">
      <c r="A307" s="39">
        <f>IF('10 - Office Chairs'!B307 = "", "", IF('10 - Office Chairs-WUO_ERR'!A307 = "", "Validated", HYPERLINK("#" &amp; ADDRESS(307, '10 - Office Chairs-WUO_TRK'!A307),_xlfn.TEXTAFTER('10 - Office Chairs-WUO_ERR'!A307, ":"))))</f>
        <v/>
      </c>
    </row>
    <row r="308">
      <c r="A308" s="39">
        <f>IF('10 - Office Chairs'!B308 = "", "", IF('10 - Office Chairs-WUO_ERR'!A308 = "", "Validated", HYPERLINK("#" &amp; ADDRESS(308, '10 - Office Chairs-WUO_TRK'!A308),_xlfn.TEXTAFTER('10 - Office Chairs-WUO_ERR'!A308, ":"))))</f>
        <v/>
      </c>
    </row>
    <row r="309">
      <c r="A309" s="39">
        <f>IF('10 - Office Chairs'!B309 = "", "", IF('10 - Office Chairs-WUO_ERR'!A309 = "", "Validated", HYPERLINK("#" &amp; ADDRESS(309, '10 - Office Chairs-WUO_TRK'!A309),_xlfn.TEXTAFTER('10 - Office Chairs-WUO_ERR'!A309, ":"))))</f>
        <v/>
      </c>
    </row>
    <row r="310">
      <c r="A310" s="39">
        <f>IF('10 - Office Chairs'!B310 = "", "", IF('10 - Office Chairs-WUO_ERR'!A310 = "", "Validated", HYPERLINK("#" &amp; ADDRESS(310, '10 - Office Chairs-WUO_TRK'!A310),_xlfn.TEXTAFTER('10 - Office Chairs-WUO_ERR'!A310, ":"))))</f>
        <v/>
      </c>
    </row>
    <row r="311">
      <c r="A311" s="39">
        <f>IF('10 - Office Chairs'!B311 = "", "", IF('10 - Office Chairs-WUO_ERR'!A311 = "", "Validated", HYPERLINK("#" &amp; ADDRESS(311, '10 - Office Chairs-WUO_TRK'!A311),_xlfn.TEXTAFTER('10 - Office Chairs-WUO_ERR'!A311, ":"))))</f>
        <v/>
      </c>
    </row>
    <row r="312">
      <c r="A312" s="39">
        <f>IF('10 - Office Chairs'!B312 = "", "", IF('10 - Office Chairs-WUO_ERR'!A312 = "", "Validated", HYPERLINK("#" &amp; ADDRESS(312, '10 - Office Chairs-WUO_TRK'!A312),_xlfn.TEXTAFTER('10 - Office Chairs-WUO_ERR'!A312, ":"))))</f>
        <v/>
      </c>
    </row>
    <row r="313">
      <c r="A313" s="39">
        <f>IF('10 - Office Chairs'!B313 = "", "", IF('10 - Office Chairs-WUO_ERR'!A313 = "", "Validated", HYPERLINK("#" &amp; ADDRESS(313, '10 - Office Chairs-WUO_TRK'!A313),_xlfn.TEXTAFTER('10 - Office Chairs-WUO_ERR'!A313, ":"))))</f>
        <v/>
      </c>
    </row>
    <row r="314">
      <c r="A314" s="39">
        <f>IF('10 - Office Chairs'!B314 = "", "", IF('10 - Office Chairs-WUO_ERR'!A314 = "", "Validated", HYPERLINK("#" &amp; ADDRESS(314, '10 - Office Chairs-WUO_TRK'!A314),_xlfn.TEXTAFTER('10 - Office Chairs-WUO_ERR'!A314, ":"))))</f>
        <v/>
      </c>
    </row>
    <row r="315">
      <c r="A315" s="39">
        <f>IF('10 - Office Chairs'!B315 = "", "", IF('10 - Office Chairs-WUO_ERR'!A315 = "", "Validated", HYPERLINK("#" &amp; ADDRESS(315, '10 - Office Chairs-WUO_TRK'!A315),_xlfn.TEXTAFTER('10 - Office Chairs-WUO_ERR'!A315, ":"))))</f>
        <v/>
      </c>
    </row>
    <row r="316">
      <c r="A316" s="39">
        <f>IF('10 - Office Chairs'!B316 = "", "", IF('10 - Office Chairs-WUO_ERR'!A316 = "", "Validated", HYPERLINK("#" &amp; ADDRESS(316, '10 - Office Chairs-WUO_TRK'!A316),_xlfn.TEXTAFTER('10 - Office Chairs-WUO_ERR'!A316, ":"))))</f>
        <v/>
      </c>
    </row>
    <row r="317">
      <c r="A317" s="39">
        <f>IF('10 - Office Chairs'!B317 = "", "", IF('10 - Office Chairs-WUO_ERR'!A317 = "", "Validated", HYPERLINK("#" &amp; ADDRESS(317, '10 - Office Chairs-WUO_TRK'!A317),_xlfn.TEXTAFTER('10 - Office Chairs-WUO_ERR'!A317, ":"))))</f>
        <v/>
      </c>
    </row>
    <row r="318">
      <c r="A318" s="39">
        <f>IF('10 - Office Chairs'!B318 = "", "", IF('10 - Office Chairs-WUO_ERR'!A318 = "", "Validated", HYPERLINK("#" &amp; ADDRESS(318, '10 - Office Chairs-WUO_TRK'!A318),_xlfn.TEXTAFTER('10 - Office Chairs-WUO_ERR'!A318, ":"))))</f>
        <v/>
      </c>
    </row>
    <row r="319">
      <c r="A319" s="39">
        <f>IF('10 - Office Chairs'!B319 = "", "", IF('10 - Office Chairs-WUO_ERR'!A319 = "", "Validated", HYPERLINK("#" &amp; ADDRESS(319, '10 - Office Chairs-WUO_TRK'!A319),_xlfn.TEXTAFTER('10 - Office Chairs-WUO_ERR'!A319, ":"))))</f>
        <v/>
      </c>
    </row>
    <row r="320">
      <c r="A320" s="39">
        <f>IF('10 - Office Chairs'!B320 = "", "", IF('10 - Office Chairs-WUO_ERR'!A320 = "", "Validated", HYPERLINK("#" &amp; ADDRESS(320, '10 - Office Chairs-WUO_TRK'!A320),_xlfn.TEXTAFTER('10 - Office Chairs-WUO_ERR'!A320, ":"))))</f>
        <v/>
      </c>
    </row>
    <row r="321">
      <c r="A321" s="39">
        <f>IF('10 - Office Chairs'!B321 = "", "", IF('10 - Office Chairs-WUO_ERR'!A321 = "", "Validated", HYPERLINK("#" &amp; ADDRESS(321, '10 - Office Chairs-WUO_TRK'!A321),_xlfn.TEXTAFTER('10 - Office Chairs-WUO_ERR'!A321, ":"))))</f>
        <v/>
      </c>
    </row>
    <row r="322">
      <c r="A322" s="39">
        <f>IF('10 - Office Chairs'!B322 = "", "", IF('10 - Office Chairs-WUO_ERR'!A322 = "", "Validated", HYPERLINK("#" &amp; ADDRESS(322, '10 - Office Chairs-WUO_TRK'!A322),_xlfn.TEXTAFTER('10 - Office Chairs-WUO_ERR'!A322, ":"))))</f>
        <v/>
      </c>
    </row>
    <row r="323">
      <c r="A323" s="39">
        <f>IF('10 - Office Chairs'!B323 = "", "", IF('10 - Office Chairs-WUO_ERR'!A323 = "", "Validated", HYPERLINK("#" &amp; ADDRESS(323, '10 - Office Chairs-WUO_TRK'!A323),_xlfn.TEXTAFTER('10 - Office Chairs-WUO_ERR'!A323, ":"))))</f>
        <v/>
      </c>
    </row>
    <row r="324">
      <c r="A324" s="39">
        <f>IF('10 - Office Chairs'!B324 = "", "", IF('10 - Office Chairs-WUO_ERR'!A324 = "", "Validated", HYPERLINK("#" &amp; ADDRESS(324, '10 - Office Chairs-WUO_TRK'!A324),_xlfn.TEXTAFTER('10 - Office Chairs-WUO_ERR'!A324, ":"))))</f>
        <v/>
      </c>
    </row>
    <row r="325">
      <c r="A325" s="39">
        <f>IF('10 - Office Chairs'!B325 = "", "", IF('10 - Office Chairs-WUO_ERR'!A325 = "", "Validated", HYPERLINK("#" &amp; ADDRESS(325, '10 - Office Chairs-WUO_TRK'!A325),_xlfn.TEXTAFTER('10 - Office Chairs-WUO_ERR'!A325, ":"))))</f>
        <v/>
      </c>
    </row>
    <row r="326">
      <c r="A326" s="39">
        <f>IF('10 - Office Chairs'!B326 = "", "", IF('10 - Office Chairs-WUO_ERR'!A326 = "", "Validated", HYPERLINK("#" &amp; ADDRESS(326, '10 - Office Chairs-WUO_TRK'!A326),_xlfn.TEXTAFTER('10 - Office Chairs-WUO_ERR'!A326, ":"))))</f>
        <v/>
      </c>
    </row>
    <row r="327">
      <c r="A327" s="39">
        <f>IF('10 - Office Chairs'!B327 = "", "", IF('10 - Office Chairs-WUO_ERR'!A327 = "", "Validated", HYPERLINK("#" &amp; ADDRESS(327, '10 - Office Chairs-WUO_TRK'!A327),_xlfn.TEXTAFTER('10 - Office Chairs-WUO_ERR'!A327, ":"))))</f>
        <v/>
      </c>
    </row>
    <row r="328">
      <c r="A328" s="39">
        <f>IF('10 - Office Chairs'!B328 = "", "", IF('10 - Office Chairs-WUO_ERR'!A328 = "", "Validated", HYPERLINK("#" &amp; ADDRESS(328, '10 - Office Chairs-WUO_TRK'!A328),_xlfn.TEXTAFTER('10 - Office Chairs-WUO_ERR'!A328, ":"))))</f>
        <v/>
      </c>
    </row>
    <row r="329">
      <c r="A329" s="39">
        <f>IF('10 - Office Chairs'!B329 = "", "", IF('10 - Office Chairs-WUO_ERR'!A329 = "", "Validated", HYPERLINK("#" &amp; ADDRESS(329, '10 - Office Chairs-WUO_TRK'!A329),_xlfn.TEXTAFTER('10 - Office Chairs-WUO_ERR'!A329, ":"))))</f>
        <v/>
      </c>
    </row>
    <row r="330">
      <c r="A330" s="39">
        <f>IF('10 - Office Chairs'!B330 = "", "", IF('10 - Office Chairs-WUO_ERR'!A330 = "", "Validated", HYPERLINK("#" &amp; ADDRESS(330, '10 - Office Chairs-WUO_TRK'!A330),_xlfn.TEXTAFTER('10 - Office Chairs-WUO_ERR'!A330, ":"))))</f>
        <v/>
      </c>
    </row>
    <row r="331">
      <c r="A331" s="39">
        <f>IF('10 - Office Chairs'!B331 = "", "", IF('10 - Office Chairs-WUO_ERR'!A331 = "", "Validated", HYPERLINK("#" &amp; ADDRESS(331, '10 - Office Chairs-WUO_TRK'!A331),_xlfn.TEXTAFTER('10 - Office Chairs-WUO_ERR'!A331, ":"))))</f>
        <v/>
      </c>
    </row>
    <row r="332">
      <c r="A332" s="39">
        <f>IF('10 - Office Chairs'!B332 = "", "", IF('10 - Office Chairs-WUO_ERR'!A332 = "", "Validated", HYPERLINK("#" &amp; ADDRESS(332, '10 - Office Chairs-WUO_TRK'!A332),_xlfn.TEXTAFTER('10 - Office Chairs-WUO_ERR'!A332, ":"))))</f>
        <v/>
      </c>
    </row>
    <row r="333">
      <c r="A333" s="39">
        <f>IF('10 - Office Chairs'!B333 = "", "", IF('10 - Office Chairs-WUO_ERR'!A333 = "", "Validated", HYPERLINK("#" &amp; ADDRESS(333, '10 - Office Chairs-WUO_TRK'!A333),_xlfn.TEXTAFTER('10 - Office Chairs-WUO_ERR'!A333, ":"))))</f>
        <v/>
      </c>
    </row>
    <row r="334">
      <c r="A334" s="39">
        <f>IF('10 - Office Chairs'!B334 = "", "", IF('10 - Office Chairs-WUO_ERR'!A334 = "", "Validated", HYPERLINK("#" &amp; ADDRESS(334, '10 - Office Chairs-WUO_TRK'!A334),_xlfn.TEXTAFTER('10 - Office Chairs-WUO_ERR'!A334, ":"))))</f>
        <v/>
      </c>
    </row>
    <row r="335">
      <c r="A335" s="39">
        <f>IF('10 - Office Chairs'!B335 = "", "", IF('10 - Office Chairs-WUO_ERR'!A335 = "", "Validated", HYPERLINK("#" &amp; ADDRESS(335, '10 - Office Chairs-WUO_TRK'!A335),_xlfn.TEXTAFTER('10 - Office Chairs-WUO_ERR'!A335, ":"))))</f>
        <v/>
      </c>
    </row>
    <row r="336">
      <c r="A336" s="39">
        <f>IF('10 - Office Chairs'!B336 = "", "", IF('10 - Office Chairs-WUO_ERR'!A336 = "", "Validated", HYPERLINK("#" &amp; ADDRESS(336, '10 - Office Chairs-WUO_TRK'!A336),_xlfn.TEXTAFTER('10 - Office Chairs-WUO_ERR'!A336, ":"))))</f>
        <v/>
      </c>
    </row>
    <row r="337">
      <c r="A337" s="39">
        <f>IF('10 - Office Chairs'!B337 = "", "", IF('10 - Office Chairs-WUO_ERR'!A337 = "", "Validated", HYPERLINK("#" &amp; ADDRESS(337, '10 - Office Chairs-WUO_TRK'!A337),_xlfn.TEXTAFTER('10 - Office Chairs-WUO_ERR'!A337, ":"))))</f>
        <v/>
      </c>
    </row>
    <row r="338">
      <c r="A338" s="39">
        <f>IF('10 - Office Chairs'!B338 = "", "", IF('10 - Office Chairs-WUO_ERR'!A338 = "", "Validated", HYPERLINK("#" &amp; ADDRESS(338, '10 - Office Chairs-WUO_TRK'!A338),_xlfn.TEXTAFTER('10 - Office Chairs-WUO_ERR'!A338, ":"))))</f>
        <v/>
      </c>
    </row>
    <row r="339">
      <c r="A339" s="39">
        <f>IF('10 - Office Chairs'!B339 = "", "", IF('10 - Office Chairs-WUO_ERR'!A339 = "", "Validated", HYPERLINK("#" &amp; ADDRESS(339, '10 - Office Chairs-WUO_TRK'!A339),_xlfn.TEXTAFTER('10 - Office Chairs-WUO_ERR'!A339, ":"))))</f>
        <v/>
      </c>
    </row>
    <row r="340">
      <c r="A340" s="39">
        <f>IF('10 - Office Chairs'!B340 = "", "", IF('10 - Office Chairs-WUO_ERR'!A340 = "", "Validated", HYPERLINK("#" &amp; ADDRESS(340, '10 - Office Chairs-WUO_TRK'!A340),_xlfn.TEXTAFTER('10 - Office Chairs-WUO_ERR'!A340, ":"))))</f>
        <v/>
      </c>
    </row>
    <row r="341">
      <c r="A341" s="39">
        <f>IF('10 - Office Chairs'!B341 = "", "", IF('10 - Office Chairs-WUO_ERR'!A341 = "", "Validated", HYPERLINK("#" &amp; ADDRESS(341, '10 - Office Chairs-WUO_TRK'!A341),_xlfn.TEXTAFTER('10 - Office Chairs-WUO_ERR'!A341, ":"))))</f>
        <v/>
      </c>
    </row>
    <row r="342">
      <c r="A342" s="39">
        <f>IF('10 - Office Chairs'!B342 = "", "", IF('10 - Office Chairs-WUO_ERR'!A342 = "", "Validated", HYPERLINK("#" &amp; ADDRESS(342, '10 - Office Chairs-WUO_TRK'!A342),_xlfn.TEXTAFTER('10 - Office Chairs-WUO_ERR'!A342, ":"))))</f>
        <v/>
      </c>
    </row>
    <row r="343">
      <c r="A343" s="39">
        <f>IF('10 - Office Chairs'!B343 = "", "", IF('10 - Office Chairs-WUO_ERR'!A343 = "", "Validated", HYPERLINK("#" &amp; ADDRESS(343, '10 - Office Chairs-WUO_TRK'!A343),_xlfn.TEXTAFTER('10 - Office Chairs-WUO_ERR'!A343, ":"))))</f>
        <v/>
      </c>
    </row>
    <row r="344">
      <c r="A344" s="39">
        <f>IF('10 - Office Chairs'!B344 = "", "", IF('10 - Office Chairs-WUO_ERR'!A344 = "", "Validated", HYPERLINK("#" &amp; ADDRESS(344, '10 - Office Chairs-WUO_TRK'!A344),_xlfn.TEXTAFTER('10 - Office Chairs-WUO_ERR'!A344, ":"))))</f>
        <v/>
      </c>
    </row>
    <row r="345">
      <c r="A345" s="39">
        <f>IF('10 - Office Chairs'!B345 = "", "", IF('10 - Office Chairs-WUO_ERR'!A345 = "", "Validated", HYPERLINK("#" &amp; ADDRESS(345, '10 - Office Chairs-WUO_TRK'!A345),_xlfn.TEXTAFTER('10 - Office Chairs-WUO_ERR'!A345, ":"))))</f>
        <v/>
      </c>
    </row>
    <row r="346">
      <c r="A346" s="39">
        <f>IF('10 - Office Chairs'!B346 = "", "", IF('10 - Office Chairs-WUO_ERR'!A346 = "", "Validated", HYPERLINK("#" &amp; ADDRESS(346, '10 - Office Chairs-WUO_TRK'!A346),_xlfn.TEXTAFTER('10 - Office Chairs-WUO_ERR'!A346, ":"))))</f>
        <v/>
      </c>
    </row>
    <row r="347">
      <c r="A347" s="39">
        <f>IF('10 - Office Chairs'!B347 = "", "", IF('10 - Office Chairs-WUO_ERR'!A347 = "", "Validated", HYPERLINK("#" &amp; ADDRESS(347, '10 - Office Chairs-WUO_TRK'!A347),_xlfn.TEXTAFTER('10 - Office Chairs-WUO_ERR'!A347, ":"))))</f>
        <v/>
      </c>
    </row>
    <row r="348">
      <c r="A348" s="39">
        <f>IF('10 - Office Chairs'!B348 = "", "", IF('10 - Office Chairs-WUO_ERR'!A348 = "", "Validated", HYPERLINK("#" &amp; ADDRESS(348, '10 - Office Chairs-WUO_TRK'!A348),_xlfn.TEXTAFTER('10 - Office Chairs-WUO_ERR'!A348, ":"))))</f>
        <v/>
      </c>
    </row>
    <row r="349">
      <c r="A349" s="39">
        <f>IF('10 - Office Chairs'!B349 = "", "", IF('10 - Office Chairs-WUO_ERR'!A349 = "", "Validated", HYPERLINK("#" &amp; ADDRESS(349, '10 - Office Chairs-WUO_TRK'!A349),_xlfn.TEXTAFTER('10 - Office Chairs-WUO_ERR'!A349, ":"))))</f>
        <v/>
      </c>
    </row>
    <row r="350">
      <c r="A350" s="39">
        <f>IF('10 - Office Chairs'!B350 = "", "", IF('10 - Office Chairs-WUO_ERR'!A350 = "", "Validated", HYPERLINK("#" &amp; ADDRESS(350, '10 - Office Chairs-WUO_TRK'!A350),_xlfn.TEXTAFTER('10 - Office Chairs-WUO_ERR'!A350, ":"))))</f>
        <v/>
      </c>
    </row>
    <row r="351">
      <c r="A351" s="39">
        <f>IF('10 - Office Chairs'!B351 = "", "", IF('10 - Office Chairs-WUO_ERR'!A351 = "", "Validated", HYPERLINK("#" &amp; ADDRESS(351, '10 - Office Chairs-WUO_TRK'!A351),_xlfn.TEXTAFTER('10 - Office Chairs-WUO_ERR'!A351, ":"))))</f>
        <v/>
      </c>
    </row>
    <row r="352">
      <c r="A352" s="39">
        <f>IF('10 - Office Chairs'!B352 = "", "", IF('10 - Office Chairs-WUO_ERR'!A352 = "", "Validated", HYPERLINK("#" &amp; ADDRESS(352, '10 - Office Chairs-WUO_TRK'!A352),_xlfn.TEXTAFTER('10 - Office Chairs-WUO_ERR'!A352, ":"))))</f>
        <v/>
      </c>
    </row>
    <row r="353">
      <c r="A353" s="39">
        <f>IF('10 - Office Chairs'!B353 = "", "", IF('10 - Office Chairs-WUO_ERR'!A353 = "", "Validated", HYPERLINK("#" &amp; ADDRESS(353, '10 - Office Chairs-WUO_TRK'!A353),_xlfn.TEXTAFTER('10 - Office Chairs-WUO_ERR'!A353, ":"))))</f>
        <v/>
      </c>
    </row>
    <row r="354">
      <c r="A354" s="39">
        <f>IF('10 - Office Chairs'!B354 = "", "", IF('10 - Office Chairs-WUO_ERR'!A354 = "", "Validated", HYPERLINK("#" &amp; ADDRESS(354, '10 - Office Chairs-WUO_TRK'!A354),_xlfn.TEXTAFTER('10 - Office Chairs-WUO_ERR'!A354, ":"))))</f>
        <v/>
      </c>
    </row>
    <row r="355">
      <c r="A355" s="39">
        <f>IF('10 - Office Chairs'!B355 = "", "", IF('10 - Office Chairs-WUO_ERR'!A355 = "", "Validated", HYPERLINK("#" &amp; ADDRESS(355, '10 - Office Chairs-WUO_TRK'!A355),_xlfn.TEXTAFTER('10 - Office Chairs-WUO_ERR'!A355, ":"))))</f>
        <v/>
      </c>
    </row>
    <row r="356">
      <c r="A356" s="39">
        <f>IF('10 - Office Chairs'!B356 = "", "", IF('10 - Office Chairs-WUO_ERR'!A356 = "", "Validated", HYPERLINK("#" &amp; ADDRESS(356, '10 - Office Chairs-WUO_TRK'!A356),_xlfn.TEXTAFTER('10 - Office Chairs-WUO_ERR'!A356, ":"))))</f>
        <v/>
      </c>
    </row>
    <row r="357">
      <c r="A357" s="39">
        <f>IF('10 - Office Chairs'!B357 = "", "", IF('10 - Office Chairs-WUO_ERR'!A357 = "", "Validated", HYPERLINK("#" &amp; ADDRESS(357, '10 - Office Chairs-WUO_TRK'!A357),_xlfn.TEXTAFTER('10 - Office Chairs-WUO_ERR'!A357, ":"))))</f>
        <v/>
      </c>
    </row>
    <row r="358">
      <c r="A358" s="39">
        <f>IF('10 - Office Chairs'!B358 = "", "", IF('10 - Office Chairs-WUO_ERR'!A358 = "", "Validated", HYPERLINK("#" &amp; ADDRESS(358, '10 - Office Chairs-WUO_TRK'!A358),_xlfn.TEXTAFTER('10 - Office Chairs-WUO_ERR'!A358, ":"))))</f>
        <v/>
      </c>
    </row>
    <row r="359">
      <c r="A359" s="39">
        <f>IF('10 - Office Chairs'!B359 = "", "", IF('10 - Office Chairs-WUO_ERR'!A359 = "", "Validated", HYPERLINK("#" &amp; ADDRESS(359, '10 - Office Chairs-WUO_TRK'!A359),_xlfn.TEXTAFTER('10 - Office Chairs-WUO_ERR'!A359, ":"))))</f>
        <v/>
      </c>
    </row>
    <row r="360">
      <c r="A360" s="39">
        <f>IF('10 - Office Chairs'!B360 = "", "", IF('10 - Office Chairs-WUO_ERR'!A360 = "", "Validated", HYPERLINK("#" &amp; ADDRESS(360, '10 - Office Chairs-WUO_TRK'!A360),_xlfn.TEXTAFTER('10 - Office Chairs-WUO_ERR'!A360, ":"))))</f>
        <v/>
      </c>
    </row>
    <row r="361">
      <c r="A361" s="39">
        <f>IF('10 - Office Chairs'!B361 = "", "", IF('10 - Office Chairs-WUO_ERR'!A361 = "", "Validated", HYPERLINK("#" &amp; ADDRESS(361, '10 - Office Chairs-WUO_TRK'!A361),_xlfn.TEXTAFTER('10 - Office Chairs-WUO_ERR'!A361, ":"))))</f>
        <v/>
      </c>
    </row>
    <row r="362">
      <c r="A362" s="39">
        <f>IF('10 - Office Chairs'!B362 = "", "", IF('10 - Office Chairs-WUO_ERR'!A362 = "", "Validated", HYPERLINK("#" &amp; ADDRESS(362, '10 - Office Chairs-WUO_TRK'!A362),_xlfn.TEXTAFTER('10 - Office Chairs-WUO_ERR'!A362, ":"))))</f>
        <v/>
      </c>
    </row>
    <row r="363">
      <c r="A363" s="39">
        <f>IF('10 - Office Chairs'!B363 = "", "", IF('10 - Office Chairs-WUO_ERR'!A363 = "", "Validated", HYPERLINK("#" &amp; ADDRESS(363, '10 - Office Chairs-WUO_TRK'!A363),_xlfn.TEXTAFTER('10 - Office Chairs-WUO_ERR'!A363, ":"))))</f>
        <v/>
      </c>
    </row>
    <row r="364">
      <c r="A364" s="39">
        <f>IF('10 - Office Chairs'!B364 = "", "", IF('10 - Office Chairs-WUO_ERR'!A364 = "", "Validated", HYPERLINK("#" &amp; ADDRESS(364, '10 - Office Chairs-WUO_TRK'!A364),_xlfn.TEXTAFTER('10 - Office Chairs-WUO_ERR'!A364, ":"))))</f>
        <v/>
      </c>
    </row>
    <row r="365">
      <c r="A365" s="39">
        <f>IF('10 - Office Chairs'!B365 = "", "", IF('10 - Office Chairs-WUO_ERR'!A365 = "", "Validated", HYPERLINK("#" &amp; ADDRESS(365, '10 - Office Chairs-WUO_TRK'!A365),_xlfn.TEXTAFTER('10 - Office Chairs-WUO_ERR'!A365, ":"))))</f>
        <v/>
      </c>
    </row>
    <row r="366">
      <c r="A366" s="39">
        <f>IF('10 - Office Chairs'!B366 = "", "", IF('10 - Office Chairs-WUO_ERR'!A366 = "", "Validated", HYPERLINK("#" &amp; ADDRESS(366, '10 - Office Chairs-WUO_TRK'!A366),_xlfn.TEXTAFTER('10 - Office Chairs-WUO_ERR'!A366, ":"))))</f>
        <v/>
      </c>
    </row>
    <row r="367">
      <c r="A367" s="39">
        <f>IF('10 - Office Chairs'!B367 = "", "", IF('10 - Office Chairs-WUO_ERR'!A367 = "", "Validated", HYPERLINK("#" &amp; ADDRESS(367, '10 - Office Chairs-WUO_TRK'!A367),_xlfn.TEXTAFTER('10 - Office Chairs-WUO_ERR'!A367, ":"))))</f>
        <v/>
      </c>
    </row>
    <row r="368">
      <c r="A368" s="39">
        <f>IF('10 - Office Chairs'!B368 = "", "", IF('10 - Office Chairs-WUO_ERR'!A368 = "", "Validated", HYPERLINK("#" &amp; ADDRESS(368, '10 - Office Chairs-WUO_TRK'!A368),_xlfn.TEXTAFTER('10 - Office Chairs-WUO_ERR'!A368, ":"))))</f>
        <v/>
      </c>
    </row>
    <row r="369">
      <c r="A369" s="39">
        <f>IF('10 - Office Chairs'!B369 = "", "", IF('10 - Office Chairs-WUO_ERR'!A369 = "", "Validated", HYPERLINK("#" &amp; ADDRESS(369, '10 - Office Chairs-WUO_TRK'!A369),_xlfn.TEXTAFTER('10 - Office Chairs-WUO_ERR'!A369, ":"))))</f>
        <v/>
      </c>
    </row>
    <row r="370">
      <c r="A370" s="39">
        <f>IF('10 - Office Chairs'!B370 = "", "", IF('10 - Office Chairs-WUO_ERR'!A370 = "", "Validated", HYPERLINK("#" &amp; ADDRESS(370, '10 - Office Chairs-WUO_TRK'!A370),_xlfn.TEXTAFTER('10 - Office Chairs-WUO_ERR'!A370, ":"))))</f>
        <v/>
      </c>
    </row>
    <row r="371">
      <c r="A371" s="39">
        <f>IF('10 - Office Chairs'!B371 = "", "", IF('10 - Office Chairs-WUO_ERR'!A371 = "", "Validated", HYPERLINK("#" &amp; ADDRESS(371, '10 - Office Chairs-WUO_TRK'!A371),_xlfn.TEXTAFTER('10 - Office Chairs-WUO_ERR'!A371, ":"))))</f>
        <v/>
      </c>
    </row>
    <row r="372">
      <c r="A372" s="39">
        <f>IF('10 - Office Chairs'!B372 = "", "", IF('10 - Office Chairs-WUO_ERR'!A372 = "", "Validated", HYPERLINK("#" &amp; ADDRESS(372, '10 - Office Chairs-WUO_TRK'!A372),_xlfn.TEXTAFTER('10 - Office Chairs-WUO_ERR'!A372, ":"))))</f>
        <v/>
      </c>
    </row>
    <row r="373">
      <c r="A373" s="39">
        <f>IF('10 - Office Chairs'!B373 = "", "", IF('10 - Office Chairs-WUO_ERR'!A373 = "", "Validated", HYPERLINK("#" &amp; ADDRESS(373, '10 - Office Chairs-WUO_TRK'!A373),_xlfn.TEXTAFTER('10 - Office Chairs-WUO_ERR'!A373, ":"))))</f>
        <v/>
      </c>
    </row>
    <row r="374">
      <c r="A374" s="39">
        <f>IF('10 - Office Chairs'!B374 = "", "", IF('10 - Office Chairs-WUO_ERR'!A374 = "", "Validated", HYPERLINK("#" &amp; ADDRESS(374, '10 - Office Chairs-WUO_TRK'!A374),_xlfn.TEXTAFTER('10 - Office Chairs-WUO_ERR'!A374, ":"))))</f>
        <v/>
      </c>
    </row>
    <row r="375">
      <c r="A375" s="39">
        <f>IF('10 - Office Chairs'!B375 = "", "", IF('10 - Office Chairs-WUO_ERR'!A375 = "", "Validated", HYPERLINK("#" &amp; ADDRESS(375, '10 - Office Chairs-WUO_TRK'!A375),_xlfn.TEXTAFTER('10 - Office Chairs-WUO_ERR'!A375, ":"))))</f>
        <v/>
      </c>
    </row>
    <row r="376">
      <c r="A376" s="39">
        <f>IF('10 - Office Chairs'!B376 = "", "", IF('10 - Office Chairs-WUO_ERR'!A376 = "", "Validated", HYPERLINK("#" &amp; ADDRESS(376, '10 - Office Chairs-WUO_TRK'!A376),_xlfn.TEXTAFTER('10 - Office Chairs-WUO_ERR'!A376, ":"))))</f>
        <v/>
      </c>
    </row>
    <row r="377">
      <c r="A377" s="39">
        <f>IF('10 - Office Chairs'!B377 = "", "", IF('10 - Office Chairs-WUO_ERR'!A377 = "", "Validated", HYPERLINK("#" &amp; ADDRESS(377, '10 - Office Chairs-WUO_TRK'!A377),_xlfn.TEXTAFTER('10 - Office Chairs-WUO_ERR'!A377, ":"))))</f>
        <v/>
      </c>
    </row>
    <row r="378">
      <c r="A378" s="39">
        <f>IF('10 - Office Chairs'!B378 = "", "", IF('10 - Office Chairs-WUO_ERR'!A378 = "", "Validated", HYPERLINK("#" &amp; ADDRESS(378, '10 - Office Chairs-WUO_TRK'!A378),_xlfn.TEXTAFTER('10 - Office Chairs-WUO_ERR'!A378, ":"))))</f>
        <v/>
      </c>
    </row>
    <row r="379">
      <c r="A379" s="39">
        <f>IF('10 - Office Chairs'!B379 = "", "", IF('10 - Office Chairs-WUO_ERR'!A379 = "", "Validated", HYPERLINK("#" &amp; ADDRESS(379, '10 - Office Chairs-WUO_TRK'!A379),_xlfn.TEXTAFTER('10 - Office Chairs-WUO_ERR'!A379, ":"))))</f>
        <v/>
      </c>
    </row>
    <row r="380">
      <c r="A380" s="39">
        <f>IF('10 - Office Chairs'!B380 = "", "", IF('10 - Office Chairs-WUO_ERR'!A380 = "", "Validated", HYPERLINK("#" &amp; ADDRESS(380, '10 - Office Chairs-WUO_TRK'!A380),_xlfn.TEXTAFTER('10 - Office Chairs-WUO_ERR'!A380, ":"))))</f>
        <v/>
      </c>
    </row>
    <row r="381">
      <c r="A381" s="39">
        <f>IF('10 - Office Chairs'!B381 = "", "", IF('10 - Office Chairs-WUO_ERR'!A381 = "", "Validated", HYPERLINK("#" &amp; ADDRESS(381, '10 - Office Chairs-WUO_TRK'!A381),_xlfn.TEXTAFTER('10 - Office Chairs-WUO_ERR'!A381, ":"))))</f>
        <v/>
      </c>
    </row>
    <row r="382">
      <c r="A382" s="39">
        <f>IF('10 - Office Chairs'!B382 = "", "", IF('10 - Office Chairs-WUO_ERR'!A382 = "", "Validated", HYPERLINK("#" &amp; ADDRESS(382, '10 - Office Chairs-WUO_TRK'!A382),_xlfn.TEXTAFTER('10 - Office Chairs-WUO_ERR'!A382, ":"))))</f>
        <v/>
      </c>
    </row>
    <row r="383">
      <c r="A383" s="39">
        <f>IF('10 - Office Chairs'!B383 = "", "", IF('10 - Office Chairs-WUO_ERR'!A383 = "", "Validated", HYPERLINK("#" &amp; ADDRESS(383, '10 - Office Chairs-WUO_TRK'!A383),_xlfn.TEXTAFTER('10 - Office Chairs-WUO_ERR'!A383, ":"))))</f>
        <v/>
      </c>
    </row>
    <row r="384">
      <c r="A384" s="39">
        <f>IF('10 - Office Chairs'!B384 = "", "", IF('10 - Office Chairs-WUO_ERR'!A384 = "", "Validated", HYPERLINK("#" &amp; ADDRESS(384, '10 - Office Chairs-WUO_TRK'!A384),_xlfn.TEXTAFTER('10 - Office Chairs-WUO_ERR'!A384, ":"))))</f>
        <v/>
      </c>
    </row>
    <row r="385">
      <c r="A385" s="39">
        <f>IF('10 - Office Chairs'!B385 = "", "", IF('10 - Office Chairs-WUO_ERR'!A385 = "", "Validated", HYPERLINK("#" &amp; ADDRESS(385, '10 - Office Chairs-WUO_TRK'!A385),_xlfn.TEXTAFTER('10 - Office Chairs-WUO_ERR'!A385, ":"))))</f>
        <v/>
      </c>
    </row>
    <row r="386">
      <c r="A386" s="39">
        <f>IF('10 - Office Chairs'!B386 = "", "", IF('10 - Office Chairs-WUO_ERR'!A386 = "", "Validated", HYPERLINK("#" &amp; ADDRESS(386, '10 - Office Chairs-WUO_TRK'!A386),_xlfn.TEXTAFTER('10 - Office Chairs-WUO_ERR'!A386, ":"))))</f>
        <v/>
      </c>
    </row>
    <row r="387">
      <c r="A387" s="39">
        <f>IF('10 - Office Chairs'!B387 = "", "", IF('10 - Office Chairs-WUO_ERR'!A387 = "", "Validated", HYPERLINK("#" &amp; ADDRESS(387, '10 - Office Chairs-WUO_TRK'!A387),_xlfn.TEXTAFTER('10 - Office Chairs-WUO_ERR'!A387, ":"))))</f>
        <v/>
      </c>
    </row>
    <row r="388">
      <c r="A388" s="39">
        <f>IF('10 - Office Chairs'!B388 = "", "", IF('10 - Office Chairs-WUO_ERR'!A388 = "", "Validated", HYPERLINK("#" &amp; ADDRESS(388, '10 - Office Chairs-WUO_TRK'!A388),_xlfn.TEXTAFTER('10 - Office Chairs-WUO_ERR'!A388, ":"))))</f>
        <v/>
      </c>
    </row>
    <row r="389">
      <c r="A389" s="39">
        <f>IF('10 - Office Chairs'!B389 = "", "", IF('10 - Office Chairs-WUO_ERR'!A389 = "", "Validated", HYPERLINK("#" &amp; ADDRESS(389, '10 - Office Chairs-WUO_TRK'!A389),_xlfn.TEXTAFTER('10 - Office Chairs-WUO_ERR'!A389, ":"))))</f>
        <v/>
      </c>
    </row>
    <row r="390">
      <c r="A390" s="39">
        <f>IF('10 - Office Chairs'!B390 = "", "", IF('10 - Office Chairs-WUO_ERR'!A390 = "", "Validated", HYPERLINK("#" &amp; ADDRESS(390, '10 - Office Chairs-WUO_TRK'!A390),_xlfn.TEXTAFTER('10 - Office Chairs-WUO_ERR'!A390, ":"))))</f>
        <v/>
      </c>
    </row>
    <row r="391">
      <c r="A391" s="39">
        <f>IF('10 - Office Chairs'!B391 = "", "", IF('10 - Office Chairs-WUO_ERR'!A391 = "", "Validated", HYPERLINK("#" &amp; ADDRESS(391, '10 - Office Chairs-WUO_TRK'!A391),_xlfn.TEXTAFTER('10 - Office Chairs-WUO_ERR'!A391, ":"))))</f>
        <v/>
      </c>
    </row>
    <row r="392">
      <c r="A392" s="39">
        <f>IF('10 - Office Chairs'!B392 = "", "", IF('10 - Office Chairs-WUO_ERR'!A392 = "", "Validated", HYPERLINK("#" &amp; ADDRESS(392, '10 - Office Chairs-WUO_TRK'!A392),_xlfn.TEXTAFTER('10 - Office Chairs-WUO_ERR'!A392, ":"))))</f>
        <v/>
      </c>
    </row>
    <row r="393">
      <c r="A393" s="39">
        <f>IF('10 - Office Chairs'!B393 = "", "", IF('10 - Office Chairs-WUO_ERR'!A393 = "", "Validated", HYPERLINK("#" &amp; ADDRESS(393, '10 - Office Chairs-WUO_TRK'!A393),_xlfn.TEXTAFTER('10 - Office Chairs-WUO_ERR'!A393, ":"))))</f>
        <v/>
      </c>
    </row>
    <row r="394">
      <c r="A394" s="39">
        <f>IF('10 - Office Chairs'!B394 = "", "", IF('10 - Office Chairs-WUO_ERR'!A394 = "", "Validated", HYPERLINK("#" &amp; ADDRESS(394, '10 - Office Chairs-WUO_TRK'!A394),_xlfn.TEXTAFTER('10 - Office Chairs-WUO_ERR'!A394, ":"))))</f>
        <v/>
      </c>
    </row>
    <row r="395">
      <c r="A395" s="39">
        <f>IF('10 - Office Chairs'!B395 = "", "", IF('10 - Office Chairs-WUO_ERR'!A395 = "", "Validated", HYPERLINK("#" &amp; ADDRESS(395, '10 - Office Chairs-WUO_TRK'!A395),_xlfn.TEXTAFTER('10 - Office Chairs-WUO_ERR'!A395, ":"))))</f>
        <v/>
      </c>
    </row>
    <row r="396">
      <c r="A396" s="39">
        <f>IF('10 - Office Chairs'!B396 = "", "", IF('10 - Office Chairs-WUO_ERR'!A396 = "", "Validated", HYPERLINK("#" &amp; ADDRESS(396, '10 - Office Chairs-WUO_TRK'!A396),_xlfn.TEXTAFTER('10 - Office Chairs-WUO_ERR'!A396, ":"))))</f>
        <v/>
      </c>
    </row>
    <row r="397">
      <c r="A397" s="39">
        <f>IF('10 - Office Chairs'!B397 = "", "", IF('10 - Office Chairs-WUO_ERR'!A397 = "", "Validated", HYPERLINK("#" &amp; ADDRESS(397, '10 - Office Chairs-WUO_TRK'!A397),_xlfn.TEXTAFTER('10 - Office Chairs-WUO_ERR'!A397, ":"))))</f>
        <v/>
      </c>
    </row>
    <row r="398">
      <c r="A398" s="39">
        <f>IF('10 - Office Chairs'!B398 = "", "", IF('10 - Office Chairs-WUO_ERR'!A398 = "", "Validated", HYPERLINK("#" &amp; ADDRESS(398, '10 - Office Chairs-WUO_TRK'!A398),_xlfn.TEXTAFTER('10 - Office Chairs-WUO_ERR'!A398, ":"))))</f>
        <v/>
      </c>
    </row>
    <row r="399">
      <c r="A399" s="39">
        <f>IF('10 - Office Chairs'!B399 = "", "", IF('10 - Office Chairs-WUO_ERR'!A399 = "", "Validated", HYPERLINK("#" &amp; ADDRESS(399, '10 - Office Chairs-WUO_TRK'!A399),_xlfn.TEXTAFTER('10 - Office Chairs-WUO_ERR'!A399, ":"))))</f>
        <v/>
      </c>
    </row>
    <row r="400">
      <c r="A400" s="39">
        <f>IF('10 - Office Chairs'!B400 = "", "", IF('10 - Office Chairs-WUO_ERR'!A400 = "", "Validated", HYPERLINK("#" &amp; ADDRESS(400, '10 - Office Chairs-WUO_TRK'!A400),_xlfn.TEXTAFTER('10 - Office Chairs-WUO_ERR'!A400, ":"))))</f>
        <v/>
      </c>
    </row>
    <row r="401">
      <c r="A401" s="39">
        <f>IF('10 - Office Chairs'!B401 = "", "", IF('10 - Office Chairs-WUO_ERR'!A401 = "", "Validated", HYPERLINK("#" &amp; ADDRESS(401, '10 - Office Chairs-WUO_TRK'!A401),_xlfn.TEXTAFTER('10 - Office Chairs-WUO_ERR'!A401, ":"))))</f>
        <v/>
      </c>
    </row>
    <row r="402">
      <c r="A402" s="39">
        <f>IF('10 - Office Chairs'!B402 = "", "", IF('10 - Office Chairs-WUO_ERR'!A402 = "", "Validated", HYPERLINK("#" &amp; ADDRESS(402, '10 - Office Chairs-WUO_TRK'!A402),_xlfn.TEXTAFTER('10 - Office Chairs-WUO_ERR'!A402, ":"))))</f>
        <v/>
      </c>
    </row>
    <row r="403">
      <c r="A403" s="39">
        <f>IF('10 - Office Chairs'!B403 = "", "", IF('10 - Office Chairs-WUO_ERR'!A403 = "", "Validated", HYPERLINK("#" &amp; ADDRESS(403, '10 - Office Chairs-WUO_TRK'!A403),_xlfn.TEXTAFTER('10 - Office Chairs-WUO_ERR'!A403, ":"))))</f>
        <v/>
      </c>
    </row>
    <row r="404">
      <c r="A404" s="39">
        <f>IF('10 - Office Chairs'!B404 = "", "", IF('10 - Office Chairs-WUO_ERR'!A404 = "", "Validated", HYPERLINK("#" &amp; ADDRESS(404, '10 - Office Chairs-WUO_TRK'!A404),_xlfn.TEXTAFTER('10 - Office Chairs-WUO_ERR'!A404, ":"))))</f>
        <v/>
      </c>
    </row>
    <row r="405">
      <c r="A405" s="39">
        <f>IF('10 - Office Chairs'!B405 = "", "", IF('10 - Office Chairs-WUO_ERR'!A405 = "", "Validated", HYPERLINK("#" &amp; ADDRESS(405, '10 - Office Chairs-WUO_TRK'!A405),_xlfn.TEXTAFTER('10 - Office Chairs-WUO_ERR'!A405, ":"))))</f>
        <v/>
      </c>
    </row>
    <row r="406">
      <c r="A406" s="39">
        <f>IF('10 - Office Chairs'!B406 = "", "", IF('10 - Office Chairs-WUO_ERR'!A406 = "", "Validated", HYPERLINK("#" &amp; ADDRESS(406, '10 - Office Chairs-WUO_TRK'!A406),_xlfn.TEXTAFTER('10 - Office Chairs-WUO_ERR'!A406, ":"))))</f>
        <v/>
      </c>
    </row>
    <row r="407">
      <c r="A407" s="39">
        <f>IF('10 - Office Chairs'!B407 = "", "", IF('10 - Office Chairs-WUO_ERR'!A407 = "", "Validated", HYPERLINK("#" &amp; ADDRESS(407, '10 - Office Chairs-WUO_TRK'!A407),_xlfn.TEXTAFTER('10 - Office Chairs-WUO_ERR'!A407, ":"))))</f>
        <v/>
      </c>
    </row>
    <row r="408">
      <c r="A408" s="39">
        <f>IF('10 - Office Chairs'!B408 = "", "", IF('10 - Office Chairs-WUO_ERR'!A408 = "", "Validated", HYPERLINK("#" &amp; ADDRESS(408, '10 - Office Chairs-WUO_TRK'!A408),_xlfn.TEXTAFTER('10 - Office Chairs-WUO_ERR'!A408, ":"))))</f>
        <v/>
      </c>
    </row>
    <row r="409">
      <c r="A409" s="39">
        <f>IF('10 - Office Chairs'!B409 = "", "", IF('10 - Office Chairs-WUO_ERR'!A409 = "", "Validated", HYPERLINK("#" &amp; ADDRESS(409, '10 - Office Chairs-WUO_TRK'!A409),_xlfn.TEXTAFTER('10 - Office Chairs-WUO_ERR'!A409, ":"))))</f>
        <v/>
      </c>
    </row>
    <row r="410">
      <c r="A410" s="39">
        <f>IF('10 - Office Chairs'!B410 = "", "", IF('10 - Office Chairs-WUO_ERR'!A410 = "", "Validated", HYPERLINK("#" &amp; ADDRESS(410, '10 - Office Chairs-WUO_TRK'!A410),_xlfn.TEXTAFTER('10 - Office Chairs-WUO_ERR'!A410, ":"))))</f>
        <v/>
      </c>
    </row>
    <row r="411">
      <c r="A411" s="39">
        <f>IF('10 - Office Chairs'!B411 = "", "", IF('10 - Office Chairs-WUO_ERR'!A411 = "", "Validated", HYPERLINK("#" &amp; ADDRESS(411, '10 - Office Chairs-WUO_TRK'!A411),_xlfn.TEXTAFTER('10 - Office Chairs-WUO_ERR'!A411, ":"))))</f>
        <v/>
      </c>
    </row>
    <row r="412">
      <c r="A412" s="39">
        <f>IF('10 - Office Chairs'!B412 = "", "", IF('10 - Office Chairs-WUO_ERR'!A412 = "", "Validated", HYPERLINK("#" &amp; ADDRESS(412, '10 - Office Chairs-WUO_TRK'!A412),_xlfn.TEXTAFTER('10 - Office Chairs-WUO_ERR'!A412, ":"))))</f>
        <v/>
      </c>
    </row>
    <row r="413">
      <c r="A413" s="39">
        <f>IF('10 - Office Chairs'!B413 = "", "", IF('10 - Office Chairs-WUO_ERR'!A413 = "", "Validated", HYPERLINK("#" &amp; ADDRESS(413, '10 - Office Chairs-WUO_TRK'!A413),_xlfn.TEXTAFTER('10 - Office Chairs-WUO_ERR'!A413, ":"))))</f>
        <v/>
      </c>
    </row>
    <row r="414">
      <c r="A414" s="39">
        <f>IF('10 - Office Chairs'!B414 = "", "", IF('10 - Office Chairs-WUO_ERR'!A414 = "", "Validated", HYPERLINK("#" &amp; ADDRESS(414, '10 - Office Chairs-WUO_TRK'!A414),_xlfn.TEXTAFTER('10 - Office Chairs-WUO_ERR'!A414, ":"))))</f>
        <v/>
      </c>
    </row>
    <row r="415">
      <c r="A415" s="39">
        <f>IF('10 - Office Chairs'!B415 = "", "", IF('10 - Office Chairs-WUO_ERR'!A415 = "", "Validated", HYPERLINK("#" &amp; ADDRESS(415, '10 - Office Chairs-WUO_TRK'!A415),_xlfn.TEXTAFTER('10 - Office Chairs-WUO_ERR'!A415, ":"))))</f>
        <v/>
      </c>
    </row>
    <row r="416">
      <c r="A416" s="39">
        <f>IF('10 - Office Chairs'!B416 = "", "", IF('10 - Office Chairs-WUO_ERR'!A416 = "", "Validated", HYPERLINK("#" &amp; ADDRESS(416, '10 - Office Chairs-WUO_TRK'!A416),_xlfn.TEXTAFTER('10 - Office Chairs-WUO_ERR'!A416, ":"))))</f>
        <v/>
      </c>
    </row>
    <row r="417">
      <c r="A417" s="39">
        <f>IF('10 - Office Chairs'!B417 = "", "", IF('10 - Office Chairs-WUO_ERR'!A417 = "", "Validated", HYPERLINK("#" &amp; ADDRESS(417, '10 - Office Chairs-WUO_TRK'!A417),_xlfn.TEXTAFTER('10 - Office Chairs-WUO_ERR'!A417, ":"))))</f>
        <v/>
      </c>
    </row>
    <row r="418">
      <c r="A418" s="39">
        <f>IF('10 - Office Chairs'!B418 = "", "", IF('10 - Office Chairs-WUO_ERR'!A418 = "", "Validated", HYPERLINK("#" &amp; ADDRESS(418, '10 - Office Chairs-WUO_TRK'!A418),_xlfn.TEXTAFTER('10 - Office Chairs-WUO_ERR'!A418, ":"))))</f>
        <v/>
      </c>
    </row>
    <row r="419">
      <c r="A419" s="39">
        <f>IF('10 - Office Chairs'!B419 = "", "", IF('10 - Office Chairs-WUO_ERR'!A419 = "", "Validated", HYPERLINK("#" &amp; ADDRESS(419, '10 - Office Chairs-WUO_TRK'!A419),_xlfn.TEXTAFTER('10 - Office Chairs-WUO_ERR'!A419, ":"))))</f>
        <v/>
      </c>
    </row>
    <row r="420">
      <c r="A420" s="39">
        <f>IF('10 - Office Chairs'!B420 = "", "", IF('10 - Office Chairs-WUO_ERR'!A420 = "", "Validated", HYPERLINK("#" &amp; ADDRESS(420, '10 - Office Chairs-WUO_TRK'!A420),_xlfn.TEXTAFTER('10 - Office Chairs-WUO_ERR'!A420, ":"))))</f>
        <v/>
      </c>
    </row>
    <row r="421">
      <c r="A421" s="39">
        <f>IF('10 - Office Chairs'!B421 = "", "", IF('10 - Office Chairs-WUO_ERR'!A421 = "", "Validated", HYPERLINK("#" &amp; ADDRESS(421, '10 - Office Chairs-WUO_TRK'!A421),_xlfn.TEXTAFTER('10 - Office Chairs-WUO_ERR'!A421, ":"))))</f>
        <v/>
      </c>
    </row>
    <row r="422">
      <c r="A422" s="39">
        <f>IF('10 - Office Chairs'!B422 = "", "", IF('10 - Office Chairs-WUO_ERR'!A422 = "", "Validated", HYPERLINK("#" &amp; ADDRESS(422, '10 - Office Chairs-WUO_TRK'!A422),_xlfn.TEXTAFTER('10 - Office Chairs-WUO_ERR'!A422, ":"))))</f>
        <v/>
      </c>
    </row>
    <row r="423">
      <c r="A423" s="39">
        <f>IF('10 - Office Chairs'!B423 = "", "", IF('10 - Office Chairs-WUO_ERR'!A423 = "", "Validated", HYPERLINK("#" &amp; ADDRESS(423, '10 - Office Chairs-WUO_TRK'!A423),_xlfn.TEXTAFTER('10 - Office Chairs-WUO_ERR'!A423, ":"))))</f>
        <v/>
      </c>
    </row>
    <row r="424">
      <c r="A424" s="39">
        <f>IF('10 - Office Chairs'!B424 = "", "", IF('10 - Office Chairs-WUO_ERR'!A424 = "", "Validated", HYPERLINK("#" &amp; ADDRESS(424, '10 - Office Chairs-WUO_TRK'!A424),_xlfn.TEXTAFTER('10 - Office Chairs-WUO_ERR'!A424, ":"))))</f>
        <v/>
      </c>
    </row>
    <row r="425">
      <c r="A425" s="39">
        <f>IF('10 - Office Chairs'!B425 = "", "", IF('10 - Office Chairs-WUO_ERR'!A425 = "", "Validated", HYPERLINK("#" &amp; ADDRESS(425, '10 - Office Chairs-WUO_TRK'!A425),_xlfn.TEXTAFTER('10 - Office Chairs-WUO_ERR'!A425, ":"))))</f>
        <v/>
      </c>
    </row>
    <row r="426">
      <c r="A426" s="39">
        <f>IF('10 - Office Chairs'!B426 = "", "", IF('10 - Office Chairs-WUO_ERR'!A426 = "", "Validated", HYPERLINK("#" &amp; ADDRESS(426, '10 - Office Chairs-WUO_TRK'!A426),_xlfn.TEXTAFTER('10 - Office Chairs-WUO_ERR'!A426, ":"))))</f>
        <v/>
      </c>
    </row>
    <row r="427">
      <c r="A427" s="39">
        <f>IF('10 - Office Chairs'!B427 = "", "", IF('10 - Office Chairs-WUO_ERR'!A427 = "", "Validated", HYPERLINK("#" &amp; ADDRESS(427, '10 - Office Chairs-WUO_TRK'!A427),_xlfn.TEXTAFTER('10 - Office Chairs-WUO_ERR'!A427, ":"))))</f>
        <v/>
      </c>
    </row>
    <row r="428">
      <c r="A428" s="39">
        <f>IF('10 - Office Chairs'!B428 = "", "", IF('10 - Office Chairs-WUO_ERR'!A428 = "", "Validated", HYPERLINK("#" &amp; ADDRESS(428, '10 - Office Chairs-WUO_TRK'!A428),_xlfn.TEXTAFTER('10 - Office Chairs-WUO_ERR'!A428, ":"))))</f>
        <v/>
      </c>
    </row>
    <row r="429">
      <c r="A429" s="39">
        <f>IF('10 - Office Chairs'!B429 = "", "", IF('10 - Office Chairs-WUO_ERR'!A429 = "", "Validated", HYPERLINK("#" &amp; ADDRESS(429, '10 - Office Chairs-WUO_TRK'!A429),_xlfn.TEXTAFTER('10 - Office Chairs-WUO_ERR'!A429, ":"))))</f>
        <v/>
      </c>
    </row>
    <row r="430">
      <c r="A430" s="39">
        <f>IF('10 - Office Chairs'!B430 = "", "", IF('10 - Office Chairs-WUO_ERR'!A430 = "", "Validated", HYPERLINK("#" &amp; ADDRESS(430, '10 - Office Chairs-WUO_TRK'!A430),_xlfn.TEXTAFTER('10 - Office Chairs-WUO_ERR'!A430, ":"))))</f>
        <v/>
      </c>
    </row>
    <row r="431">
      <c r="A431" s="39">
        <f>IF('10 - Office Chairs'!B431 = "", "", IF('10 - Office Chairs-WUO_ERR'!A431 = "", "Validated", HYPERLINK("#" &amp; ADDRESS(431, '10 - Office Chairs-WUO_TRK'!A431),_xlfn.TEXTAFTER('10 - Office Chairs-WUO_ERR'!A431, ":"))))</f>
        <v/>
      </c>
    </row>
    <row r="432">
      <c r="A432" s="39">
        <f>IF('10 - Office Chairs'!B432 = "", "", IF('10 - Office Chairs-WUO_ERR'!A432 = "", "Validated", HYPERLINK("#" &amp; ADDRESS(432, '10 - Office Chairs-WUO_TRK'!A432),_xlfn.TEXTAFTER('10 - Office Chairs-WUO_ERR'!A432, ":"))))</f>
        <v/>
      </c>
    </row>
    <row r="433">
      <c r="A433" s="39">
        <f>IF('10 - Office Chairs'!B433 = "", "", IF('10 - Office Chairs-WUO_ERR'!A433 = "", "Validated", HYPERLINK("#" &amp; ADDRESS(433, '10 - Office Chairs-WUO_TRK'!A433),_xlfn.TEXTAFTER('10 - Office Chairs-WUO_ERR'!A433, ":"))))</f>
        <v/>
      </c>
    </row>
    <row r="434">
      <c r="A434" s="39">
        <f>IF('10 - Office Chairs'!B434 = "", "", IF('10 - Office Chairs-WUO_ERR'!A434 = "", "Validated", HYPERLINK("#" &amp; ADDRESS(434, '10 - Office Chairs-WUO_TRK'!A434),_xlfn.TEXTAFTER('10 - Office Chairs-WUO_ERR'!A434, ":"))))</f>
        <v/>
      </c>
    </row>
    <row r="435">
      <c r="A435" s="39">
        <f>IF('10 - Office Chairs'!B435 = "", "", IF('10 - Office Chairs-WUO_ERR'!A435 = "", "Validated", HYPERLINK("#" &amp; ADDRESS(435, '10 - Office Chairs-WUO_TRK'!A435),_xlfn.TEXTAFTER('10 - Office Chairs-WUO_ERR'!A435, ":"))))</f>
        <v/>
      </c>
    </row>
    <row r="436">
      <c r="A436" s="39">
        <f>IF('10 - Office Chairs'!B436 = "", "", IF('10 - Office Chairs-WUO_ERR'!A436 = "", "Validated", HYPERLINK("#" &amp; ADDRESS(436, '10 - Office Chairs-WUO_TRK'!A436),_xlfn.TEXTAFTER('10 - Office Chairs-WUO_ERR'!A436, ":"))))</f>
        <v/>
      </c>
    </row>
    <row r="437">
      <c r="A437" s="39">
        <f>IF('10 - Office Chairs'!B437 = "", "", IF('10 - Office Chairs-WUO_ERR'!A437 = "", "Validated", HYPERLINK("#" &amp; ADDRESS(437, '10 - Office Chairs-WUO_TRK'!A437),_xlfn.TEXTAFTER('10 - Office Chairs-WUO_ERR'!A437, ":"))))</f>
        <v/>
      </c>
    </row>
    <row r="438">
      <c r="A438" s="39">
        <f>IF('10 - Office Chairs'!B438 = "", "", IF('10 - Office Chairs-WUO_ERR'!A438 = "", "Validated", HYPERLINK("#" &amp; ADDRESS(438, '10 - Office Chairs-WUO_TRK'!A438),_xlfn.TEXTAFTER('10 - Office Chairs-WUO_ERR'!A438, ":"))))</f>
        <v/>
      </c>
    </row>
    <row r="439">
      <c r="A439" s="39">
        <f>IF('10 - Office Chairs'!B439 = "", "", IF('10 - Office Chairs-WUO_ERR'!A439 = "", "Validated", HYPERLINK("#" &amp; ADDRESS(439, '10 - Office Chairs-WUO_TRK'!A439),_xlfn.TEXTAFTER('10 - Office Chairs-WUO_ERR'!A439, ":"))))</f>
        <v/>
      </c>
    </row>
    <row r="440">
      <c r="A440" s="39">
        <f>IF('10 - Office Chairs'!B440 = "", "", IF('10 - Office Chairs-WUO_ERR'!A440 = "", "Validated", HYPERLINK("#" &amp; ADDRESS(440, '10 - Office Chairs-WUO_TRK'!A440),_xlfn.TEXTAFTER('10 - Office Chairs-WUO_ERR'!A440, ":"))))</f>
        <v/>
      </c>
    </row>
    <row r="441">
      <c r="A441" s="39">
        <f>IF('10 - Office Chairs'!B441 = "", "", IF('10 - Office Chairs-WUO_ERR'!A441 = "", "Validated", HYPERLINK("#" &amp; ADDRESS(441, '10 - Office Chairs-WUO_TRK'!A441),_xlfn.TEXTAFTER('10 - Office Chairs-WUO_ERR'!A441, ":"))))</f>
        <v/>
      </c>
    </row>
    <row r="442">
      <c r="A442" s="39">
        <f>IF('10 - Office Chairs'!B442 = "", "", IF('10 - Office Chairs-WUO_ERR'!A442 = "", "Validated", HYPERLINK("#" &amp; ADDRESS(442, '10 - Office Chairs-WUO_TRK'!A442),_xlfn.TEXTAFTER('10 - Office Chairs-WUO_ERR'!A442, ":"))))</f>
        <v/>
      </c>
    </row>
    <row r="443">
      <c r="A443" s="39">
        <f>IF('10 - Office Chairs'!B443 = "", "", IF('10 - Office Chairs-WUO_ERR'!A443 = "", "Validated", HYPERLINK("#" &amp; ADDRESS(443, '10 - Office Chairs-WUO_TRK'!A443),_xlfn.TEXTAFTER('10 - Office Chairs-WUO_ERR'!A443, ":"))))</f>
        <v/>
      </c>
    </row>
    <row r="444">
      <c r="A444" s="39">
        <f>IF('10 - Office Chairs'!B444 = "", "", IF('10 - Office Chairs-WUO_ERR'!A444 = "", "Validated", HYPERLINK("#" &amp; ADDRESS(444, '10 - Office Chairs-WUO_TRK'!A444),_xlfn.TEXTAFTER('10 - Office Chairs-WUO_ERR'!A444, ":"))))</f>
        <v/>
      </c>
    </row>
    <row r="445">
      <c r="A445" s="39">
        <f>IF('10 - Office Chairs'!B445 = "", "", IF('10 - Office Chairs-WUO_ERR'!A445 = "", "Validated", HYPERLINK("#" &amp; ADDRESS(445, '10 - Office Chairs-WUO_TRK'!A445),_xlfn.TEXTAFTER('10 - Office Chairs-WUO_ERR'!A445, ":"))))</f>
        <v/>
      </c>
    </row>
    <row r="446">
      <c r="A446" s="39">
        <f>IF('10 - Office Chairs'!B446 = "", "", IF('10 - Office Chairs-WUO_ERR'!A446 = "", "Validated", HYPERLINK("#" &amp; ADDRESS(446, '10 - Office Chairs-WUO_TRK'!A446),_xlfn.TEXTAFTER('10 - Office Chairs-WUO_ERR'!A446, ":"))))</f>
        <v/>
      </c>
    </row>
    <row r="447">
      <c r="A447" s="39">
        <f>IF('10 - Office Chairs'!B447 = "", "", IF('10 - Office Chairs-WUO_ERR'!A447 = "", "Validated", HYPERLINK("#" &amp; ADDRESS(447, '10 - Office Chairs-WUO_TRK'!A447),_xlfn.TEXTAFTER('10 - Office Chairs-WUO_ERR'!A447, ":"))))</f>
        <v/>
      </c>
    </row>
    <row r="448">
      <c r="A448" s="39">
        <f>IF('10 - Office Chairs'!B448 = "", "", IF('10 - Office Chairs-WUO_ERR'!A448 = "", "Validated", HYPERLINK("#" &amp; ADDRESS(448, '10 - Office Chairs-WUO_TRK'!A448),_xlfn.TEXTAFTER('10 - Office Chairs-WUO_ERR'!A448, ":"))))</f>
        <v/>
      </c>
    </row>
    <row r="449">
      <c r="A449" s="39">
        <f>IF('10 - Office Chairs'!B449 = "", "", IF('10 - Office Chairs-WUO_ERR'!A449 = "", "Validated", HYPERLINK("#" &amp; ADDRESS(449, '10 - Office Chairs-WUO_TRK'!A449),_xlfn.TEXTAFTER('10 - Office Chairs-WUO_ERR'!A449, ":"))))</f>
        <v/>
      </c>
    </row>
    <row r="450">
      <c r="A450" s="39">
        <f>IF('10 - Office Chairs'!B450 = "", "", IF('10 - Office Chairs-WUO_ERR'!A450 = "", "Validated", HYPERLINK("#" &amp; ADDRESS(450, '10 - Office Chairs-WUO_TRK'!A450),_xlfn.TEXTAFTER('10 - Office Chairs-WUO_ERR'!A450, ":"))))</f>
        <v/>
      </c>
    </row>
    <row r="451">
      <c r="A451" s="39">
        <f>IF('10 - Office Chairs'!B451 = "", "", IF('10 - Office Chairs-WUO_ERR'!A451 = "", "Validated", HYPERLINK("#" &amp; ADDRESS(451, '10 - Office Chairs-WUO_TRK'!A451),_xlfn.TEXTAFTER('10 - Office Chairs-WUO_ERR'!A451, ":"))))</f>
        <v/>
      </c>
    </row>
    <row r="452">
      <c r="A452" s="39">
        <f>IF('10 - Office Chairs'!B452 = "", "", IF('10 - Office Chairs-WUO_ERR'!A452 = "", "Validated", HYPERLINK("#" &amp; ADDRESS(452, '10 - Office Chairs-WUO_TRK'!A452),_xlfn.TEXTAFTER('10 - Office Chairs-WUO_ERR'!A452, ":"))))</f>
        <v/>
      </c>
    </row>
    <row r="453">
      <c r="A453" s="39">
        <f>IF('10 - Office Chairs'!B453 = "", "", IF('10 - Office Chairs-WUO_ERR'!A453 = "", "Validated", HYPERLINK("#" &amp; ADDRESS(453, '10 - Office Chairs-WUO_TRK'!A453),_xlfn.TEXTAFTER('10 - Office Chairs-WUO_ERR'!A453, ":"))))</f>
        <v/>
      </c>
    </row>
    <row r="454">
      <c r="A454" s="39">
        <f>IF('10 - Office Chairs'!B454 = "", "", IF('10 - Office Chairs-WUO_ERR'!A454 = "", "Validated", HYPERLINK("#" &amp; ADDRESS(454, '10 - Office Chairs-WUO_TRK'!A454),_xlfn.TEXTAFTER('10 - Office Chairs-WUO_ERR'!A454, ":"))))</f>
        <v/>
      </c>
    </row>
    <row r="455">
      <c r="A455" s="39">
        <f>IF('10 - Office Chairs'!B455 = "", "", IF('10 - Office Chairs-WUO_ERR'!A455 = "", "Validated", HYPERLINK("#" &amp; ADDRESS(455, '10 - Office Chairs-WUO_TRK'!A455),_xlfn.TEXTAFTER('10 - Office Chairs-WUO_ERR'!A455, ":"))))</f>
        <v/>
      </c>
    </row>
    <row r="456">
      <c r="A456" s="39">
        <f>IF('10 - Office Chairs'!B456 = "", "", IF('10 - Office Chairs-WUO_ERR'!A456 = "", "Validated", HYPERLINK("#" &amp; ADDRESS(456, '10 - Office Chairs-WUO_TRK'!A456),_xlfn.TEXTAFTER('10 - Office Chairs-WUO_ERR'!A456, ":"))))</f>
        <v/>
      </c>
    </row>
    <row r="457">
      <c r="A457" s="39">
        <f>IF('10 - Office Chairs'!B457 = "", "", IF('10 - Office Chairs-WUO_ERR'!A457 = "", "Validated", HYPERLINK("#" &amp; ADDRESS(457, '10 - Office Chairs-WUO_TRK'!A457),_xlfn.TEXTAFTER('10 - Office Chairs-WUO_ERR'!A457, ":"))))</f>
        <v/>
      </c>
    </row>
    <row r="458">
      <c r="A458" s="39">
        <f>IF('10 - Office Chairs'!B458 = "", "", IF('10 - Office Chairs-WUO_ERR'!A458 = "", "Validated", HYPERLINK("#" &amp; ADDRESS(458, '10 - Office Chairs-WUO_TRK'!A458),_xlfn.TEXTAFTER('10 - Office Chairs-WUO_ERR'!A458, ":"))))</f>
        <v/>
      </c>
    </row>
    <row r="459">
      <c r="A459" s="39">
        <f>IF('10 - Office Chairs'!B459 = "", "", IF('10 - Office Chairs-WUO_ERR'!A459 = "", "Validated", HYPERLINK("#" &amp; ADDRESS(459, '10 - Office Chairs-WUO_TRK'!A459),_xlfn.TEXTAFTER('10 - Office Chairs-WUO_ERR'!A459, ":"))))</f>
        <v/>
      </c>
    </row>
    <row r="460">
      <c r="A460" s="39">
        <f>IF('10 - Office Chairs'!B460 = "", "", IF('10 - Office Chairs-WUO_ERR'!A460 = "", "Validated", HYPERLINK("#" &amp; ADDRESS(460, '10 - Office Chairs-WUO_TRK'!A460),_xlfn.TEXTAFTER('10 - Office Chairs-WUO_ERR'!A460, ":"))))</f>
        <v/>
      </c>
    </row>
    <row r="461">
      <c r="A461" s="39">
        <f>IF('10 - Office Chairs'!B461 = "", "", IF('10 - Office Chairs-WUO_ERR'!A461 = "", "Validated", HYPERLINK("#" &amp; ADDRESS(461, '10 - Office Chairs-WUO_TRK'!A461),_xlfn.TEXTAFTER('10 - Office Chairs-WUO_ERR'!A461, ":"))))</f>
        <v/>
      </c>
    </row>
    <row r="462">
      <c r="A462" s="39">
        <f>IF('10 - Office Chairs'!B462 = "", "", IF('10 - Office Chairs-WUO_ERR'!A462 = "", "Validated", HYPERLINK("#" &amp; ADDRESS(462, '10 - Office Chairs-WUO_TRK'!A462),_xlfn.TEXTAFTER('10 - Office Chairs-WUO_ERR'!A462, ":"))))</f>
        <v/>
      </c>
    </row>
    <row r="463">
      <c r="A463" s="39">
        <f>IF('10 - Office Chairs'!B463 = "", "", IF('10 - Office Chairs-WUO_ERR'!A463 = "", "Validated", HYPERLINK("#" &amp; ADDRESS(463, '10 - Office Chairs-WUO_TRK'!A463),_xlfn.TEXTAFTER('10 - Office Chairs-WUO_ERR'!A463, ":"))))</f>
        <v/>
      </c>
    </row>
    <row r="464">
      <c r="A464" s="39">
        <f>IF('10 - Office Chairs'!B464 = "", "", IF('10 - Office Chairs-WUO_ERR'!A464 = "", "Validated", HYPERLINK("#" &amp; ADDRESS(464, '10 - Office Chairs-WUO_TRK'!A464),_xlfn.TEXTAFTER('10 - Office Chairs-WUO_ERR'!A464, ":"))))</f>
        <v/>
      </c>
    </row>
    <row r="465">
      <c r="A465" s="39">
        <f>IF('10 - Office Chairs'!B465 = "", "", IF('10 - Office Chairs-WUO_ERR'!A465 = "", "Validated", HYPERLINK("#" &amp; ADDRESS(465, '10 - Office Chairs-WUO_TRK'!A465),_xlfn.TEXTAFTER('10 - Office Chairs-WUO_ERR'!A465, ":"))))</f>
        <v/>
      </c>
    </row>
    <row r="466">
      <c r="A466" s="39">
        <f>IF('10 - Office Chairs'!B466 = "", "", IF('10 - Office Chairs-WUO_ERR'!A466 = "", "Validated", HYPERLINK("#" &amp; ADDRESS(466, '10 - Office Chairs-WUO_TRK'!A466),_xlfn.TEXTAFTER('10 - Office Chairs-WUO_ERR'!A466, ":"))))</f>
        <v/>
      </c>
    </row>
    <row r="467">
      <c r="A467" s="39">
        <f>IF('10 - Office Chairs'!B467 = "", "", IF('10 - Office Chairs-WUO_ERR'!A467 = "", "Validated", HYPERLINK("#" &amp; ADDRESS(467, '10 - Office Chairs-WUO_TRK'!A467),_xlfn.TEXTAFTER('10 - Office Chairs-WUO_ERR'!A467, ":"))))</f>
        <v/>
      </c>
    </row>
    <row r="468">
      <c r="A468" s="39">
        <f>IF('10 - Office Chairs'!B468 = "", "", IF('10 - Office Chairs-WUO_ERR'!A468 = "", "Validated", HYPERLINK("#" &amp; ADDRESS(468, '10 - Office Chairs-WUO_TRK'!A468),_xlfn.TEXTAFTER('10 - Office Chairs-WUO_ERR'!A468, ":"))))</f>
        <v/>
      </c>
    </row>
    <row r="469">
      <c r="A469" s="39">
        <f>IF('10 - Office Chairs'!B469 = "", "", IF('10 - Office Chairs-WUO_ERR'!A469 = "", "Validated", HYPERLINK("#" &amp; ADDRESS(469, '10 - Office Chairs-WUO_TRK'!A469),_xlfn.TEXTAFTER('10 - Office Chairs-WUO_ERR'!A469, ":"))))</f>
        <v/>
      </c>
    </row>
    <row r="470">
      <c r="A470" s="39">
        <f>IF('10 - Office Chairs'!B470 = "", "", IF('10 - Office Chairs-WUO_ERR'!A470 = "", "Validated", HYPERLINK("#" &amp; ADDRESS(470, '10 - Office Chairs-WUO_TRK'!A470),_xlfn.TEXTAFTER('10 - Office Chairs-WUO_ERR'!A470, ":"))))</f>
        <v/>
      </c>
    </row>
    <row r="471">
      <c r="A471" s="39">
        <f>IF('10 - Office Chairs'!B471 = "", "", IF('10 - Office Chairs-WUO_ERR'!A471 = "", "Validated", HYPERLINK("#" &amp; ADDRESS(471, '10 - Office Chairs-WUO_TRK'!A471),_xlfn.TEXTAFTER('10 - Office Chairs-WUO_ERR'!A471, ":"))))</f>
        <v/>
      </c>
    </row>
    <row r="472">
      <c r="A472" s="39">
        <f>IF('10 - Office Chairs'!B472 = "", "", IF('10 - Office Chairs-WUO_ERR'!A472 = "", "Validated", HYPERLINK("#" &amp; ADDRESS(472, '10 - Office Chairs-WUO_TRK'!A472),_xlfn.TEXTAFTER('10 - Office Chairs-WUO_ERR'!A472, ":"))))</f>
        <v/>
      </c>
    </row>
    <row r="473">
      <c r="A473" s="39">
        <f>IF('10 - Office Chairs'!B473 = "", "", IF('10 - Office Chairs-WUO_ERR'!A473 = "", "Validated", HYPERLINK("#" &amp; ADDRESS(473, '10 - Office Chairs-WUO_TRK'!A473),_xlfn.TEXTAFTER('10 - Office Chairs-WUO_ERR'!A473, ":"))))</f>
        <v/>
      </c>
    </row>
    <row r="474">
      <c r="A474" s="39">
        <f>IF('10 - Office Chairs'!B474 = "", "", IF('10 - Office Chairs-WUO_ERR'!A474 = "", "Validated", HYPERLINK("#" &amp; ADDRESS(474, '10 - Office Chairs-WUO_TRK'!A474),_xlfn.TEXTAFTER('10 - Office Chairs-WUO_ERR'!A474, ":"))))</f>
        <v/>
      </c>
    </row>
    <row r="475">
      <c r="A475" s="39">
        <f>IF('10 - Office Chairs'!B475 = "", "", IF('10 - Office Chairs-WUO_ERR'!A475 = "", "Validated", HYPERLINK("#" &amp; ADDRESS(475, '10 - Office Chairs-WUO_TRK'!A475),_xlfn.TEXTAFTER('10 - Office Chairs-WUO_ERR'!A475, ":"))))</f>
        <v/>
      </c>
    </row>
    <row r="476">
      <c r="A476" s="39">
        <f>IF('10 - Office Chairs'!B476 = "", "", IF('10 - Office Chairs-WUO_ERR'!A476 = "", "Validated", HYPERLINK("#" &amp; ADDRESS(476, '10 - Office Chairs-WUO_TRK'!A476),_xlfn.TEXTAFTER('10 - Office Chairs-WUO_ERR'!A476, ":"))))</f>
        <v/>
      </c>
    </row>
    <row r="477">
      <c r="A477" s="39">
        <f>IF('10 - Office Chairs'!B477 = "", "", IF('10 - Office Chairs-WUO_ERR'!A477 = "", "Validated", HYPERLINK("#" &amp; ADDRESS(477, '10 - Office Chairs-WUO_TRK'!A477),_xlfn.TEXTAFTER('10 - Office Chairs-WUO_ERR'!A477, ":"))))</f>
        <v/>
      </c>
    </row>
    <row r="478">
      <c r="A478" s="39">
        <f>IF('10 - Office Chairs'!B478 = "", "", IF('10 - Office Chairs-WUO_ERR'!A478 = "", "Validated", HYPERLINK("#" &amp; ADDRESS(478, '10 - Office Chairs-WUO_TRK'!A478),_xlfn.TEXTAFTER('10 - Office Chairs-WUO_ERR'!A478, ":"))))</f>
        <v/>
      </c>
    </row>
    <row r="479">
      <c r="A479" s="39">
        <f>IF('10 - Office Chairs'!B479 = "", "", IF('10 - Office Chairs-WUO_ERR'!A479 = "", "Validated", HYPERLINK("#" &amp; ADDRESS(479, '10 - Office Chairs-WUO_TRK'!A479),_xlfn.TEXTAFTER('10 - Office Chairs-WUO_ERR'!A479, ":"))))</f>
        <v/>
      </c>
    </row>
    <row r="480">
      <c r="A480" s="39">
        <f>IF('10 - Office Chairs'!B480 = "", "", IF('10 - Office Chairs-WUO_ERR'!A480 = "", "Validated", HYPERLINK("#" &amp; ADDRESS(480, '10 - Office Chairs-WUO_TRK'!A480),_xlfn.TEXTAFTER('10 - Office Chairs-WUO_ERR'!A480, ":"))))</f>
        <v/>
      </c>
    </row>
    <row r="481">
      <c r="A481" s="39">
        <f>IF('10 - Office Chairs'!B481 = "", "", IF('10 - Office Chairs-WUO_ERR'!A481 = "", "Validated", HYPERLINK("#" &amp; ADDRESS(481, '10 - Office Chairs-WUO_TRK'!A481),_xlfn.TEXTAFTER('10 - Office Chairs-WUO_ERR'!A481, ":"))))</f>
        <v/>
      </c>
    </row>
    <row r="482">
      <c r="A482" s="39">
        <f>IF('10 - Office Chairs'!B482 = "", "", IF('10 - Office Chairs-WUO_ERR'!A482 = "", "Validated", HYPERLINK("#" &amp; ADDRESS(482, '10 - Office Chairs-WUO_TRK'!A482),_xlfn.TEXTAFTER('10 - Office Chairs-WUO_ERR'!A482, ":"))))</f>
        <v/>
      </c>
    </row>
    <row r="483">
      <c r="A483" s="39">
        <f>IF('10 - Office Chairs'!B483 = "", "", IF('10 - Office Chairs-WUO_ERR'!A483 = "", "Validated", HYPERLINK("#" &amp; ADDRESS(483, '10 - Office Chairs-WUO_TRK'!A483),_xlfn.TEXTAFTER('10 - Office Chairs-WUO_ERR'!A483, ":"))))</f>
        <v/>
      </c>
    </row>
    <row r="484">
      <c r="A484" s="39">
        <f>IF('10 - Office Chairs'!B484 = "", "", IF('10 - Office Chairs-WUO_ERR'!A484 = "", "Validated", HYPERLINK("#" &amp; ADDRESS(484, '10 - Office Chairs-WUO_TRK'!A484),_xlfn.TEXTAFTER('10 - Office Chairs-WUO_ERR'!A484, ":"))))</f>
        <v/>
      </c>
    </row>
    <row r="485">
      <c r="A485" s="39">
        <f>IF('10 - Office Chairs'!B485 = "", "", IF('10 - Office Chairs-WUO_ERR'!A485 = "", "Validated", HYPERLINK("#" &amp; ADDRESS(485, '10 - Office Chairs-WUO_TRK'!A485),_xlfn.TEXTAFTER('10 - Office Chairs-WUO_ERR'!A485, ":"))))</f>
        <v/>
      </c>
    </row>
    <row r="486">
      <c r="A486" s="39">
        <f>IF('10 - Office Chairs'!B486 = "", "", IF('10 - Office Chairs-WUO_ERR'!A486 = "", "Validated", HYPERLINK("#" &amp; ADDRESS(486, '10 - Office Chairs-WUO_TRK'!A486),_xlfn.TEXTAFTER('10 - Office Chairs-WUO_ERR'!A486, ":"))))</f>
        <v/>
      </c>
    </row>
    <row r="487">
      <c r="A487" s="39">
        <f>IF('10 - Office Chairs'!B487 = "", "", IF('10 - Office Chairs-WUO_ERR'!A487 = "", "Validated", HYPERLINK("#" &amp; ADDRESS(487, '10 - Office Chairs-WUO_TRK'!A487),_xlfn.TEXTAFTER('10 - Office Chairs-WUO_ERR'!A487, ":"))))</f>
        <v/>
      </c>
    </row>
    <row r="488">
      <c r="A488" s="39">
        <f>IF('10 - Office Chairs'!B488 = "", "", IF('10 - Office Chairs-WUO_ERR'!A488 = "", "Validated", HYPERLINK("#" &amp; ADDRESS(488, '10 - Office Chairs-WUO_TRK'!A488),_xlfn.TEXTAFTER('10 - Office Chairs-WUO_ERR'!A488, ":"))))</f>
        <v/>
      </c>
    </row>
    <row r="489">
      <c r="A489" s="39">
        <f>IF('10 - Office Chairs'!B489 = "", "", IF('10 - Office Chairs-WUO_ERR'!A489 = "", "Validated", HYPERLINK("#" &amp; ADDRESS(489, '10 - Office Chairs-WUO_TRK'!A489),_xlfn.TEXTAFTER('10 - Office Chairs-WUO_ERR'!A489, ":"))))</f>
        <v/>
      </c>
    </row>
    <row r="490">
      <c r="A490" s="39">
        <f>IF('10 - Office Chairs'!B490 = "", "", IF('10 - Office Chairs-WUO_ERR'!A490 = "", "Validated", HYPERLINK("#" &amp; ADDRESS(490, '10 - Office Chairs-WUO_TRK'!A490),_xlfn.TEXTAFTER('10 - Office Chairs-WUO_ERR'!A490, ":"))))</f>
        <v/>
      </c>
    </row>
    <row r="491">
      <c r="A491" s="39">
        <f>IF('10 - Office Chairs'!B491 = "", "", IF('10 - Office Chairs-WUO_ERR'!A491 = "", "Validated", HYPERLINK("#" &amp; ADDRESS(491, '10 - Office Chairs-WUO_TRK'!A491),_xlfn.TEXTAFTER('10 - Office Chairs-WUO_ERR'!A491, ":"))))</f>
        <v/>
      </c>
    </row>
    <row r="492">
      <c r="A492" s="39">
        <f>IF('10 - Office Chairs'!B492 = "", "", IF('10 - Office Chairs-WUO_ERR'!A492 = "", "Validated", HYPERLINK("#" &amp; ADDRESS(492, '10 - Office Chairs-WUO_TRK'!A492),_xlfn.TEXTAFTER('10 - Office Chairs-WUO_ERR'!A492, ":"))))</f>
        <v/>
      </c>
    </row>
    <row r="493">
      <c r="A493" s="39">
        <f>IF('10 - Office Chairs'!B493 = "", "", IF('10 - Office Chairs-WUO_ERR'!A493 = "", "Validated", HYPERLINK("#" &amp; ADDRESS(493, '10 - Office Chairs-WUO_TRK'!A493),_xlfn.TEXTAFTER('10 - Office Chairs-WUO_ERR'!A493, ":"))))</f>
        <v/>
      </c>
    </row>
    <row r="494">
      <c r="A494" s="39">
        <f>IF('10 - Office Chairs'!B494 = "", "", IF('10 - Office Chairs-WUO_ERR'!A494 = "", "Validated", HYPERLINK("#" &amp; ADDRESS(494, '10 - Office Chairs-WUO_TRK'!A494),_xlfn.TEXTAFTER('10 - Office Chairs-WUO_ERR'!A494, ":"))))</f>
        <v/>
      </c>
    </row>
    <row r="495">
      <c r="A495" s="39">
        <f>IF('10 - Office Chairs'!B495 = "", "", IF('10 - Office Chairs-WUO_ERR'!A495 = "", "Validated", HYPERLINK("#" &amp; ADDRESS(495, '10 - Office Chairs-WUO_TRK'!A495),_xlfn.TEXTAFTER('10 - Office Chairs-WUO_ERR'!A495, ":"))))</f>
        <v/>
      </c>
    </row>
    <row r="496">
      <c r="A496" s="39">
        <f>IF('10 - Office Chairs'!B496 = "", "", IF('10 - Office Chairs-WUO_ERR'!A496 = "", "Validated", HYPERLINK("#" &amp; ADDRESS(496, '10 - Office Chairs-WUO_TRK'!A496),_xlfn.TEXTAFTER('10 - Office Chairs-WUO_ERR'!A496, ":"))))</f>
        <v/>
      </c>
    </row>
    <row r="497">
      <c r="A497" s="39">
        <f>IF('10 - Office Chairs'!B497 = "", "", IF('10 - Office Chairs-WUO_ERR'!A497 = "", "Validated", HYPERLINK("#" &amp; ADDRESS(497, '10 - Office Chairs-WUO_TRK'!A497),_xlfn.TEXTAFTER('10 - Office Chairs-WUO_ERR'!A497, ":"))))</f>
        <v/>
      </c>
    </row>
    <row r="498">
      <c r="A498" s="39">
        <f>IF('10 - Office Chairs'!B498 = "", "", IF('10 - Office Chairs-WUO_ERR'!A498 = "", "Validated", HYPERLINK("#" &amp; ADDRESS(498, '10 - Office Chairs-WUO_TRK'!A498),_xlfn.TEXTAFTER('10 - Office Chairs-WUO_ERR'!A498, ":"))))</f>
        <v/>
      </c>
    </row>
    <row r="499">
      <c r="A499" s="39">
        <f>IF('10 - Office Chairs'!B499 = "", "", IF('10 - Office Chairs-WUO_ERR'!A499 = "", "Validated", HYPERLINK("#" &amp; ADDRESS(499, '10 - Office Chairs-WUO_TRK'!A499),_xlfn.TEXTAFTER('10 - Office Chairs-WUO_ERR'!A499, ":"))))</f>
        <v/>
      </c>
    </row>
    <row r="500">
      <c r="A500" s="39">
        <f>IF('10 - Office Chairs'!B500 = "", "", IF('10 - Office Chairs-WUO_ERR'!A500 = "", "Validated", HYPERLINK("#" &amp; ADDRESS(500, '10 - Office Chairs-WUO_TRK'!A500),_xlfn.TEXTAFTER('10 - Office Chairs-WUO_ERR'!A500, ":"))))</f>
        <v/>
      </c>
    </row>
    <row r="501">
      <c r="A501" s="39">
        <f>IF('10 - Office Chairs'!B501 = "", "", IF('10 - Office Chairs-WUO_ERR'!A501 = "", "Validated", HYPERLINK("#" &amp; ADDRESS(501, '10 - Office Chairs-WUO_TRK'!A501),_xlfn.TEXTAFTER('10 - Office Chairs-WUO_ERR'!A501, ":"))))</f>
        <v/>
      </c>
    </row>
    <row r="502">
      <c r="A502" s="39">
        <f>IF('10 - Office Chairs'!B502 = "", "", IF('10 - Office Chairs-WUO_ERR'!A502 = "", "Validated", HYPERLINK("#" &amp; ADDRESS(502, '10 - Office Chairs-WUO_TRK'!A502),_xlfn.TEXTAFTER('10 - Office Chairs-WUO_ERR'!A502, ":"))))</f>
        <v/>
      </c>
    </row>
    <row r="503">
      <c r="A503" s="39">
        <f>IF('10 - Office Chairs'!B503 = "", "", IF('10 - Office Chairs-WUO_ERR'!A503 = "", "Validated", HYPERLINK("#" &amp; ADDRESS(503, '10 - Office Chairs-WUO_TRK'!A503),_xlfn.TEXTAFTER('10 - Office Chairs-WUO_ERR'!A503, ":"))))</f>
        <v/>
      </c>
    </row>
    <row r="504">
      <c r="A504" s="39">
        <f>IF('10 - Office Chairs'!B504 = "", "", IF('10 - Office Chairs-WUO_ERR'!A504 = "", "Validated", HYPERLINK("#" &amp; ADDRESS(504, '10 - Office Chairs-WUO_TRK'!A504),_xlfn.TEXTAFTER('10 - Office Chairs-WUO_ERR'!A504, ":"))))</f>
        <v/>
      </c>
    </row>
    <row r="505">
      <c r="A505" s="39">
        <f>IF('10 - Office Chairs'!B505 = "", "", IF('10 - Office Chairs-WUO_ERR'!A505 = "", "Validated", HYPERLINK("#" &amp; ADDRESS(505, '10 - Office Chairs-WUO_TRK'!A505),_xlfn.TEXTAFTER('10 - Office Chairs-WUO_ERR'!A505, ":"))))</f>
        <v/>
      </c>
    </row>
    <row r="506">
      <c r="A506" s="39">
        <f>IF('10 - Office Chairs'!B506 = "", "", IF('10 - Office Chairs-WUO_ERR'!A506 = "", "Validated", HYPERLINK("#" &amp; ADDRESS(506, '10 - Office Chairs-WUO_TRK'!A506),_xlfn.TEXTAFTER('10 - Office Chairs-WUO_ERR'!A506, ":"))))</f>
        <v/>
      </c>
    </row>
    <row r="507">
      <c r="A507" s="39">
        <f>IF('10 - Office Chairs'!B507 = "", "", IF('10 - Office Chairs-WUO_ERR'!A507 = "", "Validated", HYPERLINK("#" &amp; ADDRESS(507, '10 - Office Chairs-WUO_TRK'!A507),_xlfn.TEXTAFTER('10 - Office Chairs-WUO_ERR'!A507, ":"))))</f>
        <v/>
      </c>
    </row>
  </sheetData>
  <sheetProtection selectLockedCells="0" selectUnlockedCells="0" sheet="1" objects="1" insertRows="1" insertHyperlinks="1" autoFilter="1" scenarios="1" formatColumns="0" deleteColumns="1" insertColumns="1" pivotTables="1" deleteRows="1" formatCells="1" formatRows="0" sort="1" password="9B2C"/>
  <mergeCells count="9">
    <mergeCell ref="AL2:AO2"/>
    <mergeCell ref="AP2:AS2"/>
    <mergeCell ref="U2:Z2"/>
    <mergeCell ref="BO2:FP2"/>
    <mergeCell ref="R2:T2"/>
    <mergeCell ref="B2:I2"/>
    <mergeCell ref="AA2:AK2"/>
    <mergeCell ref="AT2:BN2"/>
    <mergeCell ref="J2:Q2"/>
  </mergeCells>
  <conditionalFormatting sqref="A8:A507">
    <cfRule type="expression" priority="5" dxfId="4">
      <formula>A8="Validated"</formula>
    </cfRule>
    <cfRule type="expression" priority="6" dxfId="5">
      <formula>OR(COUNTIF('10 - Office Chairs-WUO_TRK'!B8:FQ8,"Error"),COUNTIF('10 - Office Chairs-WUO_TRK'!B8:FQ8,"Required"))</formula>
    </cfRule>
    <cfRule type="expression" priority="7" dxfId="6">
      <formula>COUNTIF('10 - Office Chairs-WUO_TRK'!B8:FQ8,"Warning")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Q507">
    <cfRule type="expression" priority="1" dxfId="0">
      <formula>'10 - Office Chairs-WUO_TRK'!B8="Error"</formula>
    </cfRule>
    <cfRule type="expression" priority="2" dxfId="1">
      <formula>'10 - Office Chairs-WUO_TRK'!B8="Required"</formula>
    </cfRule>
    <cfRule type="expression" priority="3" dxfId="2">
      <formula>'10 - Office Chairs-WUO_TRK'!B8="Warning"</formula>
    </cfRule>
    <cfRule type="expression" priority="4" dxfId="3">
      <formula>'10 - Office Chairs-WUO_TRK'!B8="Disabled"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FC7">
    <cfRule type="notContainsBlanks" priority="416" dxfId="7">
      <formula>LEN(TRIM(FC7))&gt;0</formula>
    </cfRule>
    <cfRule type="containsBlanks" priority="417" dxfId="8">
      <formula>LEN(TRIM(FC7))=0</formula>
    </cfRule>
  </conditionalFormatting>
  <conditionalFormatting sqref="FC8:FC2501">
    <cfRule type="expression" priority="418" dxfId="7">
      <formula>AND($FC$7&lt;&gt;"", FC8="")</formula>
    </cfRule>
  </conditionalFormatting>
  <conditionalFormatting sqref="FD7">
    <cfRule type="notContainsBlanks" priority="419" dxfId="7">
      <formula>LEN(TRIM(FD7))&gt;0</formula>
    </cfRule>
    <cfRule type="containsBlanks" priority="420" dxfId="8">
      <formula>LEN(TRIM(FD7))=0</formula>
    </cfRule>
  </conditionalFormatting>
  <conditionalFormatting sqref="FD8:FD2501">
    <cfRule type="expression" priority="421" dxfId="7">
      <formula>AND($FD$7&lt;&gt;"", FD8="")</formula>
    </cfRule>
  </conditionalFormatting>
  <conditionalFormatting sqref="FE7">
    <cfRule type="notContainsBlanks" priority="422" dxfId="7">
      <formula>LEN(TRIM(FE7))&gt;0</formula>
    </cfRule>
    <cfRule type="containsBlanks" priority="423" dxfId="8">
      <formula>LEN(TRIM(FE7))=0</formula>
    </cfRule>
  </conditionalFormatting>
  <conditionalFormatting sqref="FE8:FE2501">
    <cfRule type="expression" priority="424" dxfId="7">
      <formula>AND($FE$7&lt;&gt;"", FE8="")</formula>
    </cfRule>
  </conditionalFormatting>
  <conditionalFormatting sqref="FF7">
    <cfRule type="notContainsBlanks" priority="425" dxfId="7">
      <formula>LEN(TRIM(FF7))&gt;0</formula>
    </cfRule>
    <cfRule type="containsBlanks" priority="426" dxfId="8">
      <formula>LEN(TRIM(FF7))=0</formula>
    </cfRule>
  </conditionalFormatting>
  <conditionalFormatting sqref="FF8:FF2501">
    <cfRule type="expression" priority="427" dxfId="7">
      <formula>AND($FF$7&lt;&gt;"", FF8="")</formula>
    </cfRule>
  </conditionalFormatting>
  <conditionalFormatting sqref="FG7">
    <cfRule type="notContainsBlanks" priority="428" dxfId="7">
      <formula>LEN(TRIM(FG7))&gt;0</formula>
    </cfRule>
    <cfRule type="containsBlanks" priority="429" dxfId="8">
      <formula>LEN(TRIM(FG7))=0</formula>
    </cfRule>
  </conditionalFormatting>
  <conditionalFormatting sqref="FG8:FG2501">
    <cfRule type="expression" priority="430" dxfId="7">
      <formula>AND($FG$7&lt;&gt;"", FG8="")</formula>
    </cfRule>
  </conditionalFormatting>
  <conditionalFormatting sqref="FH7">
    <cfRule type="notContainsBlanks" priority="431" dxfId="7">
      <formula>LEN(TRIM(FH7))&gt;0</formula>
    </cfRule>
    <cfRule type="containsBlanks" priority="432" dxfId="8">
      <formula>LEN(TRIM(FH7))=0</formula>
    </cfRule>
  </conditionalFormatting>
  <conditionalFormatting sqref="FH8:FH2501">
    <cfRule type="expression" priority="433" dxfId="7">
      <formula>AND($FH$7&lt;&gt;"", FH8="")</formula>
    </cfRule>
  </conditionalFormatting>
  <conditionalFormatting sqref="FI7">
    <cfRule type="notContainsBlanks" priority="434" dxfId="7">
      <formula>LEN(TRIM(FI7))&gt;0</formula>
    </cfRule>
    <cfRule type="containsBlanks" priority="435" dxfId="8">
      <formula>LEN(TRIM(FI7))=0</formula>
    </cfRule>
  </conditionalFormatting>
  <conditionalFormatting sqref="FI8:FI2501">
    <cfRule type="expression" priority="436" dxfId="7">
      <formula>AND($FI$7&lt;&gt;"", FI8="")</formula>
    </cfRule>
  </conditionalFormatting>
  <conditionalFormatting sqref="FJ7">
    <cfRule type="notContainsBlanks" priority="437" dxfId="7">
      <formula>LEN(TRIM(FJ7))&gt;0</formula>
    </cfRule>
    <cfRule type="containsBlanks" priority="438" dxfId="8">
      <formula>LEN(TRIM(FJ7))=0</formula>
    </cfRule>
  </conditionalFormatting>
  <conditionalFormatting sqref="FJ8:FJ2501">
    <cfRule type="expression" priority="439" dxfId="7">
      <formula>AND($FJ$7&lt;&gt;"", FJ8="")</formula>
    </cfRule>
  </conditionalFormatting>
  <conditionalFormatting sqref="FK7">
    <cfRule type="notContainsBlanks" priority="440" dxfId="7">
      <formula>LEN(TRIM(FK7))&gt;0</formula>
    </cfRule>
    <cfRule type="containsBlanks" priority="441" dxfId="8">
      <formula>LEN(TRIM(FK7))=0</formula>
    </cfRule>
  </conditionalFormatting>
  <conditionalFormatting sqref="FK8:FK2501">
    <cfRule type="expression" priority="442" dxfId="7">
      <formula>AND($FK$7&lt;&gt;"", FK8="")</formula>
    </cfRule>
  </conditionalFormatting>
  <conditionalFormatting sqref="FL7">
    <cfRule type="notContainsBlanks" priority="443" dxfId="7">
      <formula>LEN(TRIM(FL7))&gt;0</formula>
    </cfRule>
    <cfRule type="containsBlanks" priority="444" dxfId="8">
      <formula>LEN(TRIM(FL7))=0</formula>
    </cfRule>
  </conditionalFormatting>
  <conditionalFormatting sqref="FL8:FL2501">
    <cfRule type="expression" priority="445" dxfId="7">
      <formula>AND($FL$7&lt;&gt;"", FL8="")</formula>
    </cfRule>
  </conditionalFormatting>
  <conditionalFormatting sqref="FM7">
    <cfRule type="notContainsBlanks" priority="446" dxfId="7">
      <formula>LEN(TRIM(FM7))&gt;0</formula>
    </cfRule>
    <cfRule type="containsBlanks" priority="447" dxfId="8">
      <formula>LEN(TRIM(FM7))=0</formula>
    </cfRule>
  </conditionalFormatting>
  <conditionalFormatting sqref="FM8:FM2501">
    <cfRule type="expression" priority="448" dxfId="7">
      <formula>AND($FM$7&lt;&gt;"", FM8="")</formula>
    </cfRule>
  </conditionalFormatting>
  <conditionalFormatting sqref="FN7">
    <cfRule type="notContainsBlanks" priority="449" dxfId="7">
      <formula>LEN(TRIM(FN7))&gt;0</formula>
    </cfRule>
    <cfRule type="containsBlanks" priority="450" dxfId="8">
      <formula>LEN(TRIM(FN7))=0</formula>
    </cfRule>
  </conditionalFormatting>
  <conditionalFormatting sqref="FN8:FN2501">
    <cfRule type="expression" priority="451" dxfId="7">
      <formula>AND($FN$7&lt;&gt;"", FN8="")</formula>
    </cfRule>
  </conditionalFormatting>
  <conditionalFormatting sqref="FO7">
    <cfRule type="notContainsBlanks" priority="452" dxfId="7">
      <formula>LEN(TRIM(FO7))&gt;0</formula>
    </cfRule>
    <cfRule type="containsBlanks" priority="453" dxfId="8">
      <formula>LEN(TRIM(FO7))=0</formula>
    </cfRule>
  </conditionalFormatting>
  <conditionalFormatting sqref="FO8:FO2501">
    <cfRule type="expression" priority="454" dxfId="7">
      <formula>AND($FO$7&lt;&gt;"", FO8="")</formula>
    </cfRule>
  </conditionalFormatting>
  <conditionalFormatting sqref="FP7">
    <cfRule type="notContainsBlanks" priority="455" dxfId="7">
      <formula>LEN(TRIM(FP7))&gt;0</formula>
    </cfRule>
    <cfRule type="containsBlanks" priority="456" dxfId="8">
      <formula>LEN(TRIM(FP7))=0</formula>
    </cfRule>
  </conditionalFormatting>
  <conditionalFormatting sqref="FP8:FP2501">
    <cfRule type="expression" priority="457" dxfId="7">
      <formula>AND($FP$7&lt;&gt;"", FP8="")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305">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'WAYFAIR_USE_ONLY'!$DN$7:$DN15</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8:BP2500" showDropDown="0" showInputMessage="1" showErrorMessage="1" allowBlank="1" errorTitle="Invalid Frame Material" error="The value provided is not a valid Frame Material. Would you like to provide a custom answer?" promptTitle="Frame Material" prompt="Please select a valid Frame Material" type="list" errorStyle="warning">
      <formula1>'WAYFAIR_USE_ONLY'!$DO$7:$DO62</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1" errorTitle="Invalid Upholstered" error="The value provided is not a valid Upholstered." promptTitle="Upholstered" prompt="Please select a valid Upholstered" type="list">
      <formula1>'WAYFAIR_USE_ONLY'!$DP$7:$DP9</formula1>
    </dataValidation>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8:BU2500" showDropDown="0" showInputMessage="1" showErrorMessage="1" allowBlank="1" errorTitle="Invalid Tufted" error="The value provided is not a valid Tufted." promptTitle="Tufted" prompt="Please select a valid Tufted" type="list">
      <formula1>'WAYFAIR_USE_ONLY'!$DQ$7:$DQ10</formula1>
    </dataValidation>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8:BV2500" showDropDown="0" showInputMessage="1" showErrorMessage="1" allowBlank="1" errorTitle="Invalid Adjustable Backrest-Heig" error="The value provided is not a valid Adjustable Backrest-Height." promptTitle="Adjustable Backrest-Height" prompt="Please select a valid Adjustable Backrest-Height" type="list">
      <formula1>'WAYFAIR_USE_ONLY'!$DR$7:$DR10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Arms Included" error="The value provided is not a valid Arms Included." promptTitle="Arms Included" prompt="Please select a valid Arms Included" type="list">
      <formula1>'WAYFAIR_USE_ONLY'!$DS$7:$DS10</formula1>
    </dataValidation>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8:CD2500" showDropDown="0" showInputMessage="1" showErrorMessage="1" allowBlank="1" errorTitle="Invalid Swivel" error="The value provided is not a valid Swivel." promptTitle="Swivel" prompt="Please select a valid Swivel" type="list">
      <formula1>'WAYFAIR_USE_ONLY'!$DT$7:$DT9</formula1>
    </dataValidation>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8:CE2500" showDropDown="0" showInputMessage="1" showErrorMessage="1" allowBlank="1" errorTitle="Invalid Lumbar Support" error="The value provided is not a valid Lumbar Support." promptTitle="Lumbar Support" prompt="Please select a valid Lumbar Support" type="list">
      <formula1>'WAYFAIR_USE_ONLY'!$DU$7:$DU9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8:CF2500" showDropDown="0" showInputMessage="1" showErrorMessage="1" allowBlank="1" errorTitle="Invalid Massage Setting" error="The value provided is not a valid Massage Setting." promptTitle="Massage Setting" prompt="Please select a valid Massage Setting" type="list">
      <formula1>'WAYFAIR_USE_ONLY'!$DV$7:$DV11</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8:CG2500" showDropDown="0" showInputMessage="1" showErrorMessage="1" allowBlank="1" errorTitle="Invalid Tilting" error="The value provided is not a valid Tilting." promptTitle="Tilting" prompt="Please select a valid Tilting" type="list">
      <formula1>'WAYFAIR_USE_ONLY'!$DW$7:$DW10</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8:CH2500" showDropDown="0" showInputMessage="1" showErrorMessage="1" allowBlank="1" errorTitle="Invalid Tilt Lock" error="The value provided is not a valid Tilt Lock." promptTitle="Tilt Lock" prompt="Please select a valid Tilt Lock" type="list">
      <formula1>'WAYFAIR_USE_ONLY'!$DX$7:$DX11</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8:CI2500" showDropDown="0" showInputMessage="1" showErrorMessage="1" allowBlank="1" errorTitle="Invalid Adjustable Tilt Tension" error="The value provided is not a valid Adjustable Tilt Tension." promptTitle="Adjustable Tilt Tension" prompt="Please select a valid Adjustable Tilt Tension" type="list">
      <formula1>'WAYFAIR_USE_ONLY'!$DY$7:$DY10</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8:CJ2500" showDropDown="0" showInputMessage="1" showErrorMessage="1" allowBlank="1" errorTitle="Invalid Adjustable Height" error="The value provided is not a valid Adjustable Height." promptTitle="Adjustable Height" prompt="Please select a valid Adjustable Height" type="list">
      <formula1>'WAYFAIR_USE_ONLY'!$DZ$7:$DZ10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8:CK2500" showDropDown="0" showInputMessage="1" showErrorMessage="1" allowBlank="1" errorTitle="Invalid Seat Depth Adjustment" error="The value provided is not a valid Seat Depth Adjustment." promptTitle="Seat Depth Adjustment" prompt="Please select a valid Seat Depth Adjustment" type="list">
      <formula1>'WAYFAIR_USE_ONLY'!$EA$7:$EA10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8:CL2500" showDropDown="0" showInputMessage="1" showErrorMessage="1" allowBlank="1" errorTitle="Invalid Seat Angle Adjustment" error="The value provided is not a valid Seat Angle Adjustment." promptTitle="Seat Angle Adjustment" prompt="Please select a valid Seat Angle Adjustment" type="list">
      <formula1>'WAYFAIR_USE_ONLY'!$EB$7:$EB10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8:CM2500" showDropDown="0" showInputMessage="1" showErrorMessage="1" allowBlank="1" errorTitle="Invalid Waterfall Seat Included" error="The value provided is not a valid Waterfall Seat Included." promptTitle="Waterfall Seat Included" prompt="Please select a valid Waterfall Seat Included" type="list">
      <formula1>'WAYFAIR_USE_ONLY'!$EC$7:$EC10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8:CN2500" showDropDown="0" showInputMessage="1" showErrorMessage="1" allowBlank="1" errorTitle="Invalid Seat Glide Mechanism" error="The value provided is not a valid Seat Glide Mechanism." promptTitle="Seat Glide Mechanism" prompt="Please select a valid Seat Glide Mechanism" type="list">
      <formula1>'WAYFAIR_USE_ONLY'!$ED$7:$ED10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8:CO2500" showDropDown="0" showInputMessage="1" showErrorMessage="1" allowBlank="1" errorTitle="Invalid Headrest Included" error="The value provided is not a valid Headrest Included." promptTitle="Headrest Included" prompt="Please select a valid Headrest Included" type="list">
      <formula1>'WAYFAIR_USE_ONLY'!$EE$7:$EE10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8:CP2500" showDropDown="0" showInputMessage="1" showErrorMessage="1" allowBlank="1" errorTitle="Invalid Footrest Included" error="The value provided is not a valid Footrest Included." promptTitle="Footrest Included" prompt="Please select a valid Footrest Included" type="list">
      <formula1>'WAYFAIR_USE_ONLY'!$EF$7:$EF10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8:CQ2500" showDropDown="0" showInputMessage="1" showErrorMessage="1" allowBlank="1" errorTitle="Invalid Casters / Wheels" error="The value provided is not a valid Casters / Wheels." promptTitle="Casters / Wheels" prompt="Please select a valid Casters / Wheels" type="list">
      <formula1>'WAYFAIR_USE_ONLY'!$EG$7:$EG10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Stackable" error="The value provided is not a valid Stackable." promptTitle="Stackable" prompt="Please select a valid Stackable" type="list">
      <formula1>'WAYFAIR_USE_ONLY'!$EH$7:$EH11</formula1>
    </dataValidation>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8:CV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'WAYFAIR_USE_ONLY'!$EI$7:$EI26</formula1>
    </dataValidation>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8:CW2500" showDropDown="0" showInputMessage="1" showErrorMessage="1" allowBlank="1" errorTitle="Invalid Kiln-Dried Wood" error="The value provided is not a valid Kiln-Dried Wood." promptTitle="Kiln-Dried Wood" prompt="Please select a valid Kiln-Dried Wood" type="list">
      <formula1>'WAYFAIR_USE_ONLY'!$EJ$7:$EJ11</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8:CX2500" showDropDown="0" showInputMessage="1" showErrorMessage="1" allowBlank="1" errorTitle="Invalid Vibration" error="The value provided is not a valid Vibration." promptTitle="Vibration" prompt="Please select a valid Vibration" type="list">
      <formula1>'WAYFAIR_USE_ONLY'!$EK$7:$EK11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8:CY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'WAYFAIR_USE_ONLY'!$ES$7:$ES10</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8:CZ2500" showDropDown="0" showInputMessage="1" showErrorMessage="1" allowBlank="1" errorTitle="Invalid Battery Composition" error="The value provided is not a valid Battery Composition." promptTitle="Battery Composition" prompt="Please select a valid Battery Composition" type="list">
      <formula1>'WAYFAIR_USE_ONLY'!$EL$7:$EL17</formula1>
    </dataValidation>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8:DA2500" showDropDown="0" showInputMessage="1" showErrorMessage="1" allowBlank="1" errorTitle="Invalid Battery Type" error="The value provided is not a valid Battery Type." promptTitle="Battery Type" prompt="Please select a valid Battery Type" type="list">
      <formula1>'WAYFAIR_USE_ONLY'!$EM$7:$EM11</formula1>
    </dataValidation>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8:DB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'WAYFAIR_USE_ONLY'!$EN$7:$EN19</formula1>
    </dataValidation>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8:DC2500" showDropDown="0" showInputMessage="1" showErrorMessage="1" allowBlank="1" errorTitle="Invalid Battery Shipment" error="The value provided is not a valid Battery Shipment." promptTitle="Battery Shipment" prompt="Please select a valid Battery Shipment" type="list">
      <formula1>'WAYFAIR_USE_ONLY'!$EO$7:$EO11</formula1>
    </dataValidation>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8:DD2500" showDropDown="0" showInputMessage="1" showErrorMessage="1" allowBlank="1" errorTitle="Invalid Lithium Content" error="The value provided is not a valid Lithium Content." promptTitle="Lithium Content" prompt="Please select a valid Lithium Content" type="list">
      <formula1>'WAYFAIR_USE_ONLY'!$EP$7:$EP14</formula1>
    </dataValidation>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8:DE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'WAYFAIR_USE_ONLY'!$EQ$7:$EQ14</formula1>
    </dataValidation>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8:DF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'WAYFAIR_USE_ONLY'!$ER$7:$ER12</formula1>
    </dataValidation>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8:DG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8:DH2500" showDropDown="0" showInputMessage="1" showErrorMessage="1" allowBlank="1" errorTitle="Invalid Adjustable Headrest" error="The value provided is not a valid Adjustable Headrest." promptTitle="Adjustable Headrest" prompt="Please select a valid Adjustable Headrest" type="list">
      <formula1>'WAYFAIR_USE_ONLY'!$ET$7:$ET10</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8:DI2500" showDropDown="0" showInputMessage="1" showErrorMessage="1" allowBlank="1" errorTitle="Invalid Adjustable Lumbar Suppor" error="The value provided is not a valid Adjustable Lumbar Support." promptTitle="Adjustable Lumbar Support" prompt="Please select a valid Adjustable Lumbar Support" type="list">
      <formula1>'WAYFAIR_USE_ONLY'!$EU$7:$EU10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8:DO2500" showDropDown="0" showInputMessage="1" showErrorMessage="1" allowBlank="1" errorTitle="Invalid Plug-In" error="The value provided is not a valid Plug-In." promptTitle="Plug-In" prompt="Please select a valid Plug-In" type="list">
      <formula1>'WAYFAIR_USE_ONLY'!$EV$7:$EV9</formula1>
    </dataValidation>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8:DQ2500" showDropDown="0" showInputMessage="1" showErrorMessage="1" allowBlank="1" errorTitle="Invalid Back Angle Adjustment" error="The value provided is not a valid Back Angle Adjustment." promptTitle="Back Angle Adjustment" prompt="Please select a valid Back Angle Adjustment" type="list">
      <formula1>'WAYFAIR_USE_ONLY'!$EW$7:$EW11</formula1>
    </dataValidation>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8:DR2500" showDropDown="0" showInputMessage="1" showErrorMessage="1" allowBlank="1" errorTitle="Invalid Removable Wheels / Caste" error="The value provided is not a valid Removable Wheels / Casters." promptTitle="Removable Wheels / Casters" prompt="Please select a valid Removable Wheels / Casters" type="list">
      <formula1>'WAYFAIR_USE_ONLY'!$EX$7:$EX11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8:DT2500" showDropDown="0" showInputMessage="1" showErrorMessage="1" allowBlank="1" errorTitle="Invalid Ribbed Detailing" error="The value provided is not a valid Ribbed Detailing." promptTitle="Ribbed Detailing" prompt="Please select a valid Ribbed Detailing" type="list">
      <formula1>'WAYFAIR_USE_ONLY'!$EY$7:$EY11</formula1>
    </dataValidation>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8:DX2500" showDropDown="0" showInputMessage="1" showErrorMessage="1" allowBlank="1" errorTitle="Invalid Rub Count" error="The value provided is not a valid Rub Count." promptTitle="Rub Count" prompt="Please select a valid Rub Count" type="list">
      <formula1>'WAYFAIR_USE_ONLY'!$EZ$7:$EZ16</formula1>
    </dataValidation>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8:DY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'WAYFAIR_USE_ONLY'!$FA$7:$FA10</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8:DZ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'WAYFAIR_USE_ONLY'!$FE$7:$FE10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8:EA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'WAYFAIR_USE_ONLY'!$FB$7:$FB11</formula1>
    </dataValidation>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8:EB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'WAYFAIR_USE_ONLY'!$FC$7:$FC11</formula1>
    </dataValidation>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8:EC2500" showDropDown="0" showInputMessage="1" showErrorMessage="1" allowBlank="1" errorTitle="Invalid CANFER Compliant" error="The value provided is not a valid CANFER Compliant." promptTitle="CANFER Compliant" prompt="Please select a valid CANFER Compliant" type="list">
      <formula1>'WAYFAIR_USE_ONLY'!$FD$7:$FD11</formula1>
    </dataValidation>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8:ED2500" showDropDown="0" showInputMessage="1" showErrorMessage="1" allowBlank="1" errorTitle="Invalid ADA Compliant" error="The value provided is not a valid ADA Compliant." promptTitle="ADA Compliant" prompt="Please select a valid ADA Compliant" type="list">
      <formula1>'WAYFAIR_USE_ONLY'!$FF$7:$FF10</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8:EE2500" showDropDown="0" showInputMessage="1" showErrorMessage="1" allowBlank="1" errorTitle="Invalid Contains Flame Retardant" error="The value provided is not a valid Contains Flame Retardant Materials." promptTitle="Contains Flame Retardant Materia" prompt="Please select a valid Contains Flame Retardant Materials" type="list">
      <formula1>'WAYFAIR_USE_ONLY'!$FG$7:$FG9</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8:EF2500" showDropDown="0" showInputMessage="1" showErrorMessage="1" allowBlank="1" errorTitle="Invalid CAL TB 116 Compliant" error="The value provided is not a valid CAL TB 116 Compliant." promptTitle="CAL TB 116 Compliant" prompt="Please select a valid CAL TB 116 Compliant" type="list">
      <formula1>'WAYFAIR_USE_ONLY'!$FH$7:$FH12</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8:EG2500" showDropDown="0" showInputMessage="1" showErrorMessage="1" allowBlank="1" errorTitle="Invalid CAL TB 117-2013 Complian" error="The value provided is not a valid CAL TB 117-2013 Compliant." promptTitle="CAL TB 117-2013 Compliant" prompt="Please select a valid CAL TB 117-2013 Compliant" type="list">
      <formula1>'WAYFAIR_USE_ONLY'!$FI$7:$FI12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8:EH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'WAYFAIR_USE_ONLY'!$FJ$7:$FJ11</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8:EI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'WAYFAIR_USE_ONLY'!$FK$7:$FK10</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8:EJ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'WAYFAIR_USE_ONLY'!$FL$7:$FL9</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8:EL2500" showDropDown="0" showInputMessage="1" showErrorMessage="1" allowBlank="1" errorTitle="Invalid Lacey Act Compliant" error="The value provided is not a valid Lacey Act Compliant." promptTitle="Lacey Act Compliant" prompt="Please select a valid Lacey Act Compliant" type="list">
      <formula1>'WAYFAIR_USE_ONLY'!$FM$7:$FM11</formula1>
    </dataValidation>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8:EM2500" showDropDown="0" showInputMessage="1" showErrorMessage="1" allowBlank="1" errorTitle="Invalid SOFFA Compliant" error="The value provided is not a valid SOFFA Compliant." promptTitle="SOFFA Compliant" prompt="Please select a valid SOFFA Compliant" type="list">
      <formula1>'WAYFAIR_USE_ONLY'!$FN$7:$FN10</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8:EN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'WAYFAIR_USE_ONLY'!$FR$7:$FR9</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8:EP2500" showDropDown="0" showInputMessage="1" showErrorMessage="1" allowBlank="1" errorTitle="Invalid Hazard Class(es)" error="The value provided is not a valid Hazard Class(es)." promptTitle="Hazard Class(es)" prompt="Please select a valid Hazard Class(es)" type="list">
      <formula1>'WAYFAIR_USE_ONLY'!$FO$7:$FO23</formula1>
    </dataValidation>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8:EQ2500" showDropDown="0" showInputMessage="1" showErrorMessage="1" allowBlank="1" errorTitle="Invalid Packing Group" error="The value provided is not a valid Packing Group." promptTitle="Packing Group" prompt="Please select a valid Packing Group" type="list">
      <formula1>'WAYFAIR_USE_ONLY'!$FP$7:$FP12</formula1>
    </dataValidation>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8:ER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'WAYFAIR_USE_ONLY'!$FQ$7:$FQ19</formula1>
    </dataValidation>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8:ES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'WAYFAIR_USE_ONLY'!$FS$7:$FS12</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8:ET2500" showDropDown="0" showInputMessage="1" showErrorMessage="1" allowBlank="1" errorTitle="Invalid SOR/2016-193 - Surface C" error="The value provided is not a valid SOR/2016-193 - Surface Coating Materials Regulations." promptTitle="SOR/2016-193 - Surface Coating M" prompt="Please select a valid SOR/2016-193 - Surface Coating Materials Regulations" type="list">
      <formula1>'WAYFAIR_USE_ONLY'!$FT$7:$FT11</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8:EU2500" showDropDown="0" showInputMessage="1" showErrorMessage="1" allowBlank="1" errorTitle="Invalid ISTA Certified" error="The value provided is not a valid ISTA Certified." promptTitle="ISTA Certified" prompt="Please select a valid ISTA Certified" type="list">
      <formula1>'WAYFAIR_USE_ONLY'!$FU$7:$FU10</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8:EV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'WAYFAIR_USE_ONLY'!$FV$7:$FV11</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8:EW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'WAYFAIR_USE_ONLY'!$FW$7:$FW10</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8:EX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'WAYFAIR_USE_ONLY'!$FX$7:$FX12</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8:EY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8:EZ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8:FA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8:FB2500" showDropDown="0" showInputMessage="1" showErrorMessage="1" allowBlank="0" errorTitle="Invalid Number" error="The value provided is not a valid Number." promptTitle="Seat Height - Floor to Seat" prompt="Please enter Number"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8:FC2500" showDropDown="0" showInputMessage="1" showErrorMessage="1" allowBlank="0" errorTitle="Invalid Number" error="The value provided is not a valid Number." promptTitle="Seat Width - Side to Side" prompt="Please enter Number"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8:FD2500" showDropDown="0" showInputMessage="1" showErrorMessage="1" allowBlank="0" errorTitle="Invalid Number" error="The value provided is not a valid Number." promptTitle="Seat Depth - Front to Back" prompt="Please enter Number"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8:FE2500" showDropDown="0" showInputMessage="1" showErrorMessage="1" allowBlank="0" errorTitle="Invalid Number" error="The value provided is not a valid Number." promptTitle="Minimum Seat Height - Floor to S" prompt="Please enter Number"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8:FF2500" showDropDown="0" showInputMessage="1" showErrorMessage="1" allowBlank="0" errorTitle="Invalid Number" error="The value provided is not a valid Number." promptTitle="Maximum Seat Height - Floor to S" prompt="Please enter Number"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8:FG2500" showDropDown="0" showInputMessage="1" showErrorMessage="1" allowBlank="0" errorTitle="Invalid Number" error="The value provided is not a valid Number." promptTitle="Seat Cushion Thickness" prompt="Please enter Number"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8:FH2500" showDropDown="0" showInputMessage="1" showErrorMessage="1" allowBlank="0" errorTitle="Invalid Number" error="The value provided is not a valid Number." promptTitle="Chair Back Height - Seat to Top " prompt="Please enter Number"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8:FI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8:FJ2500" showDropDown="0" showInputMessage="1" showErrorMessage="1" allowBlank="1" errorTitle="Invalid Assembly Required" error="The value provided is not a valid Assembly Required." promptTitle="Assembly Required" prompt="Please select a valid Assembly Required" type="list">
      <formula1>'WAYFAIR_USE_ONLY'!$FY$7:$FY9</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8:FK2500" showDropDown="0" showInputMessage="1" showErrorMessage="1" allowBlank="1" errorTitle="Invalid Level of Assembly" error="The value provided is not a valid Level of Assembly." promptTitle="Level of Assembly" prompt="Please select a valid Level of Assembly" type="list">
      <formula1>'WAYFAIR_USE_ONLY'!$FZ$7:$FZ11</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8:FM2500" showDropDown="0" showInputMessage="1" showErrorMessage="1" allowBlank="1" errorTitle="Invalid Commercial Warranty" error="The value provided is not a valid Commercial Warranty." promptTitle="Commercial Warranty" prompt="Please select a valid Commercial Warranty" type="list">
      <formula1>'WAYFAIR_USE_ONLY'!$GB$7:$GB10</formula1>
    </dataValidation>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8:FN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'WAYFAIR_USE_ONLY'!$GA$7:$GA32</formula1>
    </dataValidation>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8:FO2500" showDropDown="0" showInputMessage="1" showErrorMessage="1" allowBlank="1" errorTitle="Invalid Product Warranty" error="The value provided is not a valid Product Warranty." promptTitle="Product Warranty" prompt="Please select a valid Product Warranty" type="list">
      <formula1>'WAYFAIR_USE_ONLY'!$GC$7:$GC9</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8:FP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'WAYFAIR_USE_ONLY'!$GD$7:$GD10</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P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f t="array" ref="A8">_xlfn.BYROW(B8:FQ507,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_xlfn.MAP('10 - Office Chairs'!B8:B507, '10 - Office Chairs'!B8:B507,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IF(OR('10 - Office Chairs'!B$7 = "", '10 - Office Chairs'!B$7 = "N/A"), "3:Supplier Part Number - Value is required", ""), ""))))))))</f>
        <v/>
      </c>
      <c r="C8" s="22">
        <f t="array" ref="C8">_xlfn.MAP('10 - Office Chairs'!B8:B507, '10 - Office Chairs'!C8:C507, _xlfn.LAMBDA(_xlpm.part, _xlpm.val, IF(_xlpm.part = "", "", IF(AND(_xlpm.val = "", C$3="Required"), IF(OR('10 - Office Chairs'!C$7 = "", '10 - Office Chairs'!C$7 = "N/A"), "3:ASIN or Amazon Seller SKU - Value is required", ""), ""))))</f>
        <v/>
      </c>
      <c r="D8" s="22">
        <f t="array" ref="D8">_xlfn.MAP('10 - Office Chairs'!B8:B507, '10 - Office Chairs'!D8:D507, '10 - Office Chairs'!J8:J507, _xlfn.LAMBDA(_xlpm.part, _xlpm.val, _xlpm.dep1, IF(_xlpm.part = "", "", _xlfn.LET(_xlpm.check1, IF(AND(_xlpm.val = "", _xlpm.dep1 = "NON-PRIMARY VARIANT"), "2:Autofill", ""), IF(LEN(_xlpm.check1) &gt; 0, _xlpm.check1, IF(AND(_xlpm.val = "", D$3="Required"), IF(OR('10 - Office Chairs'!D$7 = "", '10 - Office Chairs'!D$7 = "N/A"), "3:Brand - Value is required", ""), ""))))))</f>
        <v/>
      </c>
      <c r="E8" s="22">
        <f t="array" ref="E8">_xlfn.MAP('10 - Office Chairs'!B8:B507, '10 - Office Chairs'!E8:E507,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IF(OR('10 - Office Chairs'!E$7 = "", '10 - Office Chairs'!E$7 = "N/A"), "3:Manufacturer Part Number - Value is required", ""), ""))))))))))</f>
        <v/>
      </c>
      <c r="F8" s="22">
        <f t="array" ref="F8">_xlfn.MAP('10 - Office Chairs'!B8:B507, '10 - Office Chairs'!F8:F507,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IF(OR('10 - Office Chairs'!F$7 = "", '10 - Office Chairs'!F$7 = "N/A"), "3:Universal Product Code - Value is required", ""), ""))))))))</f>
        <v/>
      </c>
      <c r="G8" s="22">
        <f t="array" ref="G8">_xlfn.MAP('10 - Office Chairs'!B8:B507, '10 - Office Chairs'!G8:G507, _xlfn.LAMBDA(_xlpm.part, _xlpm.val, IF(_xlpm.part = "", "", _xlfn.LET(_xlpm.check1, IF(OR(ISNUMBER(SEARCH({"&lt;","&gt;","^","Ø","•","‣","⁃","⁌","™","∙","⌀","◦"}, _xlpm.val))), "1:Product name cannot contain special characters ([™Ø⌀•‣◦⁃⁌⁍∙&lt;&gt;])", ""), IF(LEN(_xlpm.check1) &gt; 0, _xlpm.check1, IF(AND(_xlpm.val = "", G$3="Required"), IF(OR('10 - Office Chairs'!G$7 = "", '10 - Office Chairs'!G$7 = "N/A"), "3:Product Name - Value is required", ""), ""))))))</f>
        <v/>
      </c>
      <c r="H8" s="22">
        <f t="array" ref="H8">_xlfn.MAP('10 - Office Chairs'!B8:B507, '10 - Office Chairs'!H8:H507, '10 - Office Chairs'!J8:J507, _xlfn.LAMBDA(_xlpm.part, _xlpm.val, _xlpm.dep1, IF(_xlpm.part = "", "", _xlfn.LET(_xlpm.check1, IF(AND(_xlpm.val = "", _xlpm.dep1 = "NON-PRIMARY VARIANT"), "2:Autofill", ""), IF(LEN(_xlpm.check1) &gt; 0, _xlpm.check1, IF(AND(_xlpm.val = "", H$3="Required"), IF(OR('10 - Office Chairs'!H$7 = "", '10 - Office Chairs'!H$7 = "N/A"), "3:Collection Name - Value is required", ""), ""))))))</f>
        <v/>
      </c>
      <c r="I8" s="22">
        <f t="array" ref="I8">_xlfn.MAP('10 - Office Chairs'!B8:B507, '10 - Office Chairs'!I8:I507, _xlfn.LAMBDA(_xlpm.part, _xlpm.val, IF(_xlpm.part = "", "", IF(AND(_xlpm.val = "", I$3="Required"), IF(OR('10 - Office Chairs'!I$7 = "", '10 - Office Chairs'!I$7 = "N/A"), "3:Manufacturer Product URL - Value is required", ""), ""))))</f>
        <v/>
      </c>
      <c r="J8" s="22">
        <f t="array" ref="J8">_xlfn.MAP('10 - Office Chairs'!B8:B507, '10 - Office Chairs'!J8:J507, _xlfn.LAMBDA(_xlpm.part, _xlpm.val, IF(_xlpm.part = "", "", IF(AND(_xlpm.val = "", J$3="Required"), IF(OR('10 - Office Chairs'!J$7 = "", '10 - Office Chairs'!J$7 = "N/A"), "3:Variant Type - Value is required", ""), ""))))</f>
        <v/>
      </c>
      <c r="K8" s="22">
        <f t="array" ref="K8">_xlfn.MAP('10 - Office Chairs'!B8:B507, '10 - Office Chairs'!K8:K507, '10 - Office Chairs'!J8:J507,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IF(OR('10 - Office Chairs'!K$7 = "", '10 - Office Chairs'!K$7 = "N/A"), "3:Group Reference ID - Value is required", ""), ""), IF(LEN(_xlpm.check2) &gt; 0, _xlpm.check2, _xlfn.LET(_xlpm.check3, IF(_xlpm.dep1 = "PRIMARY VARIANT", IF(_xlpm.val = "", IF(OR('10 - Office Chairs'!K$7 = "", '10 - Office Chairs'!K$7 = "N/A"), "3:Variant Group Reference Id is required for primary-variant", ""), ""), ""), IF(LEN(_xlpm.check3) &gt; 0, _xlpm.check3, IF(_xlpm.dep1 = "NON-PRIMARY VARIANT", IF(_xlpm.val = "", IF(OR('10 - Office Chairs'!K$7 = "", '10 - Office Chairs'!K$7 = "N/A"), "3:Variant Group Reference Id is required for non-primary variant", ""), ""), ""))))))))))</f>
        <v/>
      </c>
      <c r="L8" s="22">
        <f t="array" ref="L8">_xlfn.MAP('10 - Office Chairs'!B8:B507, '10 - Office Chairs'!L8:L507,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IF(OR('10 - Office Chairs'!L$7 = "", '10 - Office Chairs'!L$7 = "N/A"), "3:Variant Grouping - Value is required", ""), ""), IF(LEN(_xlpm.check5) &gt; 0, _xlpm.check5, IF(_xlpm.dep1 = "PRIMARY VARIANT", IF(_xlpm.val = "", IF(OR('10 - Office Chairs'!L$7 = "", '10 - Office Chairs'!L$7 = "N/A"), "3:Variant grouping value must be specified for primary variant", ""), ""), ""))))))))))))))</f>
        <v/>
      </c>
      <c r="M8" s="22">
        <f t="array" ref="M8">_xlfn.MAP('10 - Office Chairs'!B8:B507, '10 - Office Chairs'!M8:M507, '10 - Office Chairs'!J8:J507, '10 - Office Chairs'!L8:L507,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IF(OR('10 - Office Chairs'!M$7 = "", '10 - Office Chairs'!M$7 = "N/A"), "3:Variant Attribute Name On Site - Value is required", ""), ""), IF(LEN(_xlpm.check3) &gt; 0, _xlpm.check3, _xlfn.LET(_xlpm.check4, IF(AND(_xlpm.dep2 &lt;&gt; "", _xlpm.dep2 &lt;&gt; "Finish", _xlpm.dep2 &lt;&gt; "Assembly"), IF(_xlpm.val = "", IF(OR('10 - Office Chairs'!M$7 = "", '10 - Office Chairs'!M$7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Chairs'!M$7 = "", '10 - Office Chairs'!M$7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Chairs'!M$7 = "", '10 - Office Chairs'!M$7 = "N/A"), "3:Name on site is required when variant grouping value is provided", ""), ""), ""), IF(LEN(_xlpm.check6) &gt; 0, _xlpm.check6, _xlfn.LET(_xlpm.check7, IF(AND(_xlpm.dep2 &lt;&gt; "", _xlpm.dep2 &lt;&gt; "Color"), IF(_xlpm.val = "", IF(OR('10 - Office Chairs'!M$7 = "", '10 - Office Chairs'!M$7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Chairs'!M$7 = "", '10 - Office Chairs'!M$7 = "N/A"), "3:Name on site is required when variant grouping value is provided", ""), ""), ""))))))))))))))))))</f>
        <v/>
      </c>
      <c r="N8" s="22">
        <f t="array" ref="N8">_xlfn.MAP('10 - Office Chairs'!B8:B507, '10 - Office Chairs'!N8:N507,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IF(OR('10 - Office Chairs'!N$7 = "", '10 - Office Chairs'!N$7 = "N/A"), "3:Variant Grouping - Value is required", ""), ""))))))))))))</f>
        <v/>
      </c>
      <c r="O8" s="22">
        <f t="array" ref="O8">_xlfn.MAP('10 - Office Chairs'!B8:B507, '10 - Office Chairs'!O8:O507, '10 - Office Chairs'!J8:J507, '10 - Office Chairs'!N8:N507,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IF(OR('10 - Office Chairs'!O$7 = "", '10 - Office Chairs'!O$7 = "N/A"), "3:Variant Attribute Name On Site - Value is required", ""), ""), IF(LEN(_xlpm.check3) &gt; 0, _xlpm.check3, _xlfn.LET(_xlpm.check4, IF(AND(_xlpm.dep2 &lt;&gt; "", _xlpm.dep2 &lt;&gt; "Finish", _xlpm.dep2 &lt;&gt; "Assembly"), IF(_xlpm.val = "", IF(OR('10 - Office Chairs'!O$7 = "", '10 - Office Chairs'!O$7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Chairs'!O$7 = "", '10 - Office Chairs'!O$7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Chairs'!O$7 = "", '10 - Office Chairs'!O$7 = "N/A"), "3:Name on site is required when variant grouping value is provided", ""), ""), ""), IF(LEN(_xlpm.check6) &gt; 0, _xlpm.check6, _xlfn.LET(_xlpm.check7, IF(AND(_xlpm.dep2 &lt;&gt; "", _xlpm.dep2 &lt;&gt; "Color"), IF(_xlpm.val = "", IF(OR('10 - Office Chairs'!O$7 = "", '10 - Office Chairs'!O$7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Chairs'!O$7 = "", '10 - Office Chairs'!O$7 = "N/A"), "3:Name on site is required when variant grouping value is provided", ""), ""), ""))))))))))))))))))</f>
        <v/>
      </c>
      <c r="P8" s="22">
        <f t="array" ref="P8">_xlfn.MAP('10 - Office Chairs'!B8:B507, '10 - Office Chairs'!P8:P507,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IF(OR('10 - Office Chairs'!P$7 = "", '10 - Office Chairs'!P$7 = "N/A"), "3:Variant Grouping - Value is required", ""), ""))))))))))))</f>
        <v/>
      </c>
      <c r="Q8" s="22">
        <f t="array" ref="Q8">_xlfn.MAP('10 - Office Chairs'!B8:B507, '10 - Office Chairs'!Q8:Q507, '10 - Office Chairs'!J8:J507, '10 - Office Chairs'!P8:P507,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IF(OR('10 - Office Chairs'!Q$7 = "", '10 - Office Chairs'!Q$7 = "N/A"), "3:Variant Attribute Name On Site - Value is required", ""), ""), IF(LEN(_xlpm.check3) &gt; 0, _xlpm.check3, _xlfn.LET(_xlpm.check4, IF(AND(_xlpm.dep2 &lt;&gt; "", _xlpm.dep2 &lt;&gt; "Finish", _xlpm.dep2 &lt;&gt; "Assembly"), IF(_xlpm.val = "", IF(OR('10 - Office Chairs'!Q$7 = "", '10 - Office Chairs'!Q$7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Chairs'!Q$7 = "", '10 - Office Chairs'!Q$7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Chairs'!Q$7 = "", '10 - Office Chairs'!Q$7 = "N/A"), "3:Name on site is required when variant grouping value is provided", ""), ""), ""), IF(LEN(_xlpm.check6) &gt; 0, _xlpm.check6, _xlfn.LET(_xlpm.check7, IF(AND(_xlpm.dep2 &lt;&gt; "", _xlpm.dep2 &lt;&gt; "Color"), IF(_xlpm.val = "", IF(OR('10 - Office Chairs'!Q$7 = "", '10 - Office Chairs'!Q$7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Chairs'!Q$7 = "", '10 - Office Chairs'!Q$7 = "N/A"), "3:Name on site is required when variant grouping value is provided", ""), ""), ""))))))))))))))))))</f>
        <v/>
      </c>
      <c r="R8" s="22">
        <f t="array" ref="R8">_xlfn.MAP('10 - Office Chairs'!B8:B507, '10 - Office Chairs'!R8:R507, _xlfn.LAMBDA(_xlpm.part, _xlpm.val, IF(_xlpm.part = "", "", _xlfn.LET(_xlpm.check1, IF(AND(NOT(ISBLANK(_xlpm.val)),OR(NOT(ISNUMBER(IFERROR(VALUE(_xlpm.val), ""))), IFERROR(VALUE(_xlpm.val), -1) &lt; 0)), "1:Base Cost - Value should be numeric", ""), IF(LEN(_xlpm.check1) &gt; 0, _xlpm.check1, IF(AND(_xlpm.val = "", R$3="Required"), IF(OR('10 - Office Chairs'!R$7 = "", '10 - Office Chairs'!R$7 = "N/A"), "3:Base Cost - Value is required", ""), ""))))))</f>
        <v/>
      </c>
      <c r="S8" s="22">
        <f t="array" ref="S8">_xlfn.MAP('10 - Office Chairs'!B8:B507, '10 - Office Chairs'!S8:S507, _xlfn.LAMBDA(_xlpm.part, _xlpm.val, IF(_xlpm.part = "", "", _xlfn.LET(_xlpm.check1, IF(AND(NOT(ISBLANK(_xlpm.val)),OR(NOT(ISNUMBER(IFERROR(VALUE(_xlpm.val), ""))), IFERROR(VALUE(_xlpm.val), -1) &lt; 0)), "1:Minimum Advertised Price - Value should be numeric", ""), IF(LEN(_xlpm.check1) &gt; 0, _xlpm.check1, IF(AND(_xlpm.val = "", S$3="Required"), IF(OR('10 - Office Chairs'!S$7 = "", '10 - Office Chairs'!S$7 = "N/A"), "3:Minimum Advertised Price - Value is required", ""), ""))))))</f>
        <v/>
      </c>
      <c r="T8" s="22">
        <f t="array" ref="T8">_xlfn.MAP('10 - Office Chairs'!B8:B507, '10 - Office Chairs'!T8:T507,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IF(OR('10 - Office Chairs'!T$7 = "", '10 - Office Chairs'!T$7 = "N/A"), "3:Manufacturer Suggested Retail Price - Value is required", ""), ""))))))</f>
        <v/>
      </c>
      <c r="U8" s="22">
        <f t="array" ref="U8">_xlfn.MAP('10 - Office Chairs'!B8:B507, '10 - Office Chairs'!U8:U507, '10 - Office Chairs'!J8:J507, '10 - Office Chairs'!V8:V507, '10 - Office Chairs'!W8:W507, '10 - Office Chairs'!X8:X507,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IF(OR('10 - Office Chairs'!U$7 = "", '10 - Office Chairs'!U$7 = "N/A"), "3:Marketing Copy - Value is required", ""), ""), IF(LEN(_xlpm.check4) &gt; 0, _xlpm.check4, IF(OR(_xlpm.dep2 = "", _xlpm.dep3 = "", _xlpm.dep4 = ""), IF(_xlpm.val = "", IF(OR('10 - Office Chairs'!U$7 = "", '10 - Office Chairs'!U$7 = "N/A"), "3:Either the Marketing Copy or at least three Feature Bullets are required for this part.", ""), ""), ""))))))))))))</f>
        <v/>
      </c>
      <c r="V8" s="22">
        <f t="array" ref="V8">_xlfn.MAP('10 - Office Chairs'!B8:B507, '10 - Office Chairs'!V8:V507, '10 - Office Chairs'!J8:J507, '10 - Office Chairs'!W8:W507, '10 - Office Chairs'!X8:X507,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IF(OR('10 - Office Chairs'!V$7 = "", '10 - Office Chairs'!V$7 = "N/A"), "3:Feature Bullet - Value is required", ""), ""), IF(LEN(_xlpm.check3) &gt; 0, _xlpm.check3, _xlfn.LET(_xlpm.check4, IF(AND(AND(_xlpm.dep2 = "", _xlpm.dep3 = ""), _xlpm.dep4 = ""), IF(_xlpm.val = "", IF(OR('10 - Office Chairs'!V$7 = "", '10 - Office Chairs'!V$7 = "N/A"), "3:Either the Marketing Copy or at least three Feature Bullets are required for this part.", ""), ""), ""), IF(LEN(_xlpm.check4) &gt; 0, _xlpm.check4, IF(_xlpm.dep4 = "", IF(_xlpm.val = "", IF(OR('10 - Office Chairs'!V$7 = "", '10 - Office Chairs'!V$7 = "N/A"), "3:Three feature bullets must be filled", ""), ""), ""))))))))))))</f>
        <v/>
      </c>
      <c r="W8" s="22">
        <f t="array" ref="W8">_xlfn.MAP('10 - Office Chairs'!B8:B507, '10 - Office Chairs'!W8:W507, '10 - Office Chairs'!J8:J507, '10 - Office Chairs'!V8:V507, '10 - Office Chairs'!X8:X507,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IF(OR('10 - Office Chairs'!W$7 = "", '10 - Office Chairs'!W$7 = "N/A"), "3:Feature Bullet - Value is required", ""), ""), IF(LEN(_xlpm.check3) &gt; 0, _xlpm.check3, _xlfn.LET(_xlpm.check4, IF(AND(AND(_xlpm.dep2 = "", _xlpm.dep3 = ""), _xlpm.dep4 = ""), IF(_xlpm.val = "", IF(OR('10 - Office Chairs'!W$7 = "", '10 - Office Chairs'!W$7 = "N/A"), "3:Either the Marketing Copy or at least three Feature Bullets are required for this part.", ""), ""), ""), IF(LEN(_xlpm.check4) &gt; 0, _xlpm.check4, IF(_xlpm.dep4 = "", IF(_xlpm.val = "", IF(OR('10 - Office Chairs'!W$7 = "", '10 - Office Chairs'!W$7 = "N/A"), "3:Three feature bullets must be filled", ""), ""), ""))))))))))))</f>
        <v/>
      </c>
      <c r="X8" s="22">
        <f t="array" ref="X8">_xlfn.MAP('10 - Office Chairs'!B8:B507, '10 - Office Chairs'!X8:X507, '10 - Office Chairs'!J8:J507, '10 - Office Chairs'!V8:V507, '10 - Office Chairs'!W8:W507,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IF(OR('10 - Office Chairs'!X$7 = "", '10 - Office Chairs'!X$7 = "N/A"), "3:Feature Bullet - Value is required", ""), ""), IF(LEN(_xlpm.check3) &gt; 0, _xlpm.check3, _xlfn.LET(_xlpm.check4, IF(AND(AND(_xlpm.dep2 = "", _xlpm.dep3 = ""), _xlpm.dep4 = ""), IF(_xlpm.val = "", IF(OR('10 - Office Chairs'!X$7 = "", '10 - Office Chairs'!X$7 = "N/A"), "3:Either the Marketing Copy or at least three Feature Bullets are required for this part.", ""), ""), ""), IF(LEN(_xlpm.check4) &gt; 0, _xlpm.check4, IF(_xlpm.dep4 = "", IF(_xlpm.val = "", IF(OR('10 - Office Chairs'!X$7 = "", '10 - Office Chairs'!X$7 = "N/A"), "3:Three feature bullets must be filled", ""), ""), ""))))))))))))</f>
        <v/>
      </c>
      <c r="Y8" s="22">
        <f t="array" ref="Y8">_xlfn.MAP('10 - Office Chairs'!B8:B507, '10 - Office Chairs'!Y8:Y507, '10 - Office Chairs'!J8:J507,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IF(OR('10 - Office Chairs'!Y$7 = "", '10 - Office Chairs'!Y$7 = "N/A"), "3:Feature Bullet - Value is required", ""), ""))))))))</f>
        <v/>
      </c>
      <c r="Z8" s="22">
        <f t="array" ref="Z8">_xlfn.MAP('10 - Office Chairs'!B8:B507, '10 - Office Chairs'!Z8:Z507, '10 - Office Chairs'!J8:J507,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IF(OR('10 - Office Chairs'!Z$7 = "", '10 - Office Chairs'!Z$7 = "N/A"), "3:Feature Bullet - Value is required", ""), ""))))))))</f>
        <v/>
      </c>
      <c r="AA8" s="22">
        <f t="array" ref="AA8">_xlfn.MAP('10 - Office Chairs'!B8:B507, '10 - Office Chairs'!AA8:AA507,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IF(OR('10 - Office Chairs'!AA$7 = "", '10 - Office Chairs'!AA$7 = "N/A"), "3:Minimum Order Quantity - Value is required", ""), ""))))))))))))</f>
        <v/>
      </c>
      <c r="AB8" s="22">
        <f t="array" ref="AB8">_xlfn.MAP('10 - Office Chairs'!B8:B507, '10 - Office Chairs'!AB8:AB507,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IF(OR('10 - Office Chairs'!AB$7 = "", '10 - Office Chairs'!AB$7 = "N/A"), "3:Force Quantity Multiplier - Value is required", ""), ""))))))))))))</f>
        <v/>
      </c>
      <c r="AC8" s="22">
        <f t="array" ref="AC8">_xlfn.MAP('10 - Office Chairs'!B8:B507, '10 - Office Chairs'!AC8:AC507,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IF(OR('10 - Office Chairs'!AC$7 = "", '10 - Office Chairs'!AC$7 = "N/A"), "3:Display Set Quantity - Value is required", ""), ""))))))))))))</f>
        <v/>
      </c>
      <c r="AD8" s="22">
        <f t="array" ref="AD8">_xlfn.MAP('10 - Office Chairs'!B8:B507, '10 - Office Chairs'!AD8:AD507,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IF(OR('10 - Office Chairs'!AD$7 = "", '10 - Office Chairs'!AD$7 = "N/A"), "3:Product Weight - Value is required", ""), ""))))))))))</f>
        <v/>
      </c>
      <c r="AE8" s="22">
        <f t="array" ref="AE8">_xlfn.MAP('10 - Office Chairs'!B8:B507, '10 - Office Chairs'!AE8:AE507, '10 - Office Chairs'!J8:J507, _xlfn.LAMBDA(_xlpm.part, _xlpm.val, _xlpm.dep1, IF(_xlpm.part = "", "", _xlfn.LET(_xlpm.check1, IF(AND(_xlpm.val = "", _xlpm.dep1 = "NON-PRIMARY VARIANT"), "2:Autofill", ""), IF(LEN(_xlpm.check1) &gt; 0, _xlpm.check1, IF(AND(_xlpm.val = "", AE$3="Required"), IF(OR('10 - Office Chairs'!AE$7 = "", '10 - Office Chairs'!AE$7 = "N/A"), "3:Ship Type - Value is required", ""), ""))))))</f>
        <v/>
      </c>
      <c r="AF8" s="22">
        <f t="array" ref="AF8">_xlfn.MAP('10 - Office Chairs'!B8:B507, '10 - Office Chairs'!AF8:AF507, '10 - Office Chairs'!J8:J507, _xlfn.LAMBDA(_xlpm.part, _xlpm.val, _xlpm.dep1, IF(_xlpm.part = "", "", _xlfn.LET(_xlpm.check1, IF(AND(_xlpm.val = "", _xlpm.dep1 = "NON-PRIMARY VARIANT"), "2:Autofill", ""), IF(LEN(_xlpm.check1) &gt; 0, _xlpm.check1, IF(AND(_xlpm.val = "", AF$3="Required"), IF(OR('10 - Office Chairs'!AF$7 = "", '10 - Office Chairs'!AF$7 = "N/A"), "3:Freight Class - Value is required", ""), ""))))))</f>
        <v/>
      </c>
      <c r="AG8" s="22">
        <f t="array" ref="AG8">_xlfn.MAP('10 - Office Chairs'!B8:B507, '10 - Office Chairs'!AG8:AG507, '10 - Office Chairs'!J8:J507, _xlfn.LAMBDA(_xlpm.part, _xlpm.val, _xlpm.dep1, IF(_xlpm.part = "", "", _xlfn.LET(_xlpm.check1, IF(AND(_xlpm.val = "", _xlpm.dep1 = "NON-PRIMARY VARIANT"), "2:Autofill", ""), IF(LEN(_xlpm.check1) &gt; 0, _xlpm.check1, IF(AND(_xlpm.val = "", AG$3="Required"), IF(OR('10 - Office Chairs'!AG$7 = "", '10 - Office Chairs'!AG$7 = "N/A"), "3:Lead Time - Value is required", ""), ""))))))</f>
        <v/>
      </c>
      <c r="AH8" s="22">
        <f t="array" ref="AH8">_xlfn.MAP('10 - Office Chairs'!B8:B507, '10 - Office Chairs'!AH8:AH507, '10 - Office Chairs'!J8:J507, _xlfn.LAMBDA(_xlpm.part, _xlpm.val, _xlpm.dep1, IF(_xlpm.part = "", "", _xlfn.LET(_xlpm.check1, IF(AND(_xlpm.val = "", _xlpm.dep1 = "NON-PRIMARY VARIANT"), "2:Autofill", ""), IF(LEN(_xlpm.check1) &gt; 0, _xlpm.check1, IF(AND(_xlpm.val = "", AH$3="Required"), IF(OR('10 - Office Chairs'!AH$7 = "", '10 - Office Chairs'!AH$7 = "N/A"), "3:Replacement Lead Time - Value is required", ""), ""))))))</f>
        <v/>
      </c>
      <c r="AI8" s="22">
        <f t="array" ref="AI8">_xlfn.MAP('10 - Office Chairs'!B8:B507, '10 - Office Chairs'!AI8:AI507, '10 - Office Chairs'!J8:J507,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IF(OR('10 - Office Chairs'!AI$7 = "", '10 - Office Chairs'!AI$7 = "N/A"), "3:National Motor Freight Class - Value is required", ""), ""))))))))</f>
        <v/>
      </c>
      <c r="AJ8" s="22">
        <f t="array" ref="AJ8">_xlfn.MAP('10 - Office Chairs'!B8:B507, '10 - Office Chairs'!AJ8:AJ507, '10 - Office Chairs'!J8:J507, _xlfn.LAMBDA(_xlpm.part, _xlpm.val, _xlpm.dep1, IF(_xlpm.part = "", "", _xlfn.LET(_xlpm.check1, IF(AND(_xlpm.val = "", _xlpm.dep1 = "NON-PRIMARY VARIANT"), "2:Autofill", ""), IF(LEN(_xlpm.check1) &gt; 0, _xlpm.check1, IF(AND(_xlpm.val = "", AJ$3="Required"), IF(OR('10 - Office Chairs'!AJ$7 = "", '10 - Office Chairs'!AJ$7 = "N/A"), "3:Flat Pack - Value is required", ""), ""))))))</f>
        <v/>
      </c>
      <c r="AK8" s="22">
        <f t="array" ref="AK8">_xlfn.MAP('10 - Office Chairs'!B8:B507, '10 - Office Chairs'!AK8:AK507, '10 - Office Chairs'!J8:J507, _xlfn.LAMBDA(_xlpm.part, _xlpm.val, _xlpm.dep1, IF(_xlpm.part = "", "", _xlfn.LET(_xlpm.check1, IF(AND(_xlpm.val = "", _xlpm.dep1 = "NON-PRIMARY VARIANT"), "2:Autofill", ""), IF(LEN(_xlpm.check1) &gt; 0, _xlpm.check1, IF(AND(_xlpm.val = "", AK$3="Required"), IF(OR('10 - Office Chairs'!AK$7 = "", '10 - Office Chairs'!AK$7 = "N/A"), "3:Ship Palletized - Value is required", ""), ""))))))</f>
        <v/>
      </c>
      <c r="AL8" s="22">
        <f t="array" ref="AL8">_xlfn.MAP('10 - Office Chairs'!B8:B507, '10 - Office Chairs'!AL8:AL507, '10 - Office Chairs'!AM8:AM507, '10 - Office Chairs'!AN8:AN507, '10 - Office Chairs'!AO8:AO507,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IF(OR('10 - Office Chairs'!AL$7 = "", '10 - Office Chairs'!AL$7 = "N/A"), "3:Carton Weight - Value is required", ""), ""), IF(LEN(_xlpm.check3) &gt; 0, _xlpm.check3, _xlfn.LET(_xlpm.check4, IF(OR(_xlpm.dep1 &lt;&gt; "", _xlpm.dep2 &lt;&gt; "", _xlpm.dep3 &lt;&gt; ""), IF(_xlpm.val = "", IF(OR('10 - Office Chairs'!AL$7 = "", '10 - Office Chairs'!AL$7 = "N/A"), "3:Shipping weight is required", ""), ""), ""), IF(LEN(_xlpm.check4) &gt; 0, _xlpm.check4, IF(AND(_xlpm.dep3 = "", _xlpm.dep1 = "", _xlpm.dep2 = ""), IF(_xlpm.val = "", IF(OR('10 - Office Chairs'!AL$7 = "", '10 - Office Chairs'!AL$7 = "N/A"), "3:Shipping weight is required", ""), ""), ""))))))))))))</f>
        <v/>
      </c>
      <c r="AM8" s="22">
        <f t="array" ref="AM8">_xlfn.MAP('10 - Office Chairs'!B8:B507, '10 - Office Chairs'!AM8:AM507, '10 - Office Chairs'!AL8:AL507, '10 - Office Chairs'!AN8:AN507, '10 - Office Chairs'!AO8:AO507,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IF(OR('10 - Office Chairs'!AM$7 = "", '10 - Office Chairs'!AM$7 = "N/A"), "3:Carton Height - Value is required", ""), ""), IF(LEN(_xlpm.check3) &gt; 0, _xlpm.check3, _xlfn.LET(_xlpm.check4, IF(OR(_xlpm.dep1 &lt;&gt; "", _xlpm.dep2 &lt;&gt; "", _xlpm.dep3 &lt;&gt; ""), IF(_xlpm.val = "", IF(OR('10 - Office Chairs'!AM$7 = "", '10 - Office Chairs'!AM$7 = "N/A"), "3:Carton height is required", ""), ""), ""), IF(LEN(_xlpm.check4) &gt; 0, _xlpm.check4, IF(AND(_xlpm.dep1 = "", _xlpm.dep3 = "", _xlpm.dep2 = ""), IF(_xlpm.val = "", IF(OR('10 - Office Chairs'!AM$7 = "", '10 - Office Chairs'!AM$7 = "N/A"), "3:Carton height is required", ""), ""), ""))))))))))))</f>
        <v/>
      </c>
      <c r="AN8" s="22">
        <f t="array" ref="AN8">_xlfn.MAP('10 - Office Chairs'!B8:B507, '10 - Office Chairs'!AN8:AN507, '10 - Office Chairs'!AL8:AL507, '10 - Office Chairs'!AM8:AM507, '10 - Office Chairs'!AO8:AO507,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IF(OR('10 - Office Chairs'!AN$7 = "", '10 - Office Chairs'!AN$7 = "N/A"), "3:Carton Width - Value is required", ""), ""), IF(LEN(_xlpm.check3) &gt; 0, _xlpm.check3, _xlfn.LET(_xlpm.check4, IF(OR(_xlpm.dep1 &lt;&gt; "", _xlpm.dep2 &lt;&gt; "", _xlpm.dep3 &lt;&gt; ""), IF(_xlpm.val = "", IF(OR('10 - Office Chairs'!AN$7 = "", '10 - Office Chairs'!AN$7 = "N/A"), "3:Carton width is required", ""), ""), ""), IF(LEN(_xlpm.check4) &gt; 0, _xlpm.check4, IF(AND(_xlpm.dep1 = "", _xlpm.dep2 = "", _xlpm.dep3 = ""), IF(_xlpm.val = "", IF(OR('10 - Office Chairs'!AN$7 = "", '10 - Office Chairs'!AN$7 = "N/A"), "3:Carton width is required", ""), ""), ""))))))))))))</f>
        <v/>
      </c>
      <c r="AO8" s="22">
        <f t="array" ref="AO8">_xlfn.MAP('10 - Office Chairs'!B8:B507, '10 - Office Chairs'!AO8:AO507, '10 - Office Chairs'!AL8:AL507, '10 - Office Chairs'!AM8:AM507, '10 - Office Chairs'!AN8:AN507,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IF(OR('10 - Office Chairs'!AO$7 = "", '10 - Office Chairs'!AO$7 = "N/A"), "3:Carton Depth - Value is required", ""), ""), IF(LEN(_xlpm.check3) &gt; 0, _xlpm.check3, _xlfn.LET(_xlpm.check4, IF(OR(_xlpm.dep1 &lt;&gt; "", _xlpm.dep2 &lt;&gt; "", _xlpm.dep3 &lt;&gt; ""), IF(_xlpm.val = "", IF(OR('10 - Office Chairs'!AO$7 = "", '10 - Office Chairs'!AO$7 = "N/A"), "3:Carton depth is required", ""), ""), ""), IF(LEN(_xlpm.check4) &gt; 0, _xlpm.check4, IF(AND(_xlpm.dep1 = "", _xlpm.dep2 = "", _xlpm.dep3 = ""), IF(_xlpm.val = "", IF(OR('10 - Office Chairs'!AO$7 = "", '10 - Office Chairs'!AO$7 = "N/A"), "3:Carton depth is required", ""), ""), ""))))))))))))</f>
        <v/>
      </c>
      <c r="AP8" s="22">
        <f t="array" ref="AP8">_xlfn.MAP('10 - Office Chairs'!B8:B507, '10 - Office Chairs'!AP8:AP507, _xlfn.LAMBDA(_xlpm.part, _xlpm.val, IF(_xlpm.part = "", "", IF(AND(_xlpm.val = "", AP$3="Required"), IF(OR('10 - Office Chairs'!AP$7 = "", '10 - Office Chairs'!AP$7 = "N/A"), "3:Warning Required - Value is required", ""), ""))))</f>
        <v/>
      </c>
      <c r="AQ8" s="22">
        <f t="array" ref="AQ8">_xlfn.MAP('10 - Office Chairs'!B8:B507, '10 - Office Chairs'!AQ8:AQ507, '10 - Office Chairs'!AR8:AR507, '10 - Office Chairs'!AP8:AP507, _xlfn.LAMBDA(_xlpm.part, _xlpm.val, _xlpm.dep1, _xlpm.dep2, IF(_xlpm.part = "", "", _xlfn.LET(_xlpm.check1, IF(AND(_xlpm.val = "", AQ$3="Required"), IF(OR('10 - Office Chairs'!AQ$7 = "", '10 - Office Chairs'!AQ$7 = "N/A"), "3:Chemical - Value is required", ""), ""), IF(LEN(_xlpm.check1) &gt; 0, _xlpm.check1, _xlfn.LET(_xlpm.check2, IF(_xlpm.dep1 &lt;&gt; "", IF(_xlpm.val = "", IF(OR('10 - Office Chairs'!AQ$7 = "", '10 - Office Chairs'!AQ$7 = "N/A"), "3:Please provide a chemical", ""), ""), ""), IF(LEN(_xlpm.check2) &gt; 0, _xlpm.check2, IF(_xlpm.dep2 = "Yes", IF(_xlpm.val = "", IF(OR('10 - Office Chairs'!AQ$7 = "", '10 - Office Chairs'!AQ$7 = "N/A"), "3:If a warning is required, then a chemical must also be provided", ""), ""), ""))))))))</f>
        <v/>
      </c>
      <c r="AR8" s="22">
        <f t="array" ref="AR8">_xlfn.MAP('10 - Office Chairs'!B8:B507, '10 - Office Chairs'!AR8:AR507, '10 - Office Chairs'!AQ8:AQ507, '10 - Office Chairs'!AP8:AP507,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IF(OR('10 - Office Chairs'!AR$7 = "", '10 - Office Chairs'!AR$7 = "N/A"), "3:Toxicity - Value is required", ""), ""), IF(LEN(_xlpm.check2) &gt; 0, _xlpm.check2, _xlfn.LET(_xlpm.check3, IF(_xlpm.dep1 &lt;&gt; "", IF(_xlpm.val = "", IF(OR('10 - Office Chairs'!AR$7 = "", '10 - Office Chairs'!AR$7 = "N/A"), "3:Please select a toxicity from the provided dropdown", ""), ""), ""), IF(LEN(_xlpm.check3) &gt; 0, _xlpm.check3, IF(_xlpm.dep2 = "Yes", IF(_xlpm.val = "", IF(OR('10 - Office Chairs'!AR$7 = "", '10 - Office Chairs'!AR$7 = "N/A"), "3:If a warning is required, then a chemical must also be provided", ""), ""), ""))))))))))</f>
        <v/>
      </c>
      <c r="AS8" s="22">
        <f t="array" ref="AS8">_xlfn.MAP('10 - Office Chairs'!B8:B507, '10 - Office Chairs'!AS8:AS507, '10 - Office Chairs'!J8:J507, _xlfn.LAMBDA(_xlpm.part, _xlpm.val, _xlpm.dep1, IF(_xlpm.part = "", "", _xlfn.LET(_xlpm.check1, IF(AND(_xlpm.val = "", _xlpm.dep1 = "NON-PRIMARY VARIANT"), "2:Autofill", ""), IF(LEN(_xlpm.check1) &gt; 0, _xlpm.check1, IF(AND(_xlpm.val = "", AS$3="Required"), IF(OR('10 - Office Chairs'!AS$7 = "", '10 - Office Chairs'!AS$7 = "N/A"), "3:Country Of Manufacturer - Value is required", ""), ""))))))</f>
        <v/>
      </c>
      <c r="AT8" s="22">
        <f t="array" ref="AT8">_xlfn.MAP('10 - Office Chairs'!B8:B507, '10 - Office Chairs'!AT8:AT507, _xlfn.LAMBDA(_xlpm.part, _xlpm.val, IF(_xlpm.part = "", "", IF(AND(_xlpm.val = "", AT$3="Required"), IF(OR('10 - Office Chairs'!AT$7 = "", '10 - Office Chairs'!AT$7 = "N/A"), "3:Image File Name or URL - Value is required", ""), ""))))</f>
        <v/>
      </c>
      <c r="AU8" s="22">
        <f t="array" ref="AU8">_xlfn.MAP('10 - Office Chairs'!B8:B507, '10 - Office Chairs'!AU8:AU507, _xlfn.LAMBDA(_xlpm.part, _xlpm.val, IF(_xlpm.part = "", "", IF(AND(_xlpm.val = "", AU$3="Required"), IF(OR('10 - Office Chairs'!AU$7 = "", '10 - Office Chairs'!AU$7 = "N/A"), "3:Image File Name or URL - Value is required", ""), ""))))</f>
        <v/>
      </c>
      <c r="AV8" s="22">
        <f t="array" ref="AV8">_xlfn.MAP('10 - Office Chairs'!B8:B507, '10 - Office Chairs'!AV8:AV507, _xlfn.LAMBDA(_xlpm.part, _xlpm.val, IF(_xlpm.part = "", "", IF(AND(_xlpm.val = "", AV$3="Required"), IF(OR('10 - Office Chairs'!AV$7 = "", '10 - Office Chairs'!AV$7 = "N/A"), "3:Image File Name or URL - Value is required", ""), ""))))</f>
        <v/>
      </c>
      <c r="AW8" s="22">
        <f t="array" ref="AW8">_xlfn.MAP('10 - Office Chairs'!B8:B507, '10 - Office Chairs'!AW8:AW507, _xlfn.LAMBDA(_xlpm.part, _xlpm.val, IF(_xlpm.part = "", "", IF(AND(_xlpm.val = "", AW$3="Required"), IF(OR('10 - Office Chairs'!AW$7 = "", '10 - Office Chairs'!AW$7 = "N/A"), "3:Image File Name or URL - Value is required", ""), ""))))</f>
        <v/>
      </c>
      <c r="AX8" s="22">
        <f t="array" ref="AX8">_xlfn.MAP('10 - Office Chairs'!B8:B507, '10 - Office Chairs'!AX8:AX507, _xlfn.LAMBDA(_xlpm.part, _xlpm.val, IF(_xlpm.part = "", "", IF(AND(_xlpm.val = "", AX$3="Required"), IF(OR('10 - Office Chairs'!AX$7 = "", '10 - Office Chairs'!AX$7 = "N/A"), "3:Image File Name or URL - Value is required", ""), ""))))</f>
        <v/>
      </c>
      <c r="AY8" s="22">
        <f t="array" ref="AY8">_xlfn.MAP('10 - Office Chairs'!B8:B507, '10 - Office Chairs'!AY8:AY507, _xlfn.LAMBDA(_xlpm.part, _xlpm.val, IF(_xlpm.part = "", "", IF(AND(_xlpm.val = "", AY$3="Required"), IF(OR('10 - Office Chairs'!AY$7 = "", '10 - Office Chairs'!AY$7 = "N/A"), "3:Video File Name or URL - Value is required", ""), ""))))</f>
        <v/>
      </c>
      <c r="AZ8" s="22">
        <f t="array" ref="AZ8">_xlfn.MAP('10 - Office Chairs'!B8:B507, '10 - Office Chairs'!AZ8:AZ507, '10 - Office Chairs'!BA8:BA507, '10 - Office Chairs'!BB8:BB507, '10 - Office Chairs'!BC8:BC507, '10 - Office Chairs'!BD8:BD507, _xlfn.LAMBDA(_xlpm.part, _xlpm.val, _xlpm.dep1, _xlpm.dep2, _xlpm.dep3, _xlpm.dep4, IF(_xlpm.part = "", "", _xlfn.LET(_xlpm.check1, IF(AND(_xlpm.val = "", AZ$3="Required"), IF(OR('10 - Office Chairs'!AZ$7 = "", '10 - Office Chairs'!AZ$7 = "N/A"), "3:Document File Name or URL - Value is required", ""), ""), IF(LEN(_xlpm.check1) &gt; 0, _xlpm.check1, IF(OR(_xlpm.dep1 &lt;&gt; "", _xlpm.dep2 &lt;&gt; "", _xlpm.dep3 &lt;&gt; "", _xlpm.dep4 &lt;&gt; ""), IF(_xlpm.val = "", IF(OR('10 - Office Chairs'!AZ$7 = "", '10 - Office Chairs'!AZ$7 = "N/A"), "3:Document value is required", ""), ""), ""))))))</f>
        <v/>
      </c>
      <c r="BA8" s="22">
        <f t="array" ref="BA8">_xlfn.MAP('10 - Office Chairs'!B8:B507, '10 - Office Chairs'!BA8:BA507,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IF(OR('10 - Office Chairs'!BA$7 = "", '10 - Office Chairs'!BA$7 = "N/A"), "3:Document Type - Value is required", ""), ""))))))</f>
        <v/>
      </c>
      <c r="BB8" s="22">
        <f t="array" ref="BB8">_xlfn.MAP('10 - Office Chairs'!B8:B507, '10 - Office Chairs'!BB8:BB507,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IF(OR('10 - Office Chairs'!BB$7 = "", '10 - Office Chairs'!BB$7 = "N/A"), "3:Legal Document Type - Value is required", ""), ""))))))</f>
        <v/>
      </c>
      <c r="BC8" s="22">
        <f t="array" ref="BC8">_xlfn.MAP('10 - Office Chairs'!B8:B507, '10 - Office Chairs'!BC8:BC507, _xlfn.LAMBDA(_xlpm.part, _xlpm.val, IF(_xlpm.part = "", "", IF(AND(_xlpm.val = "", BC$3="Required"), IF(OR('10 - Office Chairs'!BC$7 = "", '10 - Office Chairs'!BC$7 = "N/A"), "3:Document Region - Value is required", ""), ""))))</f>
        <v/>
      </c>
      <c r="BD8" s="22">
        <f t="array" ref="BD8">_xlfn.MAP('10 - Office Chairs'!B8:B507, '10 - Office Chairs'!BD8:BD507, _xlfn.LAMBDA(_xlpm.part, _xlpm.val, IF(_xlpm.part = "", "", IF(AND(_xlpm.val = "", BD$3="Required"), IF(OR('10 - Office Chairs'!BD$7 = "", '10 - Office Chairs'!BD$7 = "N/A"), "3:Document Language - Value is required", ""), ""))))</f>
        <v/>
      </c>
      <c r="BE8" s="22">
        <f t="array" ref="BE8">_xlfn.MAP('10 - Office Chairs'!B8:B507, '10 - Office Chairs'!BE8:BE507, '10 - Office Chairs'!BF8:BF507, '10 - Office Chairs'!BG8:BG507, '10 - Office Chairs'!BH8:BH507, '10 - Office Chairs'!BI8:BI507, _xlfn.LAMBDA(_xlpm.part, _xlpm.val, _xlpm.dep1, _xlpm.dep2, _xlpm.dep3, _xlpm.dep4, IF(_xlpm.part = "", "", _xlfn.LET(_xlpm.check1, IF(AND(_xlpm.val = "", BE$3="Required"), IF(OR('10 - Office Chairs'!BE$7 = "", '10 - Office Chairs'!BE$7 = "N/A"), "3:Document File Name or URL - Value is required", ""), ""), IF(LEN(_xlpm.check1) &gt; 0, _xlpm.check1, IF(OR(_xlpm.dep1 &lt;&gt; "", _xlpm.dep2 &lt;&gt; "", _xlpm.dep3 &lt;&gt; "", _xlpm.dep4 &lt;&gt; ""), IF(_xlpm.val = "", IF(OR('10 - Office Chairs'!BE$7 = "", '10 - Office Chairs'!BE$7 = "N/A"), "3:Document value is required", ""), ""), ""))))))</f>
        <v/>
      </c>
      <c r="BF8" s="22">
        <f t="array" ref="BF8">_xlfn.MAP('10 - Office Chairs'!B8:B507, '10 - Office Chairs'!BF8:BF507,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IF(OR('10 - Office Chairs'!BF$7 = "", '10 - Office Chairs'!BF$7 = "N/A"), "3:Document Type - Value is required", ""), ""))))))</f>
        <v/>
      </c>
      <c r="BG8" s="22">
        <f t="array" ref="BG8">_xlfn.MAP('10 - Office Chairs'!B8:B507, '10 - Office Chairs'!BG8:BG507,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IF(OR('10 - Office Chairs'!BG$7 = "", '10 - Office Chairs'!BG$7 = "N/A"), "3:Legal Document Type - Value is required", ""), ""))))))</f>
        <v/>
      </c>
      <c r="BH8" s="22">
        <f t="array" ref="BH8">_xlfn.MAP('10 - Office Chairs'!B8:B507, '10 - Office Chairs'!BH8:BH507, _xlfn.LAMBDA(_xlpm.part, _xlpm.val, IF(_xlpm.part = "", "", IF(AND(_xlpm.val = "", BH$3="Required"), IF(OR('10 - Office Chairs'!BH$7 = "", '10 - Office Chairs'!BH$7 = "N/A"), "3:Document Region - Value is required", ""), ""))))</f>
        <v/>
      </c>
      <c r="BI8" s="22">
        <f t="array" ref="BI8">_xlfn.MAP('10 - Office Chairs'!B8:B507, '10 - Office Chairs'!BI8:BI507, _xlfn.LAMBDA(_xlpm.part, _xlpm.val, IF(_xlpm.part = "", "", IF(AND(_xlpm.val = "", BI$3="Required"), IF(OR('10 - Office Chairs'!BI$7 = "", '10 - Office Chairs'!BI$7 = "N/A"), "3:Document Language - Value is required", ""), ""))))</f>
        <v/>
      </c>
      <c r="BJ8" s="22">
        <f t="array" ref="BJ8">_xlfn.MAP('10 - Office Chairs'!B8:B507, '10 - Office Chairs'!BJ8:BJ507, '10 - Office Chairs'!BK8:BK507, '10 - Office Chairs'!BL8:BL507, '10 - Office Chairs'!BM8:BM507, '10 - Office Chairs'!BN8:BN507, _xlfn.LAMBDA(_xlpm.part, _xlpm.val, _xlpm.dep1, _xlpm.dep2, _xlpm.dep3, _xlpm.dep4, IF(_xlpm.part = "", "", _xlfn.LET(_xlpm.check1, IF(AND(_xlpm.val = "", BJ$3="Required"), IF(OR('10 - Office Chairs'!BJ$7 = "", '10 - Office Chairs'!BJ$7 = "N/A"), "3:Document File Name or URL - Value is required", ""), ""), IF(LEN(_xlpm.check1) &gt; 0, _xlpm.check1, IF(OR(_xlpm.dep1 &lt;&gt; "", _xlpm.dep2 &lt;&gt; "", _xlpm.dep3 &lt;&gt; "", _xlpm.dep4 &lt;&gt; ""), IF(_xlpm.val = "", IF(OR('10 - Office Chairs'!BJ$7 = "", '10 - Office Chairs'!BJ$7 = "N/A"), "3:Document value is required", ""), ""), ""))))))</f>
        <v/>
      </c>
      <c r="BK8" s="22">
        <f t="array" ref="BK8">_xlfn.MAP('10 - Office Chairs'!B8:B507, '10 - Office Chairs'!BK8:BK507,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IF(OR('10 - Office Chairs'!BK$7 = "", '10 - Office Chairs'!BK$7 = "N/A"), "3:Document Type - Value is required", ""), ""))))))</f>
        <v/>
      </c>
      <c r="BL8" s="22">
        <f t="array" ref="BL8">_xlfn.MAP('10 - Office Chairs'!B8:B507, '10 - Office Chairs'!BL8:BL507,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IF(OR('10 - Office Chairs'!BL$7 = "", '10 - Office Chairs'!BL$7 = "N/A"), "3:Legal Document Type - Value is required", ""), ""))))))</f>
        <v/>
      </c>
      <c r="BM8" s="22">
        <f t="array" ref="BM8">_xlfn.MAP('10 - Office Chairs'!B8:B507, '10 - Office Chairs'!BM8:BM507, _xlfn.LAMBDA(_xlpm.part, _xlpm.val, IF(_xlpm.part = "", "", IF(AND(_xlpm.val = "", BM$3="Required"), IF(OR('10 - Office Chairs'!BM$7 = "", '10 - Office Chairs'!BM$7 = "N/A"), "3:Document Region - Value is required", ""), ""))))</f>
        <v/>
      </c>
      <c r="BN8" s="22">
        <f t="array" ref="BN8">_xlfn.MAP('10 - Office Chairs'!B8:B507, '10 - Office Chairs'!BN8:BN507, _xlfn.LAMBDA(_xlpm.part, _xlpm.val, IF(_xlpm.part = "", "", IF(AND(_xlpm.val = "", BN$3="Required"), IF(OR('10 - Office Chairs'!BN$7 = "", '10 - Office Chairs'!BN$7 = "N/A"), "3:Document Language - Value is required", ""), ""))))</f>
        <v/>
      </c>
      <c r="BO8" s="22">
        <f t="array" ref="BO8">_xlfn.MAP('10 - Office Chairs'!B8:B507, '10 - Office Chairs'!BO8:BO507, _xlfn.LAMBDA(_xlpm.part, _xlpm.val, IF(_xlpm.part = "", "", IF(AND(_xlpm.val = "", BO$3="Required"), IF(OR('10 - Office Chairs'!BO$7 = "", '10 - Office Chairs'!BO$7 = "N/A"), "3:Product Type - Value is required", ""), ""))))</f>
        <v/>
      </c>
      <c r="BP8" s="22">
        <f t="array" ref="BP8">_xlfn.MAP('10 - Office Chairs'!B8:B507, '10 - Office Chairs'!BP8:BP507, _xlfn.LAMBDA(_xlpm.part, _xlpm.val, IF(_xlpm.part = "", "", IF(AND(_xlpm.val = "", BP$3="Required"), IF(OR('10 - Office Chairs'!BP$7 = "", '10 - Office Chairs'!BP$7 = "N/A"), "3:Frame Material - Value is required", ""), ""))))</f>
        <v/>
      </c>
      <c r="BQ8" s="22">
        <f t="array" ref="BQ8">_xlfn.MAP('10 - Office Chairs'!B8:B507, '10 - Office Chairs'!BQ8:BQ507, _xlfn.LAMBDA(_xlpm.part, _xlpm.val, IF(_xlpm.part = "", "", IF(AND(_xlpm.val = "", BQ$3="Required"), IF(OR('10 - Office Chairs'!BQ$7 = "", '10 - Office Chairs'!BQ$7 = "N/A"), "3:Back Construction - Value is required", ""), ""))))</f>
        <v/>
      </c>
      <c r="BR8" s="22">
        <f t="array" ref="BR8">_xlfn.MAP('10 - Office Chairs'!B8:B507, '10 - Office Chairs'!BR8:BR507, _xlfn.LAMBDA(_xlpm.part, _xlpm.val, IF(_xlpm.part = "", "", IF(AND(_xlpm.val = "", BR$3="Required"), IF(OR('10 - Office Chairs'!BR$7 = "", '10 - Office Chairs'!BR$7 = "N/A"), "3:Seat Material - Value is required", ""), ""))))</f>
        <v/>
      </c>
      <c r="BS8" s="22">
        <f t="array" ref="BS8">_xlfn.MAP('10 - Office Chairs'!B8:B507, '10 - Office Chairs'!BS8:BS507, '10 - Office Chairs'!BR8:BR507, _xlfn.LAMBDA(_xlpm.part, _xlpm.val, _xlpm.dep1, IF(_xlpm.part = "", "", _xlfn.LET(_xlpm.check1, IF(AND(_xlpm.val = "", AND(NOT(OR(ISNUMBER(SEARCH("Chenille", _xlpm.dep1)), ISNUMBER(SEARCH("Fabric", _xlpm.dep1)), ISNUMBER(SEARCH("Upholstered", _xlpm.dep1)))), _xlpm.dep1 &lt;&gt; "")), "2:Autofill", ""), IF(LEN(_xlpm.check1) &gt; 0, _xlpm.check1, IF(AND(_xlpm.val = "", BS$3="Required"), IF(OR('10 - Office Chairs'!BS$7 = "", '10 - Office Chairs'!BS$7 = "N/A"), "3:Upholstered - Value is required", ""), ""))))))</f>
        <v/>
      </c>
      <c r="BT8" s="22">
        <f t="array" ref="BT8">_xlfn.MAP('10 - Office Chairs'!B8:B507, '10 - Office Chairs'!BT8:BT507,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BT$3="Required"), IF(OR('10 - Office Chairs'!BT$7 = "", '10 - Office Chairs'!BT$7 = "N/A"), "3:Upholstery Material - Value is required", ""), ""))))))))</f>
        <v/>
      </c>
      <c r="BU8" s="22">
        <f t="array" ref="BU8">_xlfn.MAP('10 - Office Chairs'!B8:B507, '10 - Office Chairs'!BU8:BU507, '10 - Office Chairs'!BS8:BS507, _xlfn.LAMBDA(_xlpm.part, _xlpm.val, _xlpm.dep1, IF(_xlpm.part = "", "", _xlfn.LET(_xlpm.check1, IF(AND(_xlpm.val = "", ISNUMBER(SEARCH("No", _xlpm.dep1))), "2:Autofill", ""), IF(LEN(_xlpm.check1) &gt; 0, _xlpm.check1, _xlfn.LET(_xlpm.check2, IF(ISNUMBER(SEARCH("No", _xlpm.dep1)), IF(_xlpm.val &lt;&gt; "No", "1:Based on Upholstered, value should be No", ""), ""), IF(LEN(_xlpm.check2) &gt; 0, _xlpm.check2, IF(AND(_xlpm.val = "", BU$3="Required"), IF(OR('10 - Office Chairs'!BU$7 = "", '10 - Office Chairs'!BU$7 = "N/A"), "3:Tufted - Value is required", ""), ""))))))))</f>
        <v/>
      </c>
      <c r="BV8" s="22">
        <f t="array" ref="BV8">_xlfn.MAP('10 - Office Chairs'!B8:B507, '10 - Office Chairs'!BV8:BV507, _xlfn.LAMBDA(_xlpm.part, _xlpm.val, IF(_xlpm.part = "", "", IF(AND(_xlpm.val = "", BV$3="Required"), IF(OR('10 - Office Chairs'!BV$7 = "", '10 - Office Chairs'!BV$7 = "N/A"), "3:Adjustable Backrest-Height - Value is required", ""), ""))))</f>
        <v/>
      </c>
      <c r="BW8" s="22">
        <f t="array" ref="BW8">_xlfn.MAP('10 - Office Chairs'!B8:B507, '10 - Office Chairs'!BW8:BW507, _xlfn.LAMBDA(_xlpm.part, _xlpm.val, IF(_xlpm.part = "", "", IF(AND(_xlpm.val = "", BW$3="Required"), IF(OR('10 - Office Chairs'!BW$7 = "", '10 - Office Chairs'!BW$7 = "N/A"), "3:Back Material - Value is required", ""), ""))))</f>
        <v/>
      </c>
      <c r="BX8" s="22">
        <f t="array" ref="BX8">_xlfn.MAP('10 - Office Chairs'!B8:B507, '10 - Office Chairs'!BX8:BX507, '10 - Office Chairs'!BW8:BW507, _xlfn.LAMBDA(_xlpm.part, _xlpm.val, _xlpm.dep1, IF(_xlpm.part = "", "", _xlfn.LET(_xlpm.check1, IF(AND(_xlpm.val = "", AND(NOT(ISNUMBER(SEARCH("Upholstered", _xlpm.dep1))), _xlpm.dep1 &lt;&gt; "")), "2:Autofill", ""), IF(LEN(_xlpm.check1) &gt; 0, _xlpm.check1, IF(AND(_xlpm.val = "", BX$3="Required"), IF(OR('10 - Office Chairs'!BX$7 = "", '10 - Office Chairs'!BX$7 = "N/A"), "3:Back Upholstery Material - Value is required", ""), ""))))))</f>
        <v/>
      </c>
      <c r="BY8" s="22">
        <f t="array" ref="BY8">_xlfn.MAP('10 - Office Chairs'!B8:B507, '10 - Office Chairs'!BY8:BY507, '10 - Office Chairs'!BW8:BW507, _xlfn.LAMBDA(_xlpm.part, _xlpm.val, _xlpm.dep1, IF(_xlpm.part = "", "", _xlfn.LET(_xlpm.check1, IF(AND(_xlpm.val = "", AND(NOT(ISNUMBER(SEARCH("Upholstered", _xlpm.dep1))), _xlpm.dep1 &lt;&gt; "")), "2:Autofill", ""), IF(LEN(_xlpm.check1) &gt; 0, _xlpm.check1, _xlfn.LET(_xlpm.check2, IF(AND(NOT(ISNUMBER(SEARCH("Upholstered", _xlpm.dep1))), _xlpm.dep1 &lt;&gt; ""), IF(_xlpm.val &lt;&gt; "Does Not Apply", "1:Based on Back Material, value should be Does Not Apply", ""), ""), IF(LEN(_xlpm.check2) &gt; 0, _xlpm.check2, IF(AND(_xlpm.val = "", BY$3="Required"), IF(OR('10 - Office Chairs'!BY$7 = "", '10 - Office Chairs'!BY$7 = "N/A"), "3:Back Fill Material - Value is required", ""), ""))))))))</f>
        <v/>
      </c>
      <c r="BZ8" s="22">
        <f t="array" ref="BZ8">_xlfn.MAP('10 - Office Chairs'!B8:B507, '10 - Office Chairs'!BZ8:BZ507, '10 - Office Chairs'!BT8:BT507, _xlfn.LAMBDA(_xlpm.part, _xlpm.val, _xlpm.dep1, IF(_xlpm.part = "", "", _xlfn.LET(_xlpm.check1, IF(OR(ISNUMBER(SEARCH("Faux Leather", _xlpm.dep1)), ISNUMBER(SEARCH("Genuine Leather", _xlpm.dep1))), IF(_xlpm.val = "Worn/Fade", "1:Based on Upholstery Material, value should not be Worn/Fade", ""), ""), IF(LEN(_xlpm.check1) &gt; 0, _xlpm.check1, _xlfn.LET(_xlpm.check2, IF(AND(NOT(OR(ISNUMBER(SEARCH("Faux Leather", _xlpm.dep1)), ISNUMBER(SEARCH("Genuine Leather", _xlpm.dep1)))), _xlpm.dep1 &lt;&gt; ""), IF(_xlpm.val = "Distressed Leather", "1:Based on Upholstery Material, value should not be Distressed Leather", ""), ""), IF(LEN(_xlpm.check2) &gt; 0, _xlpm.check2, IF(AND(_xlpm.val = "", BZ$3="Required"), IF(OR('10 - Office Chairs'!BZ$7 = "", '10 - Office Chairs'!BZ$7 = "N/A"), "3:Purposeful Distressing Type - Value is required", ""), ""))))))))</f>
        <v/>
      </c>
      <c r="CA8" s="22">
        <f t="array" ref="CA8">_xlfn.MAP('10 - Office Chairs'!B8:B507, '10 - Office Chairs'!CA8:CA507, '10 - Office Chairs'!BP8:BP507, _xlfn.LAMBDA(_xlpm.part, _xlpm.val, _xlpm.dep1, IF(_xlpm.part = "", "", _xlfn.LET(_xlpm.check1, IF(AND(_xlpm.val = "", OR(AND(NOT(OR(ISNUMBER(SEARCH("Metal", _xlpm.dep1)), ISNUMBER(SEARCH("Steel", _xlpm.dep1)))), _xlpm.dep1 &lt;&gt; ""), AND(NOT(ISNUMBER(SEARCH("Solid + Manufactured Wood", _xlpm.dep1))), _xlpm.dep1 &lt;&gt; ""))), "2:Autofill", ""), IF(LEN(_xlpm.check1) &gt; 0, _xlpm.check1, IF(AND(_xlpm.val = "", CA$3="Required"), IF(OR('10 - Office Chairs'!CA$7 = "", '10 - Office Chairs'!CA$7 = "N/A"), "3:Natural Variation Type - Value is required", ""), ""))))))</f>
        <v/>
      </c>
      <c r="CB8" s="22">
        <f t="array" ref="CB8">_xlfn.MAP('10 - Office Chairs'!B8:B507, '10 - Office Chairs'!CB8:CB507, _xlfn.LAMBDA(_xlpm.part, _xlpm.val, IF(_xlpm.part = "", "", IF(AND(_xlpm.val = "", CB$3="Required"), IF(OR('10 - Office Chairs'!CB$7 = "", '10 - Office Chairs'!CB$7 = "N/A"), "3:Arms Included - Value is required", ""), ""))))</f>
        <v/>
      </c>
      <c r="CC8" s="22">
        <f t="array" ref="CC8">_xlfn.MAP('10 - Office Chairs'!B8:B507, '10 - Office Chairs'!CC8:CC507, '10 - Office Chairs'!CB8:CB507, _xlfn.LAMBDA(_xlpm.part, _xlpm.val, _xlpm.dep1, IF(_xlpm.part = "", "", _xlfn.LET(_xlpm.check1, IF(AND(_xlpm.val = "", OR(ISNUMBER(SEARCH("No", _xlpm.dep1)), _xlpm.dep1 = "No")), "2:Autofill", ""), IF(LEN(_xlpm.check1) &gt; 0, _xlpm.check1, _xlfn.LET(_xlpm.check2, IF(_xlpm.dep1 = "No", IF(_xlpm.val &lt;&gt; "Does Not Apply", "1:Based on Arms Included, value should be Does Not Apply", ""), ""), IF(LEN(_xlpm.check2) &gt; 0, _xlpm.check2, IF(AND(_xlpm.val = "", CC$3="Required"), IF(OR('10 - Office Chairs'!CC$7 = "", '10 - Office Chairs'!CC$7 = "N/A"), "3:Adjustable Armrest Type - Value is required", ""), ""))))))))</f>
        <v/>
      </c>
      <c r="CD8" s="22">
        <f t="array" ref="CD8">_xlfn.MAP('10 - Office Chairs'!B8:B507, '10 - Office Chairs'!CD8:CD507, _xlfn.LAMBDA(_xlpm.part, _xlpm.val, IF(_xlpm.part = "", "", IF(AND(_xlpm.val = "", CD$3="Required"), IF(OR('10 - Office Chairs'!CD$7 = "", '10 - Office Chairs'!CD$7 = "N/A"), "3:Swivel - Value is required", ""), ""))))</f>
        <v/>
      </c>
      <c r="CE8" s="22">
        <f t="array" ref="CE8">_xlfn.MAP('10 - Office Chairs'!B8:B507, '10 - Office Chairs'!CE8:CE507, _xlfn.LAMBDA(_xlpm.part, _xlpm.val, IF(_xlpm.part = "", "", IF(AND(_xlpm.val = "", CE$3="Required"), IF(OR('10 - Office Chairs'!CE$7 = "", '10 - Office Chairs'!CE$7 = "N/A"), "3:Lumbar Support - Value is required", ""), ""))))</f>
        <v/>
      </c>
      <c r="CF8" s="22">
        <f t="array" ref="CF8">_xlfn.MAP('10 - Office Chairs'!B8:B507, '10 - Office Chairs'!CF8:CF507, _xlfn.LAMBDA(_xlpm.part, _xlpm.val, IF(_xlpm.part = "", "", IF(AND(_xlpm.val = "", CF$3="Required"), IF(OR('10 - Office Chairs'!CF$7 = "", '10 - Office Chairs'!CF$7 = "N/A"), "3:Massage Setting - Value is required", ""), ""))))</f>
        <v/>
      </c>
      <c r="CG8" s="22">
        <f t="array" ref="CG8">_xlfn.MAP('10 - Office Chairs'!B8:B507, '10 - Office Chairs'!CG8:CG507, _xlfn.LAMBDA(_xlpm.part, _xlpm.val, IF(_xlpm.part = "", "", IF(AND(_xlpm.val = "", CG$3="Required"), IF(OR('10 - Office Chairs'!CG$7 = "", '10 - Office Chairs'!CG$7 = "N/A"), "3:Tilting - Value is required", ""), ""))))</f>
        <v/>
      </c>
      <c r="CH8" s="22">
        <f t="array" ref="CH8">_xlfn.MAP('10 - Office Chairs'!B8:B507, '10 - Office Chairs'!CH8:CH507, _xlfn.LAMBDA(_xlpm.part, _xlpm.val, IF(_xlpm.part = "", "", IF(AND(_xlpm.val = "", CH$3="Required"), IF(OR('10 - Office Chairs'!CH$7 = "", '10 - Office Chairs'!CH$7 = "N/A"), "3:Tilt Lock - Value is required", ""), ""))))</f>
        <v/>
      </c>
      <c r="CI8" s="22">
        <f t="array" ref="CI8">_xlfn.MAP('10 - Office Chairs'!B8:B507, '10 - Office Chairs'!CI8:CI507, _xlfn.LAMBDA(_xlpm.part, _xlpm.val, IF(_xlpm.part = "", "", IF(AND(_xlpm.val = "", CI$3="Required"), IF(OR('10 - Office Chairs'!CI$7 = "", '10 - Office Chairs'!CI$7 = "N/A"), "3:Adjustable Tilt Tension - Value is required", ""), ""))))</f>
        <v/>
      </c>
      <c r="CJ8" s="22">
        <f t="array" ref="CJ8">_xlfn.MAP('10 - Office Chairs'!B8:B507, '10 - Office Chairs'!CJ8:CJ507, '10 - Office Chairs'!BO8:BO507, _xlfn.LAMBDA(_xlpm.part, _xlpm.val, _xlpm.dep1, IF(_xlpm.part = "", "", _xlfn.LET(_xlpm.check1, IF(AND(_xlpm.val = "", ISNUMBER(SEARCH("Drafting Chair", _xlpm.dep1))), "2:Autofill", ""), IF(LEN(_xlpm.check1) &gt; 0, _xlpm.check1, IF(AND(_xlpm.val = "", CJ$3="Required"), IF(OR('10 - Office Chairs'!CJ$7 = "", '10 - Office Chairs'!CJ$7 = "N/A"), "3:Adjustable Height - Value is required", ""), ""))))))</f>
        <v/>
      </c>
      <c r="CK8" s="22">
        <f t="array" ref="CK8">_xlfn.MAP('10 - Office Chairs'!B8:B507, '10 - Office Chairs'!CK8:CK507, _xlfn.LAMBDA(_xlpm.part, _xlpm.val, IF(_xlpm.part = "", "", IF(AND(_xlpm.val = "", CK$3="Required"), IF(OR('10 - Office Chairs'!CK$7 = "", '10 - Office Chairs'!CK$7 = "N/A"), "3:Seat Depth Adjustment - Value is required", ""), ""))))</f>
        <v/>
      </c>
      <c r="CL8" s="22">
        <f t="array" ref="CL8">_xlfn.MAP('10 - Office Chairs'!B8:B507, '10 - Office Chairs'!CL8:CL507, _xlfn.LAMBDA(_xlpm.part, _xlpm.val, IF(_xlpm.part = "", "", IF(AND(_xlpm.val = "", CL$3="Required"), IF(OR('10 - Office Chairs'!CL$7 = "", '10 - Office Chairs'!CL$7 = "N/A"), "3:Seat Angle Adjustment - Value is required", ""), ""))))</f>
        <v/>
      </c>
      <c r="CM8" s="22">
        <f t="array" ref="CM8">_xlfn.MAP('10 - Office Chairs'!B8:B507, '10 - Office Chairs'!CM8:CM507, _xlfn.LAMBDA(_xlpm.part, _xlpm.val, IF(_xlpm.part = "", "", IF(AND(_xlpm.val = "", CM$3="Required"), IF(OR('10 - Office Chairs'!CM$7 = "", '10 - Office Chairs'!CM$7 = "N/A"), "3:Waterfall Seat Included - Value is required", ""), ""))))</f>
        <v/>
      </c>
      <c r="CN8" s="22">
        <f t="array" ref="CN8">_xlfn.MAP('10 - Office Chairs'!B8:B507, '10 - Office Chairs'!CN8:CN507, _xlfn.LAMBDA(_xlpm.part, _xlpm.val, IF(_xlpm.part = "", "", IF(AND(_xlpm.val = "", CN$3="Required"), IF(OR('10 - Office Chairs'!CN$7 = "", '10 - Office Chairs'!CN$7 = "N/A"), "3:Seat Glide Mechanism - Value is required", ""), ""))))</f>
        <v/>
      </c>
      <c r="CO8" s="22">
        <f t="array" ref="CO8">_xlfn.MAP('10 - Office Chairs'!B8:B507, '10 - Office Chairs'!CO8:CO507, _xlfn.LAMBDA(_xlpm.part, _xlpm.val, IF(_xlpm.part = "", "", IF(AND(_xlpm.val = "", CO$3="Required"), IF(OR('10 - Office Chairs'!CO$7 = "", '10 - Office Chairs'!CO$7 = "N/A"), "3:Headrest Included - Value is required", ""), ""))))</f>
        <v/>
      </c>
      <c r="CP8" s="22">
        <f t="array" ref="CP8">_xlfn.MAP('10 - Office Chairs'!B8:B507, '10 - Office Chairs'!CP8:CP507, _xlfn.LAMBDA(_xlpm.part, _xlpm.val, IF(_xlpm.part = "", "", IF(AND(_xlpm.val = "", CP$3="Required"), IF(OR('10 - Office Chairs'!CP$7 = "", '10 - Office Chairs'!CP$7 = "N/A"), "3:Footrest Included - Value is required", ""), ""))))</f>
        <v/>
      </c>
      <c r="CQ8" s="22">
        <f t="array" ref="CQ8">_xlfn.MAP('10 - Office Chairs'!B8:B507, '10 - Office Chairs'!CQ8:CQ507, _xlfn.LAMBDA(_xlpm.part, _xlpm.val, IF(_xlpm.part = "", "", IF(AND(_xlpm.val = "", CQ$3="Required"), IF(OR('10 - Office Chairs'!CQ$7 = "", '10 - Office Chairs'!CQ$7 = "N/A"), "3:Casters / Wheels - Value is required", ""), ""))))</f>
        <v/>
      </c>
      <c r="CR8" s="22">
        <f t="array" ref="CR8">_xlfn.MAP('10 - Office Chairs'!B8:B507, '10 - Office Chairs'!CR8:CR507, _xlfn.LAMBDA(_xlpm.part, _xlpm.val, IF(_xlpm.part = "", "", IF(AND(_xlpm.val = "", CR$3="Required"), IF(OR('10 - Office Chairs'!CR$7 = "", '10 - Office Chairs'!CR$7 = "N/A"), "3:Compatible Floor Type - Value is required", ""), ""))))</f>
        <v/>
      </c>
      <c r="CS8" s="22">
        <f t="array" ref="CS8">_xlfn.MAP('10 - Office Chairs'!B8:B507, '10 - Office Chairs'!CS8:CS507, _xlfn.LAMBDA(_xlpm.part, _xlpm.val, IF(_xlpm.part = "", "", IF(AND(_xlpm.val = "", CS$3="Required"), IF(OR('10 - Office Chairs'!CS$7 = "", '10 - Office Chairs'!CS$7 = "N/A"), "3:Stackable - Value is required", ""), ""))))</f>
        <v/>
      </c>
      <c r="CT8" s="22">
        <f t="array" ref="CT8">_xlfn.MAP('10 - Office Chairs'!B8:B507, '10 - Office Chairs'!CT8:CT507, _xlfn.LAMBDA(_xlpm.part, _xlpm.val, IF(_xlpm.part = "", "", _xlfn.LET(_xlpm.check1, IF(NOT(ISBLANK(_xlpm.val)),_xlfn.LET(_xlpm.items, _xlfn.TEXTSPLIT(_xlpm.val, ";"),_xlpm.trimmed, _xlfn.MAP(_xlpm.items, _xlfn.LAMBDA(_xlpm.x, TRIM(_xlpm.x))),_xlpm.invalid, _xlfn._xlws.FILTER(_xlpm.trimmed, ISNA(MATCH(_xlpm.trimmed, allowed222414, 0)), ""),IF(AND(_xlpm.invalid&lt;&gt;"", COUNTA(_xlpm.invalid)&gt;0),"1:Please select valid values from the provided list. Answers are case-sensitive and must be separated by a semicolon.","")), ""), IF(LEN(_xlpm.check1) &gt; 0, _xlpm.check1, IF(AND(_xlpm.val = "", CT$3="Required"), IF(OR('10 - Office Chairs'!CT$7 = "", '10 - Office Chairs'!CT$7 = "N/A"), "3:Supplier Intended and Approved Use - Value is required", ""), ""))))))</f>
        <v/>
      </c>
      <c r="CU8" s="22">
        <f t="array" ref="CU8">_xlfn.MAP('10 - Office Chairs'!B8:B507, '10 - Office Chairs'!CU8:CU507, _xlfn.LAMBDA(_xlpm.part, _xlpm.val, IF(_xlpm.part = "", "", IF(AND(_xlpm.val = "", CU$3="Required"), IF(OR('10 - Office Chairs'!CU$7 = "", '10 - Office Chairs'!CU$7 = "N/A"), "3:Country of Origin - Additional Details - Value is required", ""), ""))))</f>
        <v/>
      </c>
      <c r="CV8" s="22">
        <f t="array" ref="CV8">_xlfn.MAP('10 - Office Chairs'!B8:B507, '10 - Office Chairs'!CV8:CV507, '10 - Office Chairs'!BP8:BP507, _xlfn.LAMBDA(_xlpm.part, _xlpm.val, _xlpm.dep1, IF(_xlpm.part = "", "", _xlfn.LET(_xlpm.check1, IF(AND(_xlpm.val = "", AND(NOT(ISNUMBER(SEARCH("Solid + Manufactured Wood", _xlpm.dep1))), _xlpm.dep1 &lt;&gt; "")), "2:Autofill", ""), IF(LEN(_xlpm.check1) &gt; 0, _xlpm.check1, IF(AND(_xlpm.val = "", CV$3="Required"), IF(OR('10 - Office Chairs'!CV$7 = "", '10 - Office Chairs'!CV$7 = "N/A"), "3:Main Wood Joinery Method - Value is required", ""), ""))))))</f>
        <v/>
      </c>
      <c r="CW8" s="22">
        <f t="array" ref="CW8">_xlfn.MAP('10 - Office Chairs'!B8:B507, '10 - Office Chairs'!CW8:CW507, _xlfn.LAMBDA(_xlpm.part, _xlpm.val, IF(_xlpm.part = "", "", IF(AND(_xlpm.val = "", CW$3="Required"), IF(OR('10 - Office Chairs'!CW$7 = "", '10 - Office Chairs'!CW$7 = "N/A"), "3:Kiln-Dried Wood - Value is required", ""), ""))))</f>
        <v/>
      </c>
      <c r="CX8" s="22">
        <f t="array" ref="CX8">_xlfn.MAP('10 - Office Chairs'!B8:B507, '10 - Office Chairs'!CX8:CX507, _xlfn.LAMBDA(_xlpm.part, _xlpm.val, IF(_xlpm.part = "", "", IF(AND(_xlpm.val = "", CX$3="Required"), IF(OR('10 - Office Chairs'!CX$7 = "", '10 - Office Chairs'!CX$7 = "N/A"), "3:Vibration - Value is required", ""), ""))))</f>
        <v/>
      </c>
      <c r="CY8" s="22">
        <f t="array" ref="CY8">_xlfn.MAP('10 - Office Chairs'!B8:B507, '10 - Office Chairs'!CY8:CY507, _xlfn.LAMBDA(_xlpm.part, _xlpm.val, IF(_xlpm.part = "", "", IF(AND(_xlpm.val = "", CY$3="Required"), IF(OR('10 - Office Chairs'!CY$7 = "", '10 - Office Chairs'!CY$7 = "N/A"), "3:Battery or Batteries Included - Value is required", ""), ""))))</f>
        <v/>
      </c>
      <c r="CZ8" s="22">
        <f t="array" ref="CZ8">_xlfn.MAP('10 - Office Chairs'!B8:B507, '10 - Office Chairs'!CZ8:CZ507,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Chairs'!CZ$7 = "", '10 - Office Chairs'!CZ$7 = "N/A"), "3:Since Battery or Batteries Included equals 'Yes', this field is required", ""), ""), ""), IF(LEN(_xlpm.check3) &gt; 0, _xlpm.check3, IF(AND(_xlpm.val = "", CZ$3="Required"), IF(OR('10 - Office Chairs'!CZ$7 = "", '10 - Office Chairs'!CZ$7 = "N/A"), "3:Battery Composition - Value is required", ""), ""))))))))))</f>
        <v/>
      </c>
      <c r="DA8" s="22">
        <f t="array" ref="DA8">_xlfn.MAP('10 - Office Chairs'!B8:B507, '10 - Office Chairs'!DA8:DA507,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Chairs'!DA$7 = "", '10 - Office Chairs'!DA$7 = "N/A"), "3:Since Battery or Batteries Included equals 'Yes', this field is required", ""), ""), ""), IF(LEN(_xlpm.check3) &gt; 0, _xlpm.check3, IF(AND(_xlpm.val = "", DA$3="Required"), IF(OR('10 - Office Chairs'!DA$7 = "", '10 - Office Chairs'!DA$7 = "N/A"), "3:Battery Type - Value is required", ""), ""))))))))))</f>
        <v/>
      </c>
      <c r="DB8" s="22">
        <f t="array" ref="DB8">_xlfn.MAP('10 - Office Chairs'!B8:B507, '10 - Office Chairs'!DB8:DB507,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Chairs'!DB$7 = "", '10 - Office Chairs'!DB$7 = "N/A"), "3:Since Battery or Batteries Included equals 'Yes', this field is required", ""), ""), ""), IF(LEN(_xlpm.check3) &gt; 0, _xlpm.check3, IF(AND(_xlpm.val = "", DB$3="Required"), IF(OR('10 - Office Chairs'!DB$7 = "", '10 - Office Chairs'!DB$7 = "N/A"), "3:Number of Batteries - Value is required", ""), ""))))))))))</f>
        <v/>
      </c>
      <c r="DC8" s="22">
        <f t="array" ref="DC8">_xlfn.MAP('10 - Office Chairs'!B8:B507, '10 - Office Chairs'!DC8:DC507, '10 - Office Chairs'!CY8:CY507, '10 - Office Chairs'!CZ8:CZ507,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IF(OR('10 - Office Chairs'!DC$7 = "", '10 - Office Chairs'!DC$7 = "N/A"), "3:Since Battery or Batteries Included equals 'Yes', this field is required", ""), ""), ""), IF(LEN(_xlpm.check4) &gt; 0, _xlpm.check4, IF(AND(_xlpm.val = "", DC$3="Required"), IF(OR('10 - Office Chairs'!DC$7 = "", '10 - Office Chairs'!DC$7 = "N/A"), "3:Battery Shipment - Value is required", ""), ""))))))))))))</f>
        <v/>
      </c>
      <c r="DD8" s="22">
        <f t="array" ref="DD8">_xlfn.MAP('10 - Office Chairs'!B8:B507, '10 - Office Chairs'!DD8:DD507, '10 - Office Chairs'!CY8:CY507, '10 - Office Chairs'!CZ8:CZ507,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IF(OR('10 - Office Chairs'!DD$7 = "", '10 - Office Chairs'!DD$7 = "N/A"), "3:Since Battery or Batteries Included equals 'Yes', this field is required", ""), ""), ""), IF(LEN(_xlpm.check5) &gt; 0, _xlpm.check5, IF(AND(_xlpm.val = "", DD$3="Required"), IF(OR('10 - Office Chairs'!DD$7 = "", '10 - Office Chairs'!DD$7 = "N/A"), "3:Lithium Content - Value is required", ""), ""))))))))))))))</f>
        <v/>
      </c>
      <c r="DE8" s="22">
        <f t="array" ref="DE8">_xlfn.MAP('10 - Office Chairs'!B8:B507, '10 - Office Chairs'!DE8:DE507, '10 - Office Chairs'!CY8:CY507, '10 - Office Chairs'!DA8:DA507, '10 - Office Chairs'!CZ8:CZ507, _xlfn.LAMBDA(_xlpm.part, _xlpm.val, _xlpm.dep1, _xlpm.dep2, _xlpm.dep3, IF(_xlpm.part = "", "",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IF(OR('10 - Office Chairs'!DE$7 = "", '10 - Office Chairs'!DE$7 = "N/A"), "3:Since Battery or Batteries Included equals 'Yes', this field is required", ""), ""), ""), IF(LEN(_xlpm.check7) &gt; 0, _xlpm.check7, IF(AND(_xlpm.val = "", DE$3="Required"), IF(OR('10 - Office Chairs'!DE$7 = "", '10 - Office Chairs'!DE$7 = "N/A"), "3:Watt Rating of Cells / Battery - Value is required", ""), ""))))))))))))))))))</f>
        <v/>
      </c>
      <c r="DF8" s="22">
        <f t="array" ref="DF8">_xlfn.MAP('10 - Office Chairs'!B8:B507, '10 - Office Chairs'!DF8:DF507, '10 - Office Chairs'!CY8:CY507, '10 - Office Chairs'!CZ8:CZ507,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IF(OR('10 - Office Chairs'!DF$7 = "", '10 - Office Chairs'!DF$7 = "N/A"), "3:Since Battery or Batteries Included equals 'Yes', this field is required", ""), ""), ""), IF(LEN(_xlpm.check4) &gt; 0, _xlpm.check4, IF(AND(_xlpm.val = "", DF$3="Required"), IF(OR('10 - Office Chairs'!DF$7 = "", '10 - Office Chairs'!DF$7 = "N/A"), "3:Weight of Cells / Battery - Value is required", ""), ""))))))))))))</f>
        <v/>
      </c>
      <c r="DG8" s="22">
        <f t="array" ref="DG8">_xlfn.MAP('10 - Office Chairs'!B8:B507, '10 - Office Chairs'!DG8:DG507, _xlfn.LAMBDA(_xlpm.part, _xlpm.val, IF(_xlpm.part = "", "", IF(AND(_xlpm.val = "", DG$3="Required"), IF(OR('10 - Office Chairs'!DG$7 = "", '10 - Office Chairs'!DG$7 = "N/A"), "3:Weight Capacity - Value is required", ""), ""))))</f>
        <v/>
      </c>
      <c r="DH8" s="22">
        <f t="array" ref="DH8">_xlfn.MAP('10 - Office Chairs'!B8:B507, '10 - Office Chairs'!DH8:DH507, '10 - Office Chairs'!CO8:CO507, _xlfn.LAMBDA(_xlpm.part, _xlpm.val, _xlpm.dep1, IF(_xlpm.part = "", "", _xlfn.LET(_xlpm.check1, IF(AND(_xlpm.val = "", _xlpm.dep1 = "No"), "2:Autofill", ""), IF(LEN(_xlpm.check1) &gt; 0, _xlpm.check1, IF(AND(_xlpm.val = "", DH$3="Required"), IF(OR('10 - Office Chairs'!DH$7 = "", '10 - Office Chairs'!DH$7 = "N/A"), "3:Adjustable Headrest - Value is required", ""), ""))))))</f>
        <v/>
      </c>
      <c r="DI8" s="22">
        <f t="array" ref="DI8">_xlfn.MAP('10 - Office Chairs'!B8:B507, '10 - Office Chairs'!DI8:DI507, '10 - Office Chairs'!CE8:CE507, _xlfn.LAMBDA(_xlpm.part, _xlpm.val, _xlpm.dep1, IF(_xlpm.part = "", "", _xlfn.LET(_xlpm.check1, IF(AND(_xlpm.val = "", _xlpm.dep1 = "No"), "2:Autofill", ""), IF(LEN(_xlpm.check1) &gt; 0, _xlpm.check1, _xlfn.LET(_xlpm.check2, IF(_xlpm.dep1 = "No", IF(_xlpm.val &lt;&gt; "No", "1:Based on Lumbar Support, value should be No", ""), ""), IF(LEN(_xlpm.check2) &gt; 0, _xlpm.check2, IF(AND(_xlpm.val = "", DI$3="Required"), IF(OR('10 - Office Chairs'!DI$7 = "", '10 - Office Chairs'!DI$7 = "N/A"), "3:Adjustable Lumbar Support - Value is required", ""), ""))))))))</f>
        <v/>
      </c>
      <c r="DJ8" s="22">
        <f t="array" ref="DJ8">_xlfn.MAP('10 - Office Chairs'!B8:B507, '10 - Office Chairs'!DJ8:DJ507, _xlfn.LAMBDA(_xlpm.part, _xlpm.val, IF(_xlpm.part = "", "", IF(AND(_xlpm.val = "", DJ$3="Required"), IF(OR('10 - Office Chairs'!DJ$7 = "", '10 - Office Chairs'!DJ$7 = "N/A"), "3:Product Care - Value is required", ""), ""))))</f>
        <v/>
      </c>
      <c r="DK8" s="22">
        <f t="array" ref="DK8">_xlfn.MAP('10 - Office Chairs'!B8:B507, '10 - Office Chairs'!DK8:DK507, _xlfn.LAMBDA(_xlpm.part, _xlpm.val, IF(_xlpm.part = "", "", IF(AND(_xlpm.val = "", DK$3="Required"), IF(OR('10 - Office Chairs'!DK$7 = "", '10 - Office Chairs'!DK$7 = "N/A"), "3:Seat Color - Value is required", ""), ""))))</f>
        <v/>
      </c>
      <c r="DL8" s="22">
        <f t="array" ref="DL8">_xlfn.MAP('10 - Office Chairs'!B8:B507, '10 - Office Chairs'!DL8:DL507, '10 - Office Chairs'!CB8:CB507, _xlfn.LAMBDA(_xlpm.part, _xlpm.val, _xlpm.dep1, IF(_xlpm.part = "", "", _xlfn.LET(_xlpm.check1, IF(AND(_xlpm.val = "", ISNUMBER(SEARCH("No", _xlpm.dep1))), "2:Autofill", ""), IF(LEN(_xlpm.check1) &gt; 0, _xlpm.check1, _xlfn.LET(_xlpm.check2, IF(ISNUMBER(SEARCH("No", _xlpm.dep1)), IF(_xlpm.val &lt;&gt; "Does Not Apply", "1:Based on Arms Included, value should be Does Not Apply", ""), ""), IF(LEN(_xlpm.check2) &gt; 0, _xlpm.check2, IF(AND(_xlpm.val = "", DL$3="Required"), IF(OR('10 - Office Chairs'!DL$7 = "", '10 - Office Chairs'!DL$7 = "N/A"), "3:Arm Material - Value is required", ""), ""))))))))</f>
        <v/>
      </c>
      <c r="DM8" s="22">
        <f t="array" ref="DM8">_xlfn.MAP('10 - Office Chairs'!B8:B507, '10 - Office Chairs'!DM8:DM507,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DM$3="Required"), IF(OR('10 - Office Chairs'!DM$7 = "", '10 - Office Chairs'!DM$7 = "N/A"), "3:Upholstery Fill Material - Value is required", ""), ""))))))))</f>
        <v/>
      </c>
      <c r="DN8" s="22">
        <f t="array" ref="DN8">_xlfn.MAP('10 - Office Chairs'!B8:B507, '10 - Office Chairs'!DN8:DN507, _xlfn.LAMBDA(_xlpm.part, _xlpm.val, IF(_xlpm.part = "", "", IF(AND(_xlpm.val = "", DN$3="Required"), IF(OR('10 - Office Chairs'!DN$7 = "", '10 - Office Chairs'!DN$7 = "N/A"), "3:Frame Color / Finish - Value is required", ""), ""))))</f>
        <v/>
      </c>
      <c r="DO8" s="22">
        <f t="array" ref="DO8">_xlfn.MAP('10 - Office Chairs'!B8:B507, '10 - Office Chairs'!DO8:DO507, _xlfn.LAMBDA(_xlpm.part, _xlpm.val, IF(_xlpm.part = "", "", IF(AND(_xlpm.val = "", DO$3="Required"), IF(OR('10 - Office Chairs'!DO$7 = "", '10 - Office Chairs'!DO$7 = "N/A"), "3:Plug-In - Value is required", ""), ""))))</f>
        <v/>
      </c>
      <c r="DP8" s="22">
        <f t="array" ref="DP8">_xlfn.MAP('10 - Office Chairs'!B8:B507, '10 - Office Chairs'!DP8:DP507, '10 - Office Chairs'!BR8:BR507, '10 - Office Chairs'!BP8:BP507, _xlfn.LAMBDA(_xlpm.part, _xlpm.val, _xlpm.dep1, _xlpm.dep2, IF(_xlpm.part = "", "", _xlfn.LET(_xlpm.check1, IF(AND(_xlpm.val = "", OR(AND(NOT(OR(ISNUMBER(SEARCH("Manufactured wood", _xlpm.dep1)), ISNUMBER(SEARCH("Solid + Manufactured Wood", _xlpm.dep1)), ISNUMBER(SEARCH("Solid Wood", _xlpm.dep1)))), _xlpm.dep1 &lt;&gt; ""), AND(NOT(ISNUMBER(SEARCH("Solid + Manufactured Wood", _xlpm.dep2))), _xlpm.dep2 &lt;&gt; ""))), "2:Autofill", ""), IF(LEN(_xlpm.check1) &gt; 0, _xlpm.check1, _xlfn.LET(_xlpm.check2, IF(NOT(ISBLANK(_xlpm.val)),_xlfn.LET(_xlpm.items, _xlfn.TEXTSPLIT(_xlpm.val, ";"),_xlpm.trimmed, _xlfn.MAP(_xlpm.items, _xlfn.LAMBDA(_xlpm.x, TRIM(_xlpm.x))),_xlpm.invalid, _xlfn._xlws.FILTER(_xlpm.trimmed, ISNA(MATCH(_xlpm.trimmed, allowed381928, 0)), ""),IF(AND(_xlpm.invalid&lt;&gt;"", COUNTA(_xlpm.invalid)&gt;0),"1:Please select valid values from the provided list. Answers are case-sensitive and must be separated by a semicolon.","")), ""), IF(LEN(_xlpm.check2) &gt; 0, _xlpm.check2, IF(AND(_xlpm.val = "", DP$3="Required"), IF(OR('10 - Office Chairs'!DP$7 = "", '10 - Office Chairs'!DP$7 = "N/A"), "3:Wood Species - Value is required", ""), ""))))))))</f>
        <v/>
      </c>
      <c r="DQ8" s="22">
        <f t="array" ref="DQ8">_xlfn.MAP('10 - Office Chairs'!B8:B507, '10 - Office Chairs'!DQ8:DQ507, _xlfn.LAMBDA(_xlpm.part, _xlpm.val, IF(_xlpm.part = "", "", IF(AND(_xlpm.val = "", DQ$3="Required"), IF(OR('10 - Office Chairs'!DQ$7 = "", '10 - Office Chairs'!DQ$7 = "N/A"), "3:Back Angle Adjustment - Value is required", ""), ""))))</f>
        <v/>
      </c>
      <c r="DR8" s="22">
        <f t="array" ref="DR8">_xlfn.MAP('10 - Office Chairs'!B8:B507, '10 - Office Chairs'!DR8:DR507, '10 - Office Chairs'!CQ8:CQ507, _xlfn.LAMBDA(_xlpm.part, _xlpm.val, _xlpm.dep1, IF(_xlpm.part = "", "", _xlfn.LET(_xlpm.check1, IF(AND(_xlpm.val = "", _xlpm.dep1 = "No"), "2:Autofill", ""), IF(LEN(_xlpm.check1) &gt; 0, _xlpm.check1, _xlfn.LET(_xlpm.check2, IF(_xlpm.dep1 = "No", IF(_xlpm.val &lt;&gt; "Does Not Apply", "1:Based on Casters / Wheels, value should be Does Not Apply", ""), ""), IF(LEN(_xlpm.check2) &gt; 0, _xlpm.check2, IF(AND(_xlpm.val = "", DR$3="Required"), IF(OR('10 - Office Chairs'!DR$7 = "", '10 - Office Chairs'!DR$7 = "N/A"), "3:Removable Wheels / Casters - Value is required", ""), ""))))))))</f>
        <v/>
      </c>
      <c r="DS8" s="22">
        <f t="array" ref="DS8">_xlfn.MAP('10 - Office Chairs'!B8:B507, '10 - Office Chairs'!DS8:DS507, '10 - Office Chairs'!CB8:CB507, _xlfn.LAMBDA(_xlpm.part, _xlpm.val, _xlpm.dep1, IF(_xlpm.part = "", "",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allowed20252, 0)), ""),IF(AND(_xlpm.invalid&lt;&gt;"", COUNTA(_xlpm.invalid)&gt;0),"1:Please select valid values from the provided list. Answers are case-sensitive and must be separated by a semicolon.","")), ""), IF(LEN(_xlpm.check2) &gt; 0, _xlpm.check2, IF(AND(_xlpm.val = "", DS$3="Required"), IF(OR('10 - Office Chairs'!DS$7 = "", '10 - Office Chairs'!DS$7 = "N/A"), "3:Arm Type - Value is required", ""), ""))))))))</f>
        <v/>
      </c>
      <c r="DT8" s="22">
        <f t="array" ref="DT8">_xlfn.MAP('10 - Office Chairs'!B8:B507, '10 - Office Chairs'!DT8:DT507, _xlfn.LAMBDA(_xlpm.part, _xlpm.val, IF(_xlpm.part = "", "", IF(AND(_xlpm.val = "", DT$3="Required"), IF(OR('10 - Office Chairs'!DT$7 = "", '10 - Office Chairs'!DT$7 = "N/A"), "3:Ribbed Detailing - Value is required", ""), ""))))</f>
        <v/>
      </c>
      <c r="DU8" s="22">
        <f t="array" ref="DU8">_xlfn.MAP('10 - Office Chairs'!B8:B507, '10 - Office Chairs'!DU8:DU507, _xlfn.LAMBDA(_xlpm.part, _xlpm.val, IF(_xlpm.part = "", "", _xlfn.LET(_xlpm.check1, IF(NOT(ISBLANK(_xlpm.val)),_xlfn.LET(_xlpm.items, _xlfn.TEXTSPLIT(_xlpm.val, ";"),_xlpm.trimmed, _xlfn.MAP(_xlpm.items, _xlfn.LAMBDA(_xlpm.x, TRIM(_xlpm.x))),_xlpm.invalid, _xlfn._xlws.FILTER(_xlpm.trimmed, ISNA(MATCH(_xlpm.trimmed, allowed400817, 0)), ""),IF(AND(_xlpm.invalid&lt;&gt;"", COUNTA(_xlpm.invalid)&gt;0),"1:Please select valid values from the provided list. Answers are case-sensitive and must be separated by a semicolon.","")), ""), IF(LEN(_xlpm.check1) &gt; 0, _xlpm.check1, IF(AND(_xlpm.val = "", DU$3="Required"), IF(OR('10 - Office Chairs'!DU$7 = "", '10 - Office Chairs'!DU$7 = "N/A"), "3:Durability - Value is required", ""), ""))))))</f>
        <v/>
      </c>
      <c r="DV8" s="22">
        <f t="array" ref="DV8">_xlfn.MAP('10 - Office Chairs'!B8:B507, '10 - Office Chairs'!DV8:DV507, _xlfn.LAMBDA(_xlpm.part, _xlpm.val, IF(_xlpm.part = "", "", IF(AND(_xlpm.val = "", DV$3="Required"), IF(OR('10 - Office Chairs'!DV$7 = "", '10 - Office Chairs'!DV$7 = "N/A"), "3:Tilt Mechanism Type - Value is required", ""), ""))))</f>
        <v/>
      </c>
      <c r="DW8" s="22">
        <f t="array" ref="DW8">_xlfn.MAP('10 - Office Chairs'!B8:B507, '10 - Office Chairs'!DW8:DW507, _xlfn.LAMBDA(_xlpm.part, _xlpm.val, IF(_xlpm.part = "", "", _xlfn.LET(_xlpm.check1, IF(NOT(ISBLANK(_xlpm.val)),_xlfn.LET(_xlpm.items, _xlfn.TEXTSPLIT(_xlpm.val, ";"),_xlpm.trimmed, _xlfn.MAP(_xlpm.items, _xlfn.LAMBDA(_xlpm.x, TRIM(_xlpm.x))),_xlpm.invalid, _xlfn._xlws.FILTER(_xlpm.trimmed, ISNA(MATCH(_xlpm.trimmed, allowed420140, 0)), ""),IF(AND(_xlpm.invalid&lt;&gt;"", COUNTA(_xlpm.invalid)&gt;0),"1:Please select valid values from the provided list. Answers are case-sensitive and must be separated by a semicolon.","")), ""), IF(LEN(_xlpm.check1) &gt; 0, _xlpm.check1, IF(AND(_xlpm.val = "", DW$3="Required"), IF(OR('10 - Office Chairs'!DW$7 = "", '10 - Office Chairs'!DW$7 = "N/A"), "3:Pieces Included - Value is required", ""), ""))))))</f>
        <v/>
      </c>
      <c r="DX8" s="22">
        <f t="array" ref="DX8">_xlfn.MAP('10 - Office Chairs'!B8:B507, '10 - Office Chairs'!DX8:DX507, _xlfn.LAMBDA(_xlpm.part, _xlpm.val, IF(_xlpm.part = "", "", IF(AND(_xlpm.val = "", DX$3="Required"), IF(OR('10 - Office Chairs'!DX$7 = "", '10 - Office Chairs'!DX$7 = "N/A"), "3:Rub Count - Value is required", ""), ""))))</f>
        <v/>
      </c>
      <c r="DY8" s="22">
        <f t="array" ref="DY8">_xlfn.MAP('10 - Office Chairs'!B8:B507, '10 - Office Chairs'!DY8:DY507, _xlfn.LAMBDA(_xlpm.part, _xlpm.val, IF(_xlpm.part = "", "", IF(AND(_xlpm.val = "", DY$3="Required"), IF(OR('10 - Office Chairs'!DY$7 = "", '10 - Office Chairs'!DY$7 = "N/A"), "3:CPSC - 16 CFR 1303 Compliant - Value is required", ""), ""))))</f>
        <v/>
      </c>
      <c r="DZ8" s="22">
        <f t="array" ref="DZ8">_xlfn.MAP('10 - Office Chairs'!B8:B507, '10 - Office Chairs'!DZ8:DZ507, _xlfn.LAMBDA(_xlpm.part, _xlpm.val, IF(_xlpm.part = "", "", IF(AND(_xlpm.val = "", DZ$3="Required"), IF(OR('10 - Office Chairs'!DZ$7 = "", '10 - Office Chairs'!DZ$7 = "N/A"), "3:Composite Wood Product (CWP) - Value is required", ""), ""))))</f>
        <v/>
      </c>
      <c r="EA8" s="22">
        <f t="array" ref="EA8">_xlfn.MAP('10 - Office Chairs'!B8:B507, '10 - Office Chairs'!EA8:EA507,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Chairs'!EA$7 = "", '10 - Office Chairs'!EA$7 = "N/A"), "3:Since Composite Wood Product (CWP) equals 'Yes', this field is required", ""), ""), ""), IF(LEN(_xlpm.check4) &gt; 0, _xlpm.check4, IF(AND(_xlpm.val = "", EA$3="Required"), IF(OR('10 - Office Chairs'!EA$7 = "", '10 - Office Chairs'!EA$7 = "N/A"), "3:CARB Phase II Compliant (formaldehyde emissions) - Value is required", ""), ""))))))))))))</f>
        <v/>
      </c>
      <c r="EB8" s="22">
        <f t="array" ref="EB8">_xlfn.MAP('10 - Office Chairs'!B8:B507, '10 - Office Chairs'!EB8:EB507,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Chairs'!EB$7 = "", '10 - Office Chairs'!EB$7 = "N/A"), "3:Since Composite Wood Product (CWP) equals 'Yes', this field is required", ""), ""), ""), IF(LEN(_xlpm.check4) &gt; 0, _xlpm.check4, IF(AND(_xlpm.val = "", EB$3="Required"), IF(OR('10 - Office Chairs'!EB$7 = "", '10 - Office Chairs'!EB$7 = "N/A"), "3:TSCA Title VI Compliant (formaldehyde emissions) - Value is required", ""), ""))))))))))))</f>
        <v/>
      </c>
      <c r="EC8" s="22">
        <f t="array" ref="EC8">_xlfn.MAP('10 - Office Chairs'!B8:B507, '10 - Office Chairs'!EC8:EC507,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Chairs'!EC$7 = "", '10 - Office Chairs'!EC$7 = "N/A"), "3:Since Composite Wood Product (CWP) equals 'Yes', this field is required", ""), ""), ""), IF(LEN(_xlpm.check4) &gt; 0, _xlpm.check4, IF(AND(_xlpm.val = "", EC$3="Required"), IF(OR('10 - Office Chairs'!EC$7 = "", '10 - Office Chairs'!EC$7 = "N/A"), "3:CANFER Compliant - Value is required", ""), ""))))))))))))</f>
        <v/>
      </c>
      <c r="ED8" s="22">
        <f t="array" ref="ED8">_xlfn.MAP('10 - Office Chairs'!B8:B507, '10 - Office Chairs'!ED8:ED507, _xlfn.LAMBDA(_xlpm.part, _xlpm.val, IF(_xlpm.part = "", "", IF(AND(_xlpm.val = "", ED$3="Required"), IF(OR('10 - Office Chairs'!ED$7 = "", '10 - Office Chairs'!ED$7 = "N/A"), "3:ADA Compliant - Value is required", ""), ""))))</f>
        <v/>
      </c>
      <c r="EE8" s="22">
        <f t="array" ref="EE8">_xlfn.MAP('10 - Office Chairs'!B8:B507, '10 - Office Chairs'!EE8:EE507, _xlfn.LAMBDA(_xlpm.part, _xlpm.val, IF(_xlpm.part = "", "", IF(AND(_xlpm.val = "", EE$3="Required"), IF(OR('10 - Office Chairs'!EE$7 = "", '10 - Office Chairs'!EE$7 = "N/A"), "3:Contains Flame Retardant Materials - Value is required", ""), ""))))</f>
        <v/>
      </c>
      <c r="EF8" s="22">
        <f t="array" ref="EF8">_xlfn.MAP('10 - Office Chairs'!B8:B507, '10 - Office Chairs'!EF8:EF507, '10 - Office Chairs'!BS8:BS507, _xlfn.LAMBDA(_xlpm.part, _xlpm.val, _xlpm.dep1, IF(_xlpm.part = "", "", _xlfn.LET(_xlpm.check1, IF(AND(_xlpm.val = "", OR(ISNUMBER(SEARCH("No", _xlpm.dep1)), AND(NOT(ISNUMBER(SEARCH("Yes", _xlpm.dep1))), _xlpm.dep1 &lt;&gt; ""))), "2:Autofill", ""), IF(LEN(_xlpm.check1) &gt; 0, _xlpm.check1, IF(AND(_xlpm.val = "", EF$3="Required"), IF(OR('10 - Office Chairs'!EF$7 = "", '10 - Office Chairs'!EF$7 = "N/A"), "3:CAL TB 116 Compliant - Value is required", ""), ""))))))</f>
        <v/>
      </c>
      <c r="EG8" s="22">
        <f t="array" ref="EG8">_xlfn.MAP('10 - Office Chairs'!B8:B507, '10 - Office Chairs'!EG8:EG507, '10 - Office Chairs'!BS8:BS507, _xlfn.LAMBDA(_xlpm.part, _xlpm.val, _xlpm.dep1, IF(_xlpm.part = "", "", _xlfn.LET(_xlpm.check1, IF(AND(_xlpm.val = "", ISNUMBER(SEARCH("No", _xlpm.dep1))), "2:Autofill", ""), IF(LEN(_xlpm.check1) &gt; 0, _xlpm.check1, IF(AND(_xlpm.val = "", EG$3="Required"), IF(OR('10 - Office Chairs'!EG$7 = "", '10 - Office Chairs'!EG$7 = "N/A"), "3:CAL TB 117-2013 Compliant - Value is required", ""), ""))))))</f>
        <v/>
      </c>
      <c r="EH8" s="22">
        <f t="array" ref="EH8">_xlfn.MAP('10 - Office Chairs'!B8:B507, '10 - Office Chairs'!EH8:EH507, _xlfn.LAMBDA(_xlpm.part, _xlpm.val, IF(_xlpm.part = "", "", IF(AND(_xlpm.val = "", EH$3="Required"), IF(OR('10 - Office Chairs'!EH$7 = "", '10 - Office Chairs'!EH$7 = "N/A"), "3:General Certificate of Conformity (GCC) - Value is required", ""), ""))))</f>
        <v/>
      </c>
      <c r="EI8" s="22">
        <f t="array" ref="EI8">_xlfn.MAP('10 - Office Chairs'!B8:B507, '10 - Office Chairs'!EI8:EI507, _xlfn.LAMBDA(_xlpm.part, _xlpm.val, IF(_xlpm.part = "", "", IF(AND(_xlpm.val = "", EI$3="Required"), IF(OR('10 - Office Chairs'!EI$7 = "", '10 - Office Chairs'!EI$7 = "N/A"), "3:Uniform Packaging and Labeling Regulations (UPLR) Compliant - Value is required", ""), ""))))</f>
        <v/>
      </c>
      <c r="EJ8" s="22">
        <f t="array" ref="EJ8">_xlfn.MAP('10 - Office Chairs'!B8:B507, '10 - Office Chairs'!EJ8:EJ507, _xlfn.LAMBDA(_xlpm.part, _xlpm.val, IF(_xlpm.part = "", "", IF(AND(_xlpm.val = "", EJ$3="Required"), IF(OR('10 - Office Chairs'!EJ$7 = "", '10 - Office Chairs'!EJ$7 = "N/A"), "3:Canada Product Restriction - Value is required", ""), ""))))</f>
        <v/>
      </c>
      <c r="EK8" s="22">
        <f t="array" ref="EK8">_xlfn.MAP('10 - Office Chairs'!B8:B507, '10 - Office Chairs'!EK8:EK507, '10 - Office Chairs'!EJ8:EJ507,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allowed251178, 0)), ""),IF(AND(_xlpm.invalid&lt;&gt;"", COUNTA(_xlpm.invalid)&gt;0),"1:Please select valid values from the provided list. Answers are case-sensitive and must be separated by a semicolon.","")), ""), IF(LEN(_xlpm.check3) &gt; 0, _xlpm.check3, _xlfn.LET(_xlpm.check4, IF(_xlpm.dep1 = "Yes", IF(_xlpm.val = "", IF(OR('10 - Office Chairs'!EK$7 = "", '10 - Office Chairs'!EK$7 = "N/A"), "3:Since Canada Product Restriction equals 'Yes', this field is required", ""), ""), ""), IF(LEN(_xlpm.check4) &gt; 0, _xlpm.check4, IF(AND(_xlpm.val = "", EK$3="Required"), IF(OR('10 - Office Chairs'!EK$7 = "", '10 - Office Chairs'!EK$7 = "N/A"), "3:Reason for Restriction - Value is required", ""), ""))))))))))))</f>
        <v/>
      </c>
      <c r="EL8" s="22">
        <f t="array" ref="EL8">_xlfn.MAP('10 - Office Chairs'!B8:B507, '10 - Office Chairs'!EL8:EL507, '10 - Office Chairs'!BP8:BP507, _xlfn.LAMBDA(_xlpm.part, _xlpm.val, _xlpm.dep1, IF(_xlpm.part = "", "", _xlfn.LET(_xlpm.check1, IF(AND(_xlpm.val = "", AND(NOT(OR(ISNUMBER(SEARCH("Kiln Dried Hardwood", _xlpm.dep1)), ISNUMBER(SEARCH("Plywood", _xlpm.dep1)), ISNUMBER(SEARCH("Particle Board", _xlpm.dep1)), ISNUMBER(SEARCH("Cardboard", _xlpm.dep1)), ISNUMBER(SEARCH("Cork", _xlpm.dep1)), ISNUMBER(SEARCH("Reclaimed Wood", _xlpm.dep1)))), _xlpm.dep1 &lt;&gt; "")), "2:Autofill", ""), IF(LEN(_xlpm.check1) &gt; 0, _xlpm.check1, _xlfn.LET(_xlpm.check2, IF(AND(NOT(OR(ISNUMBER(SEARCH("Kiln Dried Hardwood", _xlpm.dep1)), ISNUMBER(SEARCH("Plywood", _xlpm.dep1)), ISNUMBER(SEARCH("Particle Board", _xlpm.dep1)), ISNUMBER(SEARCH("Cardboard", _xlpm.dep1)), ISNUMBER(SEARCH("Cork", _xlpm.dep1)), ISNUMBER(SEARCH("Reclaimed Wood", _xlpm.dep1)))), _xlpm.dep1 &lt;&gt; ""), IF(_xlpm.val &lt;&gt; "Does Not Apply", "1:Based on Frame Material, value should be Does Not Apply", ""), ""), IF(LEN(_xlpm.check2) &gt; 0, _xlpm.check2, IF(AND(_xlpm.val = "", EL$3="Required"), IF(OR('10 - Office Chairs'!EL$7 = "", '10 - Office Chairs'!EL$7 = "N/A"), "3:Lacey Act Compliant - Value is required", ""), ""))))))))</f>
        <v/>
      </c>
      <c r="EM8" s="22">
        <f t="array" ref="EM8">_xlfn.MAP('10 - Office Chairs'!B8:B507, '10 - Office Chairs'!EM8:EM507,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EM$3="Required"), IF(OR('10 - Office Chairs'!EM$7 = "", '10 - Office Chairs'!EM$7 = "N/A"), "3:SOFFA Compliant - Value is required", ""), ""))))))))</f>
        <v/>
      </c>
      <c r="EN8" s="22">
        <f t="array" ref="EN8">_xlfn.MAP('10 - Office Chairs'!B8:B507, '10 - Office Chairs'!EN8:EN507, '10 - Office Chairs'!CZ8:CZ507,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EN$3="Required"), IF(OR('10 - Office Chairs'!EN$7 = "", '10 - Office Chairs'!EN$7 = "N/A"), "3:Hazardous Material / Dangerous Goods - Value is required", ""), ""))))))))))))</f>
        <v/>
      </c>
      <c r="EO8" s="22">
        <f t="array" ref="EO8">_xlfn.MAP('10 - Office Chairs'!B8:B507, '10 - Office Chairs'!EO8:EO507,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allowed373564, 0)), ""),IF(AND(_xlpm.invalid&lt;&gt;"", COUNTA(_xlpm.invalid)&gt;0),"1:Please select valid values from the provided list. Answers are case-sensitive and must be separated by a semicolon.","")), ""), IF(LEN(_xlpm.check3) &gt; 0, _xlpm.check3, _xlfn.LET(_xlpm.check4, IF(_xlpm.dep1 = "Yes", IF(_xlpm.val = "", IF(OR('10 - Office Chairs'!EO$7 = "", '10 - Office Chairs'!EO$7 = "N/A"), "3:Since Hazardous Material / Dangerous Goods equals 'Yes', this field is required", ""), ""), ""), IF(LEN(_xlpm.check4) &gt; 0, _xlpm.check4, IF(AND(_xlpm.val = "", EO$3="Required"), IF(OR('10 - Office Chairs'!EO$7 = "", '10 - Office Chairs'!EO$7 = "N/A"), "3:UN or ID number - Value is required", ""), ""))))))))))))</f>
        <v/>
      </c>
      <c r="EP8" s="22">
        <f t="array" ref="EP8">_xlfn.MAP('10 - Office Chairs'!B8:B507, '10 - Office Chairs'!EP8:EP507,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Chairs'!EP$7 = "", '10 - Office Chairs'!EP$7 = "N/A"), "3:Since Hazardous Material / Dangerous Goods equals 'Yes', this field is required", ""), ""), ""), IF(LEN(_xlpm.check3) &gt; 0, _xlpm.check3, IF(AND(_xlpm.val = "", EP$3="Required"), IF(OR('10 - Office Chairs'!EP$7 = "", '10 - Office Chairs'!EP$7 = "N/A"), "3:Hazard Class(es) - Value is required", ""), ""))))))))))</f>
        <v/>
      </c>
      <c r="EQ8" s="22">
        <f t="array" ref="EQ8">_xlfn.MAP('10 - Office Chairs'!B8:B507, '10 - Office Chairs'!EQ8:EQ507,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Chairs'!EQ$7 = "", '10 - Office Chairs'!EQ$7 = "N/A"), "3:Since Hazardous Material / Dangerous Goods equals 'Yes', this field is required", ""), ""), ""), IF(LEN(_xlpm.check3) &gt; 0, _xlpm.check3, IF(AND(_xlpm.val = "", EQ$3="Required"), IF(OR('10 - Office Chairs'!EQ$7 = "", '10 - Office Chairs'!EQ$7 = "N/A"), "3:Packing Group - Value is required", ""), ""))))))))))</f>
        <v/>
      </c>
      <c r="ER8" s="22">
        <f t="array" ref="ER8">_xlfn.MAP('10 - Office Chairs'!B8:B507, '10 - Office Chairs'!ER8:ER507,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Chairs'!ER$7 = "", '10 - Office Chairs'!ER$7 = "N/A"), "3:Since Hazardous Material / Dangerous Goods equals 'Yes', this field is required", ""), ""), ""), IF(LEN(_xlpm.check3) &gt; 0, _xlpm.check3, IF(AND(_xlpm.val = "", ER$3="Required"), IF(OR('10 - Office Chairs'!ER$7 = "", '10 - Office Chairs'!ER$7 = "N/A"), "3:Hazardous Material Weight - Value is required", ""), ""))))))))))</f>
        <v/>
      </c>
      <c r="ES8" s="22">
        <f t="array" ref="ES8">_xlfn.MAP('10 - Office Chairs'!B8:B507, '10 - Office Chairs'!ES8:ES507, _xlfn.LAMBDA(_xlpm.part, _xlpm.val, IF(_xlpm.part = "", "", IF(AND(_xlpm.val = "", ES$3="Required"), IF(OR('10 - Office Chairs'!ES$7 = "", '10 - Office Chairs'!ES$7 = "N/A"), "3:Energy Efficiency Regulations Compliant - Value is required", ""), ""))))</f>
        <v/>
      </c>
      <c r="ET8" s="22">
        <f t="array" ref="ET8">_xlfn.MAP('10 - Office Chairs'!B8:B507, '10 - Office Chairs'!ET8:ET507, _xlfn.LAMBDA(_xlpm.part, _xlpm.val, IF(_xlpm.part = "", "", IF(AND(_xlpm.val = "", ET$3="Required"), IF(OR('10 - Office Chairs'!ET$7 = "", '10 - Office Chairs'!ET$7 = "N/A"), "3:SOR/2016-193 - Surface Coating Materials Regulations - Value is required", ""), ""))))</f>
        <v/>
      </c>
      <c r="EU8" s="22">
        <f t="array" ref="EU8">_xlfn.MAP('10 - Office Chairs'!B8:B507, '10 - Office Chairs'!EU8:EU507, _xlfn.LAMBDA(_xlpm.part, _xlpm.val, IF(_xlpm.part = "", "", IF(AND(_xlpm.val = "", EU$3="Required"), IF(OR('10 - Office Chairs'!EU$7 = "", '10 - Office Chairs'!EU$7 = "N/A"), "3:ISTA Certified - Value is required", ""), ""))))</f>
        <v/>
      </c>
      <c r="EV8" s="22">
        <f t="array" ref="EV8">_xlfn.MAP('10 - Office Chairs'!B8:B507, '10 - Office Chairs'!EV8:EV507, '10 - Office Chairs'!BS8:BS507, _xlfn.LAMBDA(_xlpm.part, _xlpm.val, _xlpm.dep1, IF(_xlpm.part = "", "", _xlfn.LET(_xlpm.check1, IF(AND(_xlpm.val = "", AND(NOT(ISNUMBER(SEARCH("Yes", _xlpm.dep1))), _xlpm.dep1 &lt;&gt; "")), "2:Autofill", ""), IF(LEN(_xlpm.check1) &gt; 0, _xlpm.check1, _xlfn.LET(_xlpm.check2, IF(ISNUMBER(SEARCH("Yes", _xlpm.dep1)), IF(_xlpm.val = "Does Not Apply", "1:Based on Upholstered, value should not be Does Not Apply", ""), ""), IF(LEN(_xlpm.check2) &gt; 0, _xlpm.check2, IF(AND(_xlpm.val = "", EV$3="Required"), IF(OR('10 - Office Chairs'!EV$7 = "", '10 - Office Chairs'!EV$7 = "N/A"), "3:California AB-1817 Compliant (CA PFAS) - Value is required", ""), ""))))))))</f>
        <v/>
      </c>
      <c r="EW8" s="22">
        <f t="array" ref="EW8">_xlfn.MAP('10 - Office Chairs'!B8:B507, '10 - Office Chairs'!EW8:EW507, _xlfn.LAMBDA(_xlpm.part, _xlpm.val, IF(_xlpm.part = "", "", IF(AND(_xlpm.val = "", EW$3="Required"), IF(OR('10 - Office Chairs'!EW$7 = "", '10 - Office Chairs'!EW$7 = "N/A"), "3:Sustainability &amp; Social Responsibility Certifications (North America Only) - Value is required", ""), ""))))</f>
        <v/>
      </c>
      <c r="EX8" s="22">
        <f t="array" ref="EX8">_xlfn.MAP('10 - Office Chairs'!B8:B507, '10 - Office Chairs'!EX8:EX507, _xlfn.LAMBDA(_xlpm.part, _xlpm.val, IF(_xlpm.part = "", "", IF(AND(_xlpm.val = "", EX$3="Required"), IF(OR('10 - Office Chairs'!EX$7 = "", '10 - Office Chairs'!EX$7 = "N/A"), "3:Commercial Certifications - Value is required", ""), ""))))</f>
        <v/>
      </c>
      <c r="EY8" s="22">
        <f t="array" ref="EY8">_xlfn.MAP('10 - Office Chairs'!B8:B507, '10 - Office Chairs'!EY8:EY507, _xlfn.LAMBDA(_xlpm.part, _xlpm.val, IF(_xlpm.part = "", "", IF(AND(_xlpm.val = "", EY$3="Required"), IF(OR('10 - Office Chairs'!EY$7 = "", '10 - Office Chairs'!EY$7 = "N/A"), "3:Overall Height - Top to Bottom - Value is required", ""), ""))))</f>
        <v/>
      </c>
      <c r="EZ8" s="22">
        <f t="array" ref="EZ8">_xlfn.MAP('10 - Office Chairs'!B8:B507, '10 - Office Chairs'!EZ8:EZ507, _xlfn.LAMBDA(_xlpm.part, _xlpm.val, IF(_xlpm.part = "", "", _xlfn.LET(_xlpm.check1, IF(AND(NOT(ISBLANK(_xlpm.val)),OR(NOT(ISNUMBER(IFERROR(VALUE(_xlpm.val), ""))), IFERROR(VALUE(_xlpm.val), -1) &lt; 0)), "1:Overall Width - Side to Side - Value should be numeric", ""), IF(LEN(_xlpm.check1) &gt; 0, _xlpm.check1, IF(AND(_xlpm.val = "", EZ$3="Required"), IF(OR('10 - Office Chairs'!EZ$7 = "", '10 - Office Chairs'!EZ$7 = "N/A"), "3:Overall Width - Side to Side - Value is required", ""), ""))))))</f>
        <v/>
      </c>
      <c r="FA8" s="22">
        <f t="array" ref="FA8">_xlfn.MAP('10 - Office Chairs'!B8:B507, '10 - Office Chairs'!FA8:FA507, _xlfn.LAMBDA(_xlpm.part, _xlpm.val, IF(_xlpm.part = "", "", _xlfn.LET(_xlpm.check1, IF(AND(NOT(ISBLANK(_xlpm.val)),OR(NOT(ISNUMBER(IFERROR(VALUE(_xlpm.val), ""))), IFERROR(VALUE(_xlpm.val), -1) &lt; 0)), "1:Overall Depth - Front to Back - Value should be numeric", ""), IF(LEN(_xlpm.check1) &gt; 0, _xlpm.check1, IF(AND(_xlpm.val = "", FA$3="Required"), IF(OR('10 - Office Chairs'!FA$7 = "", '10 - Office Chairs'!FA$7 = "N/A"), "3:Overall Depth - Front to Back - Value is required", ""), ""))))))</f>
        <v/>
      </c>
      <c r="FB8" s="22">
        <f t="array" ref="FB8">_xlfn.MAP('10 - Office Chairs'!B8:B507, '10 - Office Chairs'!FB8:FB507, _xlfn.LAMBDA(_xlpm.part, _xlpm.val, IF(_xlpm.part = "", "", IF(AND(_xlpm.val = "", FB$3="Required"), IF(OR('10 - Office Chairs'!FB$7 = "", '10 - Office Chairs'!FB$7 = "N/A"), "3:Seat Height - Floor to Seat - Value is required", ""), ""))))</f>
        <v/>
      </c>
      <c r="FC8" s="22">
        <f t="array" ref="FC8">_xlfn.MAP('10 - Office Chairs'!B8:B507, '10 - Office Chairs'!FC8:FC507, _xlfn.LAMBDA(_xlpm.part, _xlpm.val, IF(_xlpm.part = "", "", IF(AND(_xlpm.val = "", FC$3="Required"), IF(OR('10 - Office Chairs'!FC$7 = "", '10 - Office Chairs'!FC$7 = "N/A"), "3:Seat Width - Side to Side - Value is required", ""), ""))))</f>
        <v/>
      </c>
      <c r="FD8" s="22">
        <f t="array" ref="FD8">_xlfn.MAP('10 - Office Chairs'!B8:B507, '10 - Office Chairs'!FD8:FD507, _xlfn.LAMBDA(_xlpm.part, _xlpm.val, IF(_xlpm.part = "", "", IF(AND(_xlpm.val = "", FD$3="Required"), IF(OR('10 - Office Chairs'!FD$7 = "", '10 - Office Chairs'!FD$7 = "N/A"), "3:Seat Depth - Front to Back - Value is required", ""), ""))))</f>
        <v/>
      </c>
      <c r="FE8" s="22">
        <f t="array" ref="FE8">_xlfn.MAP('10 - Office Chairs'!B8:B507, '10 - Office Chairs'!FE8:FE507, '10 - Office Chairs'!CJ8:CJ507, _xlfn.LAMBDA(_xlpm.part, _xlpm.val, _xlpm.dep1, IF(_xlpm.part = "", "", _xlfn.LET(_xlpm.check1, IF(AND(_xlpm.val = "", _xlpm.dep1 = "No"), "2:Autofill", ""), IF(LEN(_xlpm.check1) &gt; 0, _xlpm.check1, _xlfn.LET(_xlpm.check2, IF(_xlpm.dep1 = "No", IF(_xlpm.val &lt;&gt; "Does Not Apply", "1:Based on Adjustable Height, value should be Does Not Apply", ""), ""), IF(LEN(_xlpm.check2) &gt; 0, _xlpm.check2, IF(AND(_xlpm.val = "", FE$3="Required"), IF(OR('10 - Office Chairs'!FE$7 = "", '10 - Office Chairs'!FE$7 = "N/A"), "3:Minimum Seat Height - Floor to Seat - Value is required", ""), ""))))))))</f>
        <v/>
      </c>
      <c r="FF8" s="22">
        <f t="array" ref="FF8">_xlfn.MAP('10 - Office Chairs'!B8:B507, '10 - Office Chairs'!FF8:FF507, '10 - Office Chairs'!CJ8:CJ507, _xlfn.LAMBDA(_xlpm.part, _xlpm.val, _xlpm.dep1, IF(_xlpm.part = "", "", _xlfn.LET(_xlpm.check1, IF(AND(_xlpm.val = "", _xlpm.dep1 = "No"), "2:Autofill", ""), IF(LEN(_xlpm.check1) &gt; 0, _xlpm.check1, _xlfn.LET(_xlpm.check2, IF(_xlpm.dep1 = "No", IF(_xlpm.val &lt;&gt; "Does Not Apply", "1:Based on Adjustable Height, value should be Does Not Apply", ""), ""), IF(LEN(_xlpm.check2) &gt; 0, _xlpm.check2, IF(AND(_xlpm.val = "", FF$3="Required"), IF(OR('10 - Office Chairs'!FF$7 = "", '10 - Office Chairs'!FF$7 = "N/A"), "3:Maximum Seat Height - Floor to Seat - Value is required", ""), ""))))))))</f>
        <v/>
      </c>
      <c r="FG8" s="22">
        <f t="array" ref="FG8">_xlfn.MAP('10 - Office Chairs'!B8:B507, '10 - Office Chairs'!FG8:FG507, _xlfn.LAMBDA(_xlpm.part, _xlpm.val, IF(_xlpm.part = "", "", IF(AND(_xlpm.val = "", FG$3="Required"), IF(OR('10 - Office Chairs'!FG$7 = "", '10 - Office Chairs'!FG$7 = "N/A"), "3:Seat Cushion Thickness - Value is required", ""), ""))))</f>
        <v/>
      </c>
      <c r="FH8" s="22">
        <f t="array" ref="FH8">_xlfn.MAP('10 - Office Chairs'!B8:B507, '10 - Office Chairs'!FH8:FH507, '10 - Office Chairs'!BV8:BV507, _xlfn.LAMBDA(_xlpm.part, _xlpm.val, _xlpm.dep1, IF(_xlpm.part = "", "", _xlfn.LET(_xlpm.check1, IF(AND(_xlpm.val = "", ISNUMBER(SEARCH("Yes", _xlpm.dep1))), "2:Autofill", ""), IF(LEN(_xlpm.check1) &gt; 0, _xlpm.check1, _xlfn.LET(_xlpm.check2, IF(ISNUMBER(SEARCH("Yes", _xlpm.dep1)), IF(_xlpm.val &lt;&gt; "Does Not Apply", "1:Based on Adjustable Backrest-Height, value should be Does Not Apply", ""), ""), IF(LEN(_xlpm.check2) &gt; 0, _xlpm.check2, IF(AND(_xlpm.val = "", FH$3="Required"), IF(OR('10 - Office Chairs'!FH$7 = "", '10 - Office Chairs'!FH$7 = "N/A"), "3:Chair Back Height - Seat to Top of Back - Value is required", ""), ""))))))))</f>
        <v/>
      </c>
      <c r="FI8" s="22">
        <f t="array" ref="FI8">_xlfn.MAP('10 - Office Chairs'!B8:B507, '10 - Office Chairs'!FI8:FI507, _xlfn.LAMBDA(_xlpm.part, _xlpm.val, IF(_xlpm.part = "", "", IF(AND(_xlpm.val = "", FI$3="Required"), IF(OR('10 - Office Chairs'!FI$7 = "", '10 - Office Chairs'!FI$7 = "N/A"), "3:Overall Product Weight - Value is required", ""), ""))))</f>
        <v/>
      </c>
      <c r="FJ8" s="22">
        <f t="array" ref="FJ8">_xlfn.MAP('10 - Office Chairs'!B8:B507, '10 - Office Chairs'!FJ8:FJ507, _xlfn.LAMBDA(_xlpm.part, _xlpm.val, IF(_xlpm.part = "", "", IF(AND(_xlpm.val = "", FJ$3="Required"), IF(OR('10 - Office Chairs'!FJ$7 = "", '10 - Office Chairs'!FJ$7 = "N/A"), "3:Assembly Required - Value is required", ""), ""))))</f>
        <v/>
      </c>
      <c r="FK8" s="22">
        <f t="array" ref="FK8">_xlfn.MAP('10 - Office Chairs'!B8:B507, '10 - Office Chairs'!FK8:FK507, '10 - Office Chairs'!FJ8:FJ507,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FK$3="Required"), IF(OR('10 - Office Chairs'!FK$7 = "", '10 - Office Chairs'!FK$7 = "N/A"), "3:Level of Assembly - Value is required", ""), ""))))))))</f>
        <v/>
      </c>
      <c r="FL8" s="22">
        <f t="array" ref="FL8">_xlfn.MAP('10 - Office Chairs'!B8:B507, '10 - Office Chairs'!FL8:FL507, '10 - Office Chairs'!FJ8:FJ507,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allowed258418,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FL$3="Required"), IF(OR('10 - Office Chairs'!FL$7 = "", '10 - Office Chairs'!FL$7 = "N/A"), "3:Additional Tools Required (Not Included) - Value is required", ""), ""))))))))))</f>
        <v/>
      </c>
      <c r="FM8" s="22">
        <f t="array" ref="FM8">_xlfn.MAP('10 - Office Chairs'!B8:B507, '10 - Office Chairs'!FM8:FM507, _xlfn.LAMBDA(_xlpm.part, _xlpm.val, IF(_xlpm.part = "", "", IF(AND(_xlpm.val = "", FM$3="Required"), IF(OR('10 - Office Chairs'!FM$7 = "", '10 - Office Chairs'!FM$7 = "N/A"), "3:Commercial Warranty - Value is required", ""), ""))))</f>
        <v/>
      </c>
      <c r="FN8" s="22">
        <f t="array" ref="FN8">_xlfn.MAP('10 - Office Chairs'!B8:B507, '10 - Office Chairs'!FN8:FN507, '10 - Office Chairs'!FM8:FM507,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IF(OR('10 - Office Chairs'!FN$7 = "", '10 - Office Chairs'!FN$7 = "N/A"), "3:Since Commercial Warranty equals 'Yes', this field is required", ""), ""), ""), IF(LEN(_xlpm.check3) &gt; 0, _xlpm.check3, IF(AND(_xlpm.val = "", FN$3="Required"), IF(OR('10 - Office Chairs'!FN$7 = "", '10 - Office Chairs'!FN$7 = "N/A"), "3:Commercial Warranty Length - Value is required", ""), ""))))))))))</f>
        <v/>
      </c>
      <c r="FO8" s="22">
        <f t="array" ref="FO8">_xlfn.MAP('10 - Office Chairs'!B8:B507, '10 - Office Chairs'!FO8:FO507, _xlfn.LAMBDA(_xlpm.part, _xlpm.val, IF(_xlpm.part = "", "", IF(AND(_xlpm.val = "", FO$3="Required"), IF(OR('10 - Office Chairs'!FO$7 = "", '10 - Office Chairs'!FO$7 = "N/A"), "3:Product Warranty - Value is required", ""), ""))))</f>
        <v/>
      </c>
      <c r="FP8" s="22">
        <f t="array" ref="FP8">_xlfn.MAP('10 - Office Chairs'!B8:B507, '10 - Office Chairs'!FP8:FP507, _xlfn.LAMBDA(_xlpm.part, _xlpm.val, IF(_xlpm.part = "", "", IF(AND(_xlpm.val = "", FP$3="Required"), IF(OR('10 - Office Chairs'!FP$7 = "", '10 - Office Chairs'!FP$7 = "N/A"), "3:Full or Limited Warranty - Value is required", ""), ""))))</f>
        <v/>
      </c>
    </row>
  </sheetData>
  <sheetProtection selectLockedCells="0" selectUnlockedCells="0" sheet="1" objects="1" insertRows="1" insertHyperlinks="1" autoFilter="1" scenarios="1" formatColumns="1" deleteColumns="1" insertColumns="1" pivotTables="1" deleteRows="1" formatCells="1" formatRows="1" sort="1" password="ACD2"/>
  <mergeCells count="9">
    <mergeCell ref="AL2:AO2"/>
    <mergeCell ref="AP2:AS2"/>
    <mergeCell ref="U2:Z2"/>
    <mergeCell ref="BO2:FP2"/>
    <mergeCell ref="R2:T2"/>
    <mergeCell ref="B2:I2"/>
    <mergeCell ref="AA2:AK2"/>
    <mergeCell ref="AT2:BN2"/>
    <mergeCell ref="J2:Q2"/>
  </mergeCells>
  <dataValidations count="166">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FP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f t="array" ref="A8">_xlfn.BYROW(B8:FQ507, _xlfn.LAMBDA(_xlpm.r, _xlfn.LET(_xlpm.high_priority_idx, IFERROR(MATCH(TRUE, (_xlpm.r = "Error") + (_xlpm.r = "Required") &gt; 0, 0), 0), IF(_xlpm.high_priority_idx &gt; 0, _xlpm.high_priority_idx + 1, IFERROR(MATCH(1, (_xlpm.r = "Warning") * 1, 0) + 1, "")))))</f>
        <v/>
      </c>
      <c r="B8" s="22">
        <f t="array" ref="B8">_xlfn.MAP('10 - Office Chairs'!B8:B507, '10 - Office Chairs'!B8:B507, '10 - Office Chairs-WUO_ERR'!B8:B507, _xlfn.LAMBDA(_xlpm.part, _xlpm.val, _xlpm.error, IF(_xlpm.part = "", "", IF(LEN(_xlpm.error), _xlfn.SWITCH(IFERROR(_xlfn.TEXTBEFORE(_xlpm.error,":"), ""), "1", "Error", "2", "Disabled", "3", "Required", "4", "Warning", "Valid"), "Valid"))))</f>
        <v/>
      </c>
      <c r="C8" s="22">
        <f t="array" ref="C8">_xlfn.MAP('10 - Office Chairs'!B8:B507, '10 - Office Chairs'!C8:C507, '10 - Office Chairs-WUO_ERR'!C8:C507, _xlfn.LAMBDA(_xlpm.part, _xlpm.val, _xlpm.error, IF(_xlpm.part = "", "", IF(LEN(_xlpm.error), _xlfn.SWITCH(IFERROR(_xlfn.TEXTBEFORE(_xlpm.error,":"), ""), "1", "Error", "2", "Disabled", "3", "Required", "4", "Warning", "Valid"), "Valid"))))</f>
        <v/>
      </c>
      <c r="D8" s="22">
        <f t="array" ref="D8">_xlfn.MAP('10 - Office Chairs'!B8:B507, '10 - Office Chairs'!D8:D507, '10 - Office Chairs-WUO_ERR'!D8:D507, _xlfn.LAMBDA(_xlpm.part, _xlpm.val, _xlpm.error, IF(_xlpm.part = "", "", IF(LEN(_xlpm.error), _xlfn.SWITCH(IFERROR(_xlfn.TEXTBEFORE(_xlpm.error,":"), ""), "1", "Error", "2", "Disabled", "3", "Required", "4", "Warning", "Valid"), "Valid"))))</f>
        <v/>
      </c>
      <c r="E8" s="22">
        <f t="array" ref="E8">_xlfn.MAP('10 - Office Chairs'!B8:B507, '10 - Office Chairs'!E8:E507, '10 - Office Chairs-WUO_ERR'!E8:E507, _xlfn.LAMBDA(_xlpm.part, _xlpm.val, _xlpm.error, IF(_xlpm.part = "", "", IF(LEN(_xlpm.error), _xlfn.SWITCH(IFERROR(_xlfn.TEXTBEFORE(_xlpm.error,":"), ""), "1", "Error", "2", "Disabled", "3", "Required", "4", "Warning", "Valid"), "Valid"))))</f>
        <v/>
      </c>
      <c r="F8" s="22">
        <f t="array" ref="F8">_xlfn.MAP('10 - Office Chairs'!B8:B507, '10 - Office Chairs'!F8:F507, '10 - Office Chairs-WUO_ERR'!F8:F507, _xlfn.LAMBDA(_xlpm.part, _xlpm.val, _xlpm.error, IF(_xlpm.part = "", "", IF(LEN(_xlpm.error), _xlfn.SWITCH(IFERROR(_xlfn.TEXTBEFORE(_xlpm.error,":"), ""), "1", "Error", "2", "Disabled", "3", "Required", "4", "Warning", "Valid"), "Valid"))))</f>
        <v/>
      </c>
      <c r="G8" s="22">
        <f t="array" ref="G8">_xlfn.MAP('10 - Office Chairs'!B8:B507, '10 - Office Chairs'!G8:G507, '10 - Office Chairs-WUO_ERR'!G8:G507, _xlfn.LAMBDA(_xlpm.part, _xlpm.val, _xlpm.error, IF(_xlpm.part = "", "", IF(LEN(_xlpm.error), _xlfn.SWITCH(IFERROR(_xlfn.TEXTBEFORE(_xlpm.error,":"), ""), "1", "Error", "2", "Disabled", "3", "Required", "4", "Warning", "Valid"), "Valid"))))</f>
        <v/>
      </c>
      <c r="H8" s="22">
        <f t="array" ref="H8">_xlfn.MAP('10 - Office Chairs'!B8:B507, '10 - Office Chairs'!H8:H507, '10 - Office Chairs-WUO_ERR'!H8:H507, _xlfn.LAMBDA(_xlpm.part, _xlpm.val, _xlpm.error, IF(_xlpm.part = "", "", IF(LEN(_xlpm.error), _xlfn.SWITCH(IFERROR(_xlfn.TEXTBEFORE(_xlpm.error,":"), ""), "1", "Error", "2", "Disabled", "3", "Required", "4", "Warning", "Valid"), "Valid"))))</f>
        <v/>
      </c>
      <c r="I8" s="22">
        <f t="array" ref="I8">_xlfn.MAP('10 - Office Chairs'!B8:B507, '10 - Office Chairs'!I8:I507, '10 - Office Chairs-WUO_ERR'!I8:I507, _xlfn.LAMBDA(_xlpm.part, _xlpm.val, _xlpm.error, IF(_xlpm.part = "", "", IF(LEN(_xlpm.error), _xlfn.SWITCH(IFERROR(_xlfn.TEXTBEFORE(_xlpm.error,":"), ""), "1", "Error", "2", "Disabled", "3", "Required", "4", "Warning", "Valid"), "Valid"))))</f>
        <v/>
      </c>
      <c r="J8" s="22">
        <f t="array" ref="J8">_xlfn.MAP('10 - Office Chairs'!B8:B507, '10 - Office Chairs'!J8:J507, '10 - Office Chairs-WUO_ERR'!J8:J507, _xlfn.LAMBDA(_xlpm.part, _xlpm.val, _xlpm.error, IF(_xlpm.part = "", "", IF(LEN(_xlpm.error), _xlfn.SWITCH(IFERROR(_xlfn.TEXTBEFORE(_xlpm.error,":"), ""), "1", "Error", "2", "Disabled", "3", "Required", "4", "Warning", "Valid"), "Valid"))))</f>
        <v/>
      </c>
      <c r="K8" s="22">
        <f t="array" ref="K8">_xlfn.MAP('10 - Office Chairs'!B8:B507, '10 - Office Chairs'!K8:K507, '10 - Office Chairs-WUO_ERR'!K8:K507, _xlfn.LAMBDA(_xlpm.part, _xlpm.val, _xlpm.error, IF(_xlpm.part = "", "", IF(LEN(_xlpm.error), _xlfn.SWITCH(IFERROR(_xlfn.TEXTBEFORE(_xlpm.error,":"), ""), "1", "Error", "2", "Disabled", "3", "Required", "4", "Warning", "Valid"), "Valid"))))</f>
        <v/>
      </c>
      <c r="L8" s="22">
        <f t="array" ref="L8">_xlfn.MAP('10 - Office Chairs'!B8:B507, '10 - Office Chairs'!L8:L507, '10 - Office Chairs-WUO_ERR'!L8:L507, _xlfn.LAMBDA(_xlpm.part, _xlpm.val, _xlpm.error, IF(_xlpm.part = "", "", IF(LEN(_xlpm.error), _xlfn.SWITCH(IFERROR(_xlfn.TEXTBEFORE(_xlpm.error,":"), ""), "1", "Error", "2", "Disabled", "3", "Required", "4", "Warning", "Valid"), "Valid"))))</f>
        <v/>
      </c>
      <c r="M8" s="22">
        <f t="array" ref="M8">_xlfn.MAP('10 - Office Chairs'!B8:B507, '10 - Office Chairs'!M8:M507, '10 - Office Chairs-WUO_ERR'!M8:M507, _xlfn.LAMBDA(_xlpm.part, _xlpm.val, _xlpm.error, IF(_xlpm.part = "", "", IF(LEN(_xlpm.error), _xlfn.SWITCH(IFERROR(_xlfn.TEXTBEFORE(_xlpm.error,":"), ""), "1", "Error", "2", "Disabled", "3", "Required", "4", "Warning", "Valid"), "Valid"))))</f>
        <v/>
      </c>
      <c r="N8" s="22">
        <f t="array" ref="N8">_xlfn.MAP('10 - Office Chairs'!B8:B507, '10 - Office Chairs'!N8:N507, '10 - Office Chairs-WUO_ERR'!N8:N507, _xlfn.LAMBDA(_xlpm.part, _xlpm.val, _xlpm.error, IF(_xlpm.part = "", "", IF(LEN(_xlpm.error), _xlfn.SWITCH(IFERROR(_xlfn.TEXTBEFORE(_xlpm.error,":"), ""), "1", "Error", "2", "Disabled", "3", "Required", "4", "Warning", "Valid"), "Valid"))))</f>
        <v/>
      </c>
      <c r="O8" s="22">
        <f t="array" ref="O8">_xlfn.MAP('10 - Office Chairs'!B8:B507, '10 - Office Chairs'!O8:O507, '10 - Office Chairs-WUO_ERR'!O8:O507, _xlfn.LAMBDA(_xlpm.part, _xlpm.val, _xlpm.error, IF(_xlpm.part = "", "", IF(LEN(_xlpm.error), _xlfn.SWITCH(IFERROR(_xlfn.TEXTBEFORE(_xlpm.error,":"), ""), "1", "Error", "2", "Disabled", "3", "Required", "4", "Warning", "Valid"), "Valid"))))</f>
        <v/>
      </c>
      <c r="P8" s="22">
        <f t="array" ref="P8">_xlfn.MAP('10 - Office Chairs'!B8:B507, '10 - Office Chairs'!P8:P507, '10 - Office Chairs-WUO_ERR'!P8:P507, _xlfn.LAMBDA(_xlpm.part, _xlpm.val, _xlpm.error, IF(_xlpm.part = "", "", IF(LEN(_xlpm.error), _xlfn.SWITCH(IFERROR(_xlfn.TEXTBEFORE(_xlpm.error,":"), ""), "1", "Error", "2", "Disabled", "3", "Required", "4", "Warning", "Valid"), "Valid"))))</f>
        <v/>
      </c>
      <c r="Q8" s="22">
        <f t="array" ref="Q8">_xlfn.MAP('10 - Office Chairs'!B8:B507, '10 - Office Chairs'!Q8:Q507, '10 - Office Chairs-WUO_ERR'!Q8:Q507, _xlfn.LAMBDA(_xlpm.part, _xlpm.val, _xlpm.error, IF(_xlpm.part = "", "", IF(LEN(_xlpm.error), _xlfn.SWITCH(IFERROR(_xlfn.TEXTBEFORE(_xlpm.error,":"), ""), "1", "Error", "2", "Disabled", "3", "Required", "4", "Warning", "Valid"), "Valid"))))</f>
        <v/>
      </c>
      <c r="R8" s="22">
        <f t="array" ref="R8">_xlfn.MAP('10 - Office Chairs'!B8:B507, '10 - Office Chairs'!R8:R507, '10 - Office Chairs-WUO_ERR'!R8:R507, _xlfn.LAMBDA(_xlpm.part, _xlpm.val, _xlpm.error, IF(_xlpm.part = "", "", IF(LEN(_xlpm.error), _xlfn.SWITCH(IFERROR(_xlfn.TEXTBEFORE(_xlpm.error,":"), ""), "1", "Error", "2", "Disabled", "3", "Required", "4", "Warning", "Valid"), "Valid"))))</f>
        <v/>
      </c>
      <c r="S8" s="22">
        <f t="array" ref="S8">_xlfn.MAP('10 - Office Chairs'!B8:B507, '10 - Office Chairs'!S8:S507, '10 - Office Chairs-WUO_ERR'!S8:S507, _xlfn.LAMBDA(_xlpm.part, _xlpm.val, _xlpm.error, IF(_xlpm.part = "", "", IF(LEN(_xlpm.error), _xlfn.SWITCH(IFERROR(_xlfn.TEXTBEFORE(_xlpm.error,":"), ""), "1", "Error", "2", "Disabled", "3", "Required", "4", "Warning", "Valid"), "Valid"))))</f>
        <v/>
      </c>
      <c r="T8" s="22">
        <f t="array" ref="T8">_xlfn.MAP('10 - Office Chairs'!B8:B507, '10 - Office Chairs'!T8:T507, '10 - Office Chairs-WUO_ERR'!T8:T507, _xlfn.LAMBDA(_xlpm.part, _xlpm.val, _xlpm.error, IF(_xlpm.part = "", "", IF(LEN(_xlpm.error), _xlfn.SWITCH(IFERROR(_xlfn.TEXTBEFORE(_xlpm.error,":"), ""), "1", "Error", "2", "Disabled", "3", "Required", "4", "Warning", "Valid"), "Valid"))))</f>
        <v/>
      </c>
      <c r="U8" s="22">
        <f t="array" ref="U8">_xlfn.MAP('10 - Office Chairs'!B8:B507, '10 - Office Chairs'!U8:U507, '10 - Office Chairs-WUO_ERR'!U8:U507, _xlfn.LAMBDA(_xlpm.part, _xlpm.val, _xlpm.error, IF(_xlpm.part = "", "", IF(LEN(_xlpm.error), _xlfn.SWITCH(IFERROR(_xlfn.TEXTBEFORE(_xlpm.error,":"), ""), "1", "Error", "2", "Disabled", "3", "Required", "4", "Warning", "Valid"), "Valid"))))</f>
        <v/>
      </c>
      <c r="V8" s="22">
        <f t="array" ref="V8">_xlfn.MAP('10 - Office Chairs'!B8:B507, '10 - Office Chairs'!V8:V507, '10 - Office Chairs-WUO_ERR'!V8:V507, _xlfn.LAMBDA(_xlpm.part, _xlpm.val, _xlpm.error, IF(_xlpm.part = "", "", IF(LEN(_xlpm.error), _xlfn.SWITCH(IFERROR(_xlfn.TEXTBEFORE(_xlpm.error,":"), ""), "1", "Error", "2", "Disabled", "3", "Required", "4", "Warning", "Valid"), "Valid"))))</f>
        <v/>
      </c>
      <c r="W8" s="22">
        <f t="array" ref="W8">_xlfn.MAP('10 - Office Chairs'!B8:B507, '10 - Office Chairs'!W8:W507, '10 - Office Chairs-WUO_ERR'!W8:W507, _xlfn.LAMBDA(_xlpm.part, _xlpm.val, _xlpm.error, IF(_xlpm.part = "", "", IF(LEN(_xlpm.error), _xlfn.SWITCH(IFERROR(_xlfn.TEXTBEFORE(_xlpm.error,":"), ""), "1", "Error", "2", "Disabled", "3", "Required", "4", "Warning", "Valid"), "Valid"))))</f>
        <v/>
      </c>
      <c r="X8" s="22">
        <f t="array" ref="X8">_xlfn.MAP('10 - Office Chairs'!B8:B507, '10 - Office Chairs'!X8:X507, '10 - Office Chairs-WUO_ERR'!X8:X507, _xlfn.LAMBDA(_xlpm.part, _xlpm.val, _xlpm.error, IF(_xlpm.part = "", "", IF(LEN(_xlpm.error), _xlfn.SWITCH(IFERROR(_xlfn.TEXTBEFORE(_xlpm.error,":"), ""), "1", "Error", "2", "Disabled", "3", "Required", "4", "Warning", "Valid"), "Valid"))))</f>
        <v/>
      </c>
      <c r="Y8" s="22">
        <f t="array" ref="Y8">_xlfn.MAP('10 - Office Chairs'!B8:B507, '10 - Office Chairs'!Y8:Y507, '10 - Office Chairs-WUO_ERR'!Y8:Y507, _xlfn.LAMBDA(_xlpm.part, _xlpm.val, _xlpm.error, IF(_xlpm.part = "", "", IF(LEN(_xlpm.error), _xlfn.SWITCH(IFERROR(_xlfn.TEXTBEFORE(_xlpm.error,":"), ""), "1", "Error", "2", "Disabled", "3", "Required", "4", "Warning", "Valid"), "Valid"))))</f>
        <v/>
      </c>
      <c r="Z8" s="22">
        <f t="array" ref="Z8">_xlfn.MAP('10 - Office Chairs'!B8:B507, '10 - Office Chairs'!Z8:Z507, '10 - Office Chairs-WUO_ERR'!Z8:Z507, _xlfn.LAMBDA(_xlpm.part, _xlpm.val, _xlpm.error, IF(_xlpm.part = "", "", IF(LEN(_xlpm.error), _xlfn.SWITCH(IFERROR(_xlfn.TEXTBEFORE(_xlpm.error,":"), ""), "1", "Error", "2", "Disabled", "3", "Required", "4", "Warning", "Valid"), "Valid"))))</f>
        <v/>
      </c>
      <c r="AA8" s="22">
        <f t="array" ref="AA8">_xlfn.MAP('10 - Office Chairs'!B8:B507, '10 - Office Chairs'!AA8:AA507, '10 - Office Chairs-WUO_ERR'!AA8:AA507, _xlfn.LAMBDA(_xlpm.part, _xlpm.val, _xlpm.error, IF(_xlpm.part = "", "", IF(LEN(_xlpm.error), _xlfn.SWITCH(IFERROR(_xlfn.TEXTBEFORE(_xlpm.error,":"), ""), "1", "Error", "2", "Disabled", "3", "Required", "4", "Warning", "Valid"), "Valid"))))</f>
        <v/>
      </c>
      <c r="AB8" s="22">
        <f t="array" ref="AB8">_xlfn.MAP('10 - Office Chairs'!B8:B507, '10 - Office Chairs'!AB8:AB507, '10 - Office Chairs-WUO_ERR'!AB8:AB507, _xlfn.LAMBDA(_xlpm.part, _xlpm.val, _xlpm.error, IF(_xlpm.part = "", "", IF(LEN(_xlpm.error), _xlfn.SWITCH(IFERROR(_xlfn.TEXTBEFORE(_xlpm.error,":"), ""), "1", "Error", "2", "Disabled", "3", "Required", "4", "Warning", "Valid"), "Valid"))))</f>
        <v/>
      </c>
      <c r="AC8" s="22">
        <f t="array" ref="AC8">_xlfn.MAP('10 - Office Chairs'!B8:B507, '10 - Office Chairs'!AC8:AC507, '10 - Office Chairs-WUO_ERR'!AC8:AC507, _xlfn.LAMBDA(_xlpm.part, _xlpm.val, _xlpm.error, IF(_xlpm.part = "", "", IF(LEN(_xlpm.error), _xlfn.SWITCH(IFERROR(_xlfn.TEXTBEFORE(_xlpm.error,":"), ""), "1", "Error", "2", "Disabled", "3", "Required", "4", "Warning", "Valid"), "Valid"))))</f>
        <v/>
      </c>
      <c r="AD8" s="22">
        <f t="array" ref="AD8">_xlfn.MAP('10 - Office Chairs'!B8:B507, '10 - Office Chairs'!AD8:AD507, '10 - Office Chairs-WUO_ERR'!AD8:AD507, _xlfn.LAMBDA(_xlpm.part, _xlpm.val, _xlpm.error, IF(_xlpm.part = "", "", IF(LEN(_xlpm.error), _xlfn.SWITCH(IFERROR(_xlfn.TEXTBEFORE(_xlpm.error,":"), ""), "1", "Error", "2", "Disabled", "3", "Required", "4", "Warning", "Valid"), "Valid"))))</f>
        <v/>
      </c>
      <c r="AE8" s="22">
        <f t="array" ref="AE8">_xlfn.MAP('10 - Office Chairs'!B8:B507, '10 - Office Chairs'!AE8:AE507, '10 - Office Chairs-WUO_ERR'!AE8:AE507, _xlfn.LAMBDA(_xlpm.part, _xlpm.val, _xlpm.error, IF(_xlpm.part = "", "", IF(LEN(_xlpm.error), _xlfn.SWITCH(IFERROR(_xlfn.TEXTBEFORE(_xlpm.error,":"), ""), "1", "Error", "2", "Disabled", "3", "Required", "4", "Warning", "Valid"), "Valid"))))</f>
        <v/>
      </c>
      <c r="AF8" s="22">
        <f t="array" ref="AF8">_xlfn.MAP('10 - Office Chairs'!B8:B507, '10 - Office Chairs'!AF8:AF507, '10 - Office Chairs-WUO_ERR'!AF8:AF507, _xlfn.LAMBDA(_xlpm.part, _xlpm.val, _xlpm.error, IF(_xlpm.part = "", "", IF(LEN(_xlpm.error), _xlfn.SWITCH(IFERROR(_xlfn.TEXTBEFORE(_xlpm.error,":"), ""), "1", "Error", "2", "Disabled", "3", "Required", "4", "Warning", "Valid"), "Valid"))))</f>
        <v/>
      </c>
      <c r="AG8" s="22">
        <f t="array" ref="AG8">_xlfn.MAP('10 - Office Chairs'!B8:B507, '10 - Office Chairs'!AG8:AG507, '10 - Office Chairs-WUO_ERR'!AG8:AG507, _xlfn.LAMBDA(_xlpm.part, _xlpm.val, _xlpm.error, IF(_xlpm.part = "", "", IF(LEN(_xlpm.error), _xlfn.SWITCH(IFERROR(_xlfn.TEXTBEFORE(_xlpm.error,":"), ""), "1", "Error", "2", "Disabled", "3", "Required", "4", "Warning", "Valid"), "Valid"))))</f>
        <v/>
      </c>
      <c r="AH8" s="22">
        <f t="array" ref="AH8">_xlfn.MAP('10 - Office Chairs'!B8:B507, '10 - Office Chairs'!AH8:AH507, '10 - Office Chairs-WUO_ERR'!AH8:AH507, _xlfn.LAMBDA(_xlpm.part, _xlpm.val, _xlpm.error, IF(_xlpm.part = "", "", IF(LEN(_xlpm.error), _xlfn.SWITCH(IFERROR(_xlfn.TEXTBEFORE(_xlpm.error,":"), ""), "1", "Error", "2", "Disabled", "3", "Required", "4", "Warning", "Valid"), "Valid"))))</f>
        <v/>
      </c>
      <c r="AI8" s="22">
        <f t="array" ref="AI8">_xlfn.MAP('10 - Office Chairs'!B8:B507, '10 - Office Chairs'!AI8:AI507, '10 - Office Chairs-WUO_ERR'!AI8:AI507, _xlfn.LAMBDA(_xlpm.part, _xlpm.val, _xlpm.error, IF(_xlpm.part = "", "", IF(LEN(_xlpm.error), _xlfn.SWITCH(IFERROR(_xlfn.TEXTBEFORE(_xlpm.error,":"), ""), "1", "Error", "2", "Disabled", "3", "Required", "4", "Warning", "Valid"), "Valid"))))</f>
        <v/>
      </c>
      <c r="AJ8" s="22">
        <f t="array" ref="AJ8">_xlfn.MAP('10 - Office Chairs'!B8:B507, '10 - Office Chairs'!AJ8:AJ507, '10 - Office Chairs-WUO_ERR'!AJ8:AJ507, _xlfn.LAMBDA(_xlpm.part, _xlpm.val, _xlpm.error, IF(_xlpm.part = "", "", IF(LEN(_xlpm.error), _xlfn.SWITCH(IFERROR(_xlfn.TEXTBEFORE(_xlpm.error,":"), ""), "1", "Error", "2", "Disabled", "3", "Required", "4", "Warning", "Valid"), "Valid"))))</f>
        <v/>
      </c>
      <c r="AK8" s="22">
        <f t="array" ref="AK8">_xlfn.MAP('10 - Office Chairs'!B8:B507, '10 - Office Chairs'!AK8:AK507, '10 - Office Chairs-WUO_ERR'!AK8:AK507, _xlfn.LAMBDA(_xlpm.part, _xlpm.val, _xlpm.error, IF(_xlpm.part = "", "", IF(LEN(_xlpm.error), _xlfn.SWITCH(IFERROR(_xlfn.TEXTBEFORE(_xlpm.error,":"), ""), "1", "Error", "2", "Disabled", "3", "Required", "4", "Warning", "Valid"), "Valid"))))</f>
        <v/>
      </c>
      <c r="AL8" s="22">
        <f t="array" ref="AL8">_xlfn.MAP('10 - Office Chairs'!B8:B507, '10 - Office Chairs'!AL8:AL507, '10 - Office Chairs-WUO_ERR'!AL8:AL507, _xlfn.LAMBDA(_xlpm.part, _xlpm.val, _xlpm.error, IF(_xlpm.part = "", "", IF(LEN(_xlpm.error), _xlfn.SWITCH(IFERROR(_xlfn.TEXTBEFORE(_xlpm.error,":"), ""), "1", "Error", "2", "Disabled", "3", "Required", "4", "Warning", "Valid"), "Valid"))))</f>
        <v/>
      </c>
      <c r="AM8" s="22">
        <f t="array" ref="AM8">_xlfn.MAP('10 - Office Chairs'!B8:B507, '10 - Office Chairs'!AM8:AM507, '10 - Office Chairs-WUO_ERR'!AM8:AM507, _xlfn.LAMBDA(_xlpm.part, _xlpm.val, _xlpm.error, IF(_xlpm.part = "", "", IF(LEN(_xlpm.error), _xlfn.SWITCH(IFERROR(_xlfn.TEXTBEFORE(_xlpm.error,":"), ""), "1", "Error", "2", "Disabled", "3", "Required", "4", "Warning", "Valid"), "Valid"))))</f>
        <v/>
      </c>
      <c r="AN8" s="22">
        <f t="array" ref="AN8">_xlfn.MAP('10 - Office Chairs'!B8:B507, '10 - Office Chairs'!AN8:AN507, '10 - Office Chairs-WUO_ERR'!AN8:AN507, _xlfn.LAMBDA(_xlpm.part, _xlpm.val, _xlpm.error, IF(_xlpm.part = "", "", IF(LEN(_xlpm.error), _xlfn.SWITCH(IFERROR(_xlfn.TEXTBEFORE(_xlpm.error,":"), ""), "1", "Error", "2", "Disabled", "3", "Required", "4", "Warning", "Valid"), "Valid"))))</f>
        <v/>
      </c>
      <c r="AO8" s="22">
        <f t="array" ref="AO8">_xlfn.MAP('10 - Office Chairs'!B8:B507, '10 - Office Chairs'!AO8:AO507, '10 - Office Chairs-WUO_ERR'!AO8:AO507, _xlfn.LAMBDA(_xlpm.part, _xlpm.val, _xlpm.error, IF(_xlpm.part = "", "", IF(LEN(_xlpm.error), _xlfn.SWITCH(IFERROR(_xlfn.TEXTBEFORE(_xlpm.error,":"), ""), "1", "Error", "2", "Disabled", "3", "Required", "4", "Warning", "Valid"), "Valid"))))</f>
        <v/>
      </c>
      <c r="AP8" s="22">
        <f t="array" ref="AP8">_xlfn.MAP('10 - Office Chairs'!B8:B507, '10 - Office Chairs'!AP8:AP507, '10 - Office Chairs-WUO_ERR'!AP8:AP507, _xlfn.LAMBDA(_xlpm.part, _xlpm.val, _xlpm.error, IF(_xlpm.part = "", "", IF(LEN(_xlpm.error), _xlfn.SWITCH(IFERROR(_xlfn.TEXTBEFORE(_xlpm.error,":"), ""), "1", "Error", "2", "Disabled", "3", "Required", "4", "Warning", "Valid"), "Valid"))))</f>
        <v/>
      </c>
      <c r="AQ8" s="22">
        <f t="array" ref="AQ8">_xlfn.MAP('10 - Office Chairs'!B8:B507, '10 - Office Chairs'!AQ8:AQ507, '10 - Office Chairs-WUO_ERR'!AQ8:AQ507, _xlfn.LAMBDA(_xlpm.part, _xlpm.val, _xlpm.error, IF(_xlpm.part = "", "", IF(LEN(_xlpm.error), _xlfn.SWITCH(IFERROR(_xlfn.TEXTBEFORE(_xlpm.error,":"), ""), "1", "Error", "2", "Disabled", "3", "Required", "4", "Warning", "Valid"), "Valid"))))</f>
        <v/>
      </c>
      <c r="AR8" s="22">
        <f t="array" ref="AR8">_xlfn.MAP('10 - Office Chairs'!B8:B507, '10 - Office Chairs'!AR8:AR507, '10 - Office Chairs-WUO_ERR'!AR8:AR507, _xlfn.LAMBDA(_xlpm.part, _xlpm.val, _xlpm.error, IF(_xlpm.part = "", "", IF(LEN(_xlpm.error), _xlfn.SWITCH(IFERROR(_xlfn.TEXTBEFORE(_xlpm.error,":"), ""), "1", "Error", "2", "Disabled", "3", "Required", "4", "Warning", "Valid"), "Valid"))))</f>
        <v/>
      </c>
      <c r="AS8" s="22">
        <f t="array" ref="AS8">_xlfn.MAP('10 - Office Chairs'!B8:B507, '10 - Office Chairs'!AS8:AS507, '10 - Office Chairs-WUO_ERR'!AS8:AS507, _xlfn.LAMBDA(_xlpm.part, _xlpm.val, _xlpm.error, IF(_xlpm.part = "", "", IF(LEN(_xlpm.error), _xlfn.SWITCH(IFERROR(_xlfn.TEXTBEFORE(_xlpm.error,":"), ""), "1", "Error", "2", "Disabled", "3", "Required", "4", "Warning", "Valid"), "Valid"))))</f>
        <v/>
      </c>
      <c r="AT8" s="22">
        <f t="array" ref="AT8">_xlfn.MAP('10 - Office Chairs'!B8:B507, '10 - Office Chairs'!AT8:AT507, '10 - Office Chairs-WUO_ERR'!AT8:AT507, _xlfn.LAMBDA(_xlpm.part, _xlpm.val, _xlpm.error, IF(_xlpm.part = "", "", IF(LEN(_xlpm.error), _xlfn.SWITCH(IFERROR(_xlfn.TEXTBEFORE(_xlpm.error,":"), ""), "1", "Error", "2", "Disabled", "3", "Required", "4", "Warning", "Valid"), "Valid"))))</f>
        <v/>
      </c>
      <c r="AU8" s="22">
        <f t="array" ref="AU8">_xlfn.MAP('10 - Office Chairs'!B8:B507, '10 - Office Chairs'!AU8:AU507, '10 - Office Chairs-WUO_ERR'!AU8:AU507, _xlfn.LAMBDA(_xlpm.part, _xlpm.val, _xlpm.error, IF(_xlpm.part = "", "", IF(LEN(_xlpm.error), _xlfn.SWITCH(IFERROR(_xlfn.TEXTBEFORE(_xlpm.error,":"), ""), "1", "Error", "2", "Disabled", "3", "Required", "4", "Warning", "Valid"), "Valid"))))</f>
        <v/>
      </c>
      <c r="AV8" s="22">
        <f t="array" ref="AV8">_xlfn.MAP('10 - Office Chairs'!B8:B507, '10 - Office Chairs'!AV8:AV507, '10 - Office Chairs-WUO_ERR'!AV8:AV507, _xlfn.LAMBDA(_xlpm.part, _xlpm.val, _xlpm.error, IF(_xlpm.part = "", "", IF(LEN(_xlpm.error), _xlfn.SWITCH(IFERROR(_xlfn.TEXTBEFORE(_xlpm.error,":"), ""), "1", "Error", "2", "Disabled", "3", "Required", "4", "Warning", "Valid"), "Valid"))))</f>
        <v/>
      </c>
      <c r="AW8" s="22">
        <f t="array" ref="AW8">_xlfn.MAP('10 - Office Chairs'!B8:B507, '10 - Office Chairs'!AW8:AW507, '10 - Office Chairs-WUO_ERR'!AW8:AW507, _xlfn.LAMBDA(_xlpm.part, _xlpm.val, _xlpm.error, IF(_xlpm.part = "", "", IF(LEN(_xlpm.error), _xlfn.SWITCH(IFERROR(_xlfn.TEXTBEFORE(_xlpm.error,":"), ""), "1", "Error", "2", "Disabled", "3", "Required", "4", "Warning", "Valid"), "Valid"))))</f>
        <v/>
      </c>
      <c r="AX8" s="22">
        <f t="array" ref="AX8">_xlfn.MAP('10 - Office Chairs'!B8:B507, '10 - Office Chairs'!AX8:AX507, '10 - Office Chairs-WUO_ERR'!AX8:AX507, _xlfn.LAMBDA(_xlpm.part, _xlpm.val, _xlpm.error, IF(_xlpm.part = "", "", IF(LEN(_xlpm.error), _xlfn.SWITCH(IFERROR(_xlfn.TEXTBEFORE(_xlpm.error,":"), ""), "1", "Error", "2", "Disabled", "3", "Required", "4", "Warning", "Valid"), "Valid"))))</f>
        <v/>
      </c>
      <c r="AY8" s="22">
        <f t="array" ref="AY8">_xlfn.MAP('10 - Office Chairs'!B8:B507, '10 - Office Chairs'!AY8:AY507, '10 - Office Chairs-WUO_ERR'!AY8:AY507, _xlfn.LAMBDA(_xlpm.part, _xlpm.val, _xlpm.error, IF(_xlpm.part = "", "", IF(LEN(_xlpm.error), _xlfn.SWITCH(IFERROR(_xlfn.TEXTBEFORE(_xlpm.error,":"), ""), "1", "Error", "2", "Disabled", "3", "Required", "4", "Warning", "Valid"), "Valid"))))</f>
        <v/>
      </c>
      <c r="AZ8" s="22">
        <f t="array" ref="AZ8">_xlfn.MAP('10 - Office Chairs'!B8:B507, '10 - Office Chairs'!AZ8:AZ507, '10 - Office Chairs-WUO_ERR'!AZ8:AZ507, _xlfn.LAMBDA(_xlpm.part, _xlpm.val, _xlpm.error, IF(_xlpm.part = "", "", IF(LEN(_xlpm.error), _xlfn.SWITCH(IFERROR(_xlfn.TEXTBEFORE(_xlpm.error,":"), ""), "1", "Error", "2", "Disabled", "3", "Required", "4", "Warning", "Valid"), "Valid"))))</f>
        <v/>
      </c>
      <c r="BA8" s="22">
        <f t="array" ref="BA8">_xlfn.MAP('10 - Office Chairs'!B8:B507, '10 - Office Chairs'!BA8:BA507, '10 - Office Chairs-WUO_ERR'!BA8:BA507, _xlfn.LAMBDA(_xlpm.part, _xlpm.val, _xlpm.error, IF(_xlpm.part = "", "", IF(LEN(_xlpm.error), _xlfn.SWITCH(IFERROR(_xlfn.TEXTBEFORE(_xlpm.error,":"), ""), "1", "Error", "2", "Disabled", "3", "Required", "4", "Warning", "Valid"), "Valid"))))</f>
        <v/>
      </c>
      <c r="BB8" s="22">
        <f t="array" ref="BB8">_xlfn.MAP('10 - Office Chairs'!B8:B507, '10 - Office Chairs'!BB8:BB507, '10 - Office Chairs-WUO_ERR'!BB8:BB507, _xlfn.LAMBDA(_xlpm.part, _xlpm.val, _xlpm.error, IF(_xlpm.part = "", "", IF(LEN(_xlpm.error), _xlfn.SWITCH(IFERROR(_xlfn.TEXTBEFORE(_xlpm.error,":"), ""), "1", "Error", "2", "Disabled", "3", "Required", "4", "Warning", "Valid"), "Valid"))))</f>
        <v/>
      </c>
      <c r="BC8" s="22">
        <f t="array" ref="BC8">_xlfn.MAP('10 - Office Chairs'!B8:B507, '10 - Office Chairs'!BC8:BC507, '10 - Office Chairs-WUO_ERR'!BC8:BC507, _xlfn.LAMBDA(_xlpm.part, _xlpm.val, _xlpm.error, IF(_xlpm.part = "", "", IF(LEN(_xlpm.error), _xlfn.SWITCH(IFERROR(_xlfn.TEXTBEFORE(_xlpm.error,":"), ""), "1", "Error", "2", "Disabled", "3", "Required", "4", "Warning", "Valid"), "Valid"))))</f>
        <v/>
      </c>
      <c r="BD8" s="22">
        <f t="array" ref="BD8">_xlfn.MAP('10 - Office Chairs'!B8:B507, '10 - Office Chairs'!BD8:BD507, '10 - Office Chairs-WUO_ERR'!BD8:BD507, _xlfn.LAMBDA(_xlpm.part, _xlpm.val, _xlpm.error, IF(_xlpm.part = "", "", IF(LEN(_xlpm.error), _xlfn.SWITCH(IFERROR(_xlfn.TEXTBEFORE(_xlpm.error,":"), ""), "1", "Error", "2", "Disabled", "3", "Required", "4", "Warning", "Valid"), "Valid"))))</f>
        <v/>
      </c>
      <c r="BE8" s="22">
        <f t="array" ref="BE8">_xlfn.MAP('10 - Office Chairs'!B8:B507, '10 - Office Chairs'!BE8:BE507, '10 - Office Chairs-WUO_ERR'!BE8:BE507, _xlfn.LAMBDA(_xlpm.part, _xlpm.val, _xlpm.error, IF(_xlpm.part = "", "", IF(LEN(_xlpm.error), _xlfn.SWITCH(IFERROR(_xlfn.TEXTBEFORE(_xlpm.error,":"), ""), "1", "Error", "2", "Disabled", "3", "Required", "4", "Warning", "Valid"), "Valid"))))</f>
        <v/>
      </c>
      <c r="BF8" s="22">
        <f t="array" ref="BF8">_xlfn.MAP('10 - Office Chairs'!B8:B507, '10 - Office Chairs'!BF8:BF507, '10 - Office Chairs-WUO_ERR'!BF8:BF507, _xlfn.LAMBDA(_xlpm.part, _xlpm.val, _xlpm.error, IF(_xlpm.part = "", "", IF(LEN(_xlpm.error), _xlfn.SWITCH(IFERROR(_xlfn.TEXTBEFORE(_xlpm.error,":"), ""), "1", "Error", "2", "Disabled", "3", "Required", "4", "Warning", "Valid"), "Valid"))))</f>
        <v/>
      </c>
      <c r="BG8" s="22">
        <f t="array" ref="BG8">_xlfn.MAP('10 - Office Chairs'!B8:B507, '10 - Office Chairs'!BG8:BG507, '10 - Office Chairs-WUO_ERR'!BG8:BG507, _xlfn.LAMBDA(_xlpm.part, _xlpm.val, _xlpm.error, IF(_xlpm.part = "", "", IF(LEN(_xlpm.error), _xlfn.SWITCH(IFERROR(_xlfn.TEXTBEFORE(_xlpm.error,":"), ""), "1", "Error", "2", "Disabled", "3", "Required", "4", "Warning", "Valid"), "Valid"))))</f>
        <v/>
      </c>
      <c r="BH8" s="22">
        <f t="array" ref="BH8">_xlfn.MAP('10 - Office Chairs'!B8:B507, '10 - Office Chairs'!BH8:BH507, '10 - Office Chairs-WUO_ERR'!BH8:BH507, _xlfn.LAMBDA(_xlpm.part, _xlpm.val, _xlpm.error, IF(_xlpm.part = "", "", IF(LEN(_xlpm.error), _xlfn.SWITCH(IFERROR(_xlfn.TEXTBEFORE(_xlpm.error,":"), ""), "1", "Error", "2", "Disabled", "3", "Required", "4", "Warning", "Valid"), "Valid"))))</f>
        <v/>
      </c>
      <c r="BI8" s="22">
        <f t="array" ref="BI8">_xlfn.MAP('10 - Office Chairs'!B8:B507, '10 - Office Chairs'!BI8:BI507, '10 - Office Chairs-WUO_ERR'!BI8:BI507, _xlfn.LAMBDA(_xlpm.part, _xlpm.val, _xlpm.error, IF(_xlpm.part = "", "", IF(LEN(_xlpm.error), _xlfn.SWITCH(IFERROR(_xlfn.TEXTBEFORE(_xlpm.error,":"), ""), "1", "Error", "2", "Disabled", "3", "Required", "4", "Warning", "Valid"), "Valid"))))</f>
        <v/>
      </c>
      <c r="BJ8" s="22">
        <f t="array" ref="BJ8">_xlfn.MAP('10 - Office Chairs'!B8:B507, '10 - Office Chairs'!BJ8:BJ507, '10 - Office Chairs-WUO_ERR'!BJ8:BJ507, _xlfn.LAMBDA(_xlpm.part, _xlpm.val, _xlpm.error, IF(_xlpm.part = "", "", IF(LEN(_xlpm.error), _xlfn.SWITCH(IFERROR(_xlfn.TEXTBEFORE(_xlpm.error,":"), ""), "1", "Error", "2", "Disabled", "3", "Required", "4", "Warning", "Valid"), "Valid"))))</f>
        <v/>
      </c>
      <c r="BK8" s="22">
        <f t="array" ref="BK8">_xlfn.MAP('10 - Office Chairs'!B8:B507, '10 - Office Chairs'!BK8:BK507, '10 - Office Chairs-WUO_ERR'!BK8:BK507, _xlfn.LAMBDA(_xlpm.part, _xlpm.val, _xlpm.error, IF(_xlpm.part = "", "", IF(LEN(_xlpm.error), _xlfn.SWITCH(IFERROR(_xlfn.TEXTBEFORE(_xlpm.error,":"), ""), "1", "Error", "2", "Disabled", "3", "Required", "4", "Warning", "Valid"), "Valid"))))</f>
        <v/>
      </c>
      <c r="BL8" s="22">
        <f t="array" ref="BL8">_xlfn.MAP('10 - Office Chairs'!B8:B507, '10 - Office Chairs'!BL8:BL507, '10 - Office Chairs-WUO_ERR'!BL8:BL507, _xlfn.LAMBDA(_xlpm.part, _xlpm.val, _xlpm.error, IF(_xlpm.part = "", "", IF(LEN(_xlpm.error), _xlfn.SWITCH(IFERROR(_xlfn.TEXTBEFORE(_xlpm.error,":"), ""), "1", "Error", "2", "Disabled", "3", "Required", "4", "Warning", "Valid"), "Valid"))))</f>
        <v/>
      </c>
      <c r="BM8" s="22">
        <f t="array" ref="BM8">_xlfn.MAP('10 - Office Chairs'!B8:B507, '10 - Office Chairs'!BM8:BM507, '10 - Office Chairs-WUO_ERR'!BM8:BM507, _xlfn.LAMBDA(_xlpm.part, _xlpm.val, _xlpm.error, IF(_xlpm.part = "", "", IF(LEN(_xlpm.error), _xlfn.SWITCH(IFERROR(_xlfn.TEXTBEFORE(_xlpm.error,":"), ""), "1", "Error", "2", "Disabled", "3", "Required", "4", "Warning", "Valid"), "Valid"))))</f>
        <v/>
      </c>
      <c r="BN8" s="22">
        <f t="array" ref="BN8">_xlfn.MAP('10 - Office Chairs'!B8:B507, '10 - Office Chairs'!BN8:BN507, '10 - Office Chairs-WUO_ERR'!BN8:BN507, _xlfn.LAMBDA(_xlpm.part, _xlpm.val, _xlpm.error, IF(_xlpm.part = "", "", IF(LEN(_xlpm.error), _xlfn.SWITCH(IFERROR(_xlfn.TEXTBEFORE(_xlpm.error,":"), ""), "1", "Error", "2", "Disabled", "3", "Required", "4", "Warning", "Valid"), "Valid"))))</f>
        <v/>
      </c>
      <c r="BO8" s="22">
        <f t="array" ref="BO8">_xlfn.MAP('10 - Office Chairs'!B8:B507, '10 - Office Chairs'!BO8:BO507, '10 - Office Chairs-WUO_ERR'!BO8:BO507, _xlfn.LAMBDA(_xlpm.part, _xlpm.val, _xlpm.error, IF(_xlpm.part = "", "", IF(LEN(_xlpm.error), _xlfn.SWITCH(IFERROR(_xlfn.TEXTBEFORE(_xlpm.error,":"), ""), "1", "Error", "2", "Disabled", "3", "Required", "4", "Warning", "Valid"), "Valid"))))</f>
        <v/>
      </c>
      <c r="BP8" s="22">
        <f t="array" ref="BP8">_xlfn.MAP('10 - Office Chairs'!B8:B507, '10 - Office Chairs'!BP8:BP507, '10 - Office Chairs-WUO_ERR'!BP8:BP507, _xlfn.LAMBDA(_xlpm.part, _xlpm.val, _xlpm.error, IF(_xlpm.part = "", "", IF(LEN(_xlpm.error), _xlfn.SWITCH(IFERROR(_xlfn.TEXTBEFORE(_xlpm.error,":"), ""), "1", "Error", "2", "Disabled", "3", "Required", "4", "Warning", "Valid"), "Valid"))))</f>
        <v/>
      </c>
      <c r="BQ8" s="22">
        <f t="array" ref="BQ8">_xlfn.MAP('10 - Office Chairs'!B8:B507, '10 - Office Chairs'!BQ8:BQ507, '10 - Office Chairs-WUO_ERR'!BQ8:BQ507, _xlfn.LAMBDA(_xlpm.part, _xlpm.val, _xlpm.error, IF(_xlpm.part = "", "", IF(LEN(_xlpm.error), _xlfn.SWITCH(IFERROR(_xlfn.TEXTBEFORE(_xlpm.error,":"), ""), "1", "Error", "2", "Disabled", "3", "Required", "4", "Warning", "Valid"), "Valid"))))</f>
        <v/>
      </c>
      <c r="BR8" s="22">
        <f t="array" ref="BR8">_xlfn.MAP('10 - Office Chairs'!B8:B507, '10 - Office Chairs'!BR8:BR507, '10 - Office Chairs-WUO_ERR'!BR8:BR507, _xlfn.LAMBDA(_xlpm.part, _xlpm.val, _xlpm.error, IF(_xlpm.part = "", "", IF(LEN(_xlpm.error), _xlfn.SWITCH(IFERROR(_xlfn.TEXTBEFORE(_xlpm.error,":"), ""), "1", "Error", "2", "Disabled", "3", "Required", "4", "Warning", "Valid"), "Valid"))))</f>
        <v/>
      </c>
      <c r="BS8" s="22">
        <f t="array" ref="BS8">_xlfn.MAP('10 - Office Chairs'!B8:B507, '10 - Office Chairs'!BS8:BS507, '10 - Office Chairs-WUO_ERR'!BS8:BS507, _xlfn.LAMBDA(_xlpm.part, _xlpm.val, _xlpm.error, IF(_xlpm.part = "", "", IF(LEN(_xlpm.error), _xlfn.SWITCH(IFERROR(_xlfn.TEXTBEFORE(_xlpm.error,":"), ""), "1", "Error", "2", "Disabled", "3", "Required", "4", "Warning", "Valid"), "Valid"))))</f>
        <v/>
      </c>
      <c r="BT8" s="22">
        <f t="array" ref="BT8">_xlfn.MAP('10 - Office Chairs'!B8:B507, '10 - Office Chairs'!BT8:BT507, '10 - Office Chairs-WUO_ERR'!BT8:BT507, _xlfn.LAMBDA(_xlpm.part, _xlpm.val, _xlpm.error, IF(_xlpm.part = "", "", IF(LEN(_xlpm.error), _xlfn.SWITCH(IFERROR(_xlfn.TEXTBEFORE(_xlpm.error,":"), ""), "1", "Error", "2", "Disabled", "3", "Required", "4", "Warning", "Valid"), "Valid"))))</f>
        <v/>
      </c>
      <c r="BU8" s="22">
        <f t="array" ref="BU8">_xlfn.MAP('10 - Office Chairs'!B8:B507, '10 - Office Chairs'!BU8:BU507, '10 - Office Chairs-WUO_ERR'!BU8:BU507, _xlfn.LAMBDA(_xlpm.part, _xlpm.val, _xlpm.error, IF(_xlpm.part = "", "", IF(LEN(_xlpm.error), _xlfn.SWITCH(IFERROR(_xlfn.TEXTBEFORE(_xlpm.error,":"), ""), "1", "Error", "2", "Disabled", "3", "Required", "4", "Warning", "Valid"), "Valid"))))</f>
        <v/>
      </c>
      <c r="BV8" s="22">
        <f t="array" ref="BV8">_xlfn.MAP('10 - Office Chairs'!B8:B507, '10 - Office Chairs'!BV8:BV507, '10 - Office Chairs-WUO_ERR'!BV8:BV507, _xlfn.LAMBDA(_xlpm.part, _xlpm.val, _xlpm.error, IF(_xlpm.part = "", "", IF(LEN(_xlpm.error), _xlfn.SWITCH(IFERROR(_xlfn.TEXTBEFORE(_xlpm.error,":"), ""), "1", "Error", "2", "Disabled", "3", "Required", "4", "Warning", "Valid"), "Valid"))))</f>
        <v/>
      </c>
      <c r="BW8" s="22">
        <f t="array" ref="BW8">_xlfn.MAP('10 - Office Chairs'!B8:B507, '10 - Office Chairs'!BW8:BW507, '10 - Office Chairs-WUO_ERR'!BW8:BW507, _xlfn.LAMBDA(_xlpm.part, _xlpm.val, _xlpm.error, IF(_xlpm.part = "", "", IF(LEN(_xlpm.error), _xlfn.SWITCH(IFERROR(_xlfn.TEXTBEFORE(_xlpm.error,":"), ""), "1", "Error", "2", "Disabled", "3", "Required", "4", "Warning", "Valid"), "Valid"))))</f>
        <v/>
      </c>
      <c r="BX8" s="22">
        <f t="array" ref="BX8">_xlfn.MAP('10 - Office Chairs'!B8:B507, '10 - Office Chairs'!BX8:BX507, '10 - Office Chairs-WUO_ERR'!BX8:BX507, _xlfn.LAMBDA(_xlpm.part, _xlpm.val, _xlpm.error, IF(_xlpm.part = "", "", IF(LEN(_xlpm.error), _xlfn.SWITCH(IFERROR(_xlfn.TEXTBEFORE(_xlpm.error,":"), ""), "1", "Error", "2", "Disabled", "3", "Required", "4", "Warning", "Valid"), "Valid"))))</f>
        <v/>
      </c>
      <c r="BY8" s="22">
        <f t="array" ref="BY8">_xlfn.MAP('10 - Office Chairs'!B8:B507, '10 - Office Chairs'!BY8:BY507, '10 - Office Chairs-WUO_ERR'!BY8:BY507, _xlfn.LAMBDA(_xlpm.part, _xlpm.val, _xlpm.error, IF(_xlpm.part = "", "", IF(LEN(_xlpm.error), _xlfn.SWITCH(IFERROR(_xlfn.TEXTBEFORE(_xlpm.error,":"), ""), "1", "Error", "2", "Disabled", "3", "Required", "4", "Warning", "Valid"), "Valid"))))</f>
        <v/>
      </c>
      <c r="BZ8" s="22">
        <f t="array" ref="BZ8">_xlfn.MAP('10 - Office Chairs'!B8:B507, '10 - Office Chairs'!BZ8:BZ507, '10 - Office Chairs-WUO_ERR'!BZ8:BZ507, _xlfn.LAMBDA(_xlpm.part, _xlpm.val, _xlpm.error, IF(_xlpm.part = "", "", IF(LEN(_xlpm.error), _xlfn.SWITCH(IFERROR(_xlfn.TEXTBEFORE(_xlpm.error,":"), ""), "1", "Error", "2", "Disabled", "3", "Required", "4", "Warning", "Valid"), "Valid"))))</f>
        <v/>
      </c>
      <c r="CA8" s="22">
        <f t="array" ref="CA8">_xlfn.MAP('10 - Office Chairs'!B8:B507, '10 - Office Chairs'!CA8:CA507, '10 - Office Chairs-WUO_ERR'!CA8:CA507, _xlfn.LAMBDA(_xlpm.part, _xlpm.val, _xlpm.error, IF(_xlpm.part = "", "", IF(LEN(_xlpm.error), _xlfn.SWITCH(IFERROR(_xlfn.TEXTBEFORE(_xlpm.error,":"), ""), "1", "Error", "2", "Disabled", "3", "Required", "4", "Warning", "Valid"), "Valid"))))</f>
        <v/>
      </c>
      <c r="CB8" s="22">
        <f t="array" ref="CB8">_xlfn.MAP('10 - Office Chairs'!B8:B507, '10 - Office Chairs'!CB8:CB507, '10 - Office Chairs-WUO_ERR'!CB8:CB507, _xlfn.LAMBDA(_xlpm.part, _xlpm.val, _xlpm.error, IF(_xlpm.part = "", "", IF(LEN(_xlpm.error), _xlfn.SWITCH(IFERROR(_xlfn.TEXTBEFORE(_xlpm.error,":"), ""), "1", "Error", "2", "Disabled", "3", "Required", "4", "Warning", "Valid"), "Valid"))))</f>
        <v/>
      </c>
      <c r="CC8" s="22">
        <f t="array" ref="CC8">_xlfn.MAP('10 - Office Chairs'!B8:B507, '10 - Office Chairs'!CC8:CC507, '10 - Office Chairs-WUO_ERR'!CC8:CC507, _xlfn.LAMBDA(_xlpm.part, _xlpm.val, _xlpm.error, IF(_xlpm.part = "", "", IF(LEN(_xlpm.error), _xlfn.SWITCH(IFERROR(_xlfn.TEXTBEFORE(_xlpm.error,":"), ""), "1", "Error", "2", "Disabled", "3", "Required", "4", "Warning", "Valid"), "Valid"))))</f>
        <v/>
      </c>
      <c r="CD8" s="22">
        <f t="array" ref="CD8">_xlfn.MAP('10 - Office Chairs'!B8:B507, '10 - Office Chairs'!CD8:CD507, '10 - Office Chairs-WUO_ERR'!CD8:CD507, _xlfn.LAMBDA(_xlpm.part, _xlpm.val, _xlpm.error, IF(_xlpm.part = "", "", IF(LEN(_xlpm.error), _xlfn.SWITCH(IFERROR(_xlfn.TEXTBEFORE(_xlpm.error,":"), ""), "1", "Error", "2", "Disabled", "3", "Required", "4", "Warning", "Valid"), "Valid"))))</f>
        <v/>
      </c>
      <c r="CE8" s="22">
        <f t="array" ref="CE8">_xlfn.MAP('10 - Office Chairs'!B8:B507, '10 - Office Chairs'!CE8:CE507, '10 - Office Chairs-WUO_ERR'!CE8:CE507, _xlfn.LAMBDA(_xlpm.part, _xlpm.val, _xlpm.error, IF(_xlpm.part = "", "", IF(LEN(_xlpm.error), _xlfn.SWITCH(IFERROR(_xlfn.TEXTBEFORE(_xlpm.error,":"), ""), "1", "Error", "2", "Disabled", "3", "Required", "4", "Warning", "Valid"), "Valid"))))</f>
        <v/>
      </c>
      <c r="CF8" s="22">
        <f t="array" ref="CF8">_xlfn.MAP('10 - Office Chairs'!B8:B507, '10 - Office Chairs'!CF8:CF507, '10 - Office Chairs-WUO_ERR'!CF8:CF507, _xlfn.LAMBDA(_xlpm.part, _xlpm.val, _xlpm.error, IF(_xlpm.part = "", "", IF(LEN(_xlpm.error), _xlfn.SWITCH(IFERROR(_xlfn.TEXTBEFORE(_xlpm.error,":"), ""), "1", "Error", "2", "Disabled", "3", "Required", "4", "Warning", "Valid"), "Valid"))))</f>
        <v/>
      </c>
      <c r="CG8" s="22">
        <f t="array" ref="CG8">_xlfn.MAP('10 - Office Chairs'!B8:B507, '10 - Office Chairs'!CG8:CG507, '10 - Office Chairs-WUO_ERR'!CG8:CG507, _xlfn.LAMBDA(_xlpm.part, _xlpm.val, _xlpm.error, IF(_xlpm.part = "", "", IF(LEN(_xlpm.error), _xlfn.SWITCH(IFERROR(_xlfn.TEXTBEFORE(_xlpm.error,":"), ""), "1", "Error", "2", "Disabled", "3", "Required", "4", "Warning", "Valid"), "Valid"))))</f>
        <v/>
      </c>
      <c r="CH8" s="22">
        <f t="array" ref="CH8">_xlfn.MAP('10 - Office Chairs'!B8:B507, '10 - Office Chairs'!CH8:CH507, '10 - Office Chairs-WUO_ERR'!CH8:CH507, _xlfn.LAMBDA(_xlpm.part, _xlpm.val, _xlpm.error, IF(_xlpm.part = "", "", IF(LEN(_xlpm.error), _xlfn.SWITCH(IFERROR(_xlfn.TEXTBEFORE(_xlpm.error,":"), ""), "1", "Error", "2", "Disabled", "3", "Required", "4", "Warning", "Valid"), "Valid"))))</f>
        <v/>
      </c>
      <c r="CI8" s="22">
        <f t="array" ref="CI8">_xlfn.MAP('10 - Office Chairs'!B8:B507, '10 - Office Chairs'!CI8:CI507, '10 - Office Chairs-WUO_ERR'!CI8:CI507, _xlfn.LAMBDA(_xlpm.part, _xlpm.val, _xlpm.error, IF(_xlpm.part = "", "", IF(LEN(_xlpm.error), _xlfn.SWITCH(IFERROR(_xlfn.TEXTBEFORE(_xlpm.error,":"), ""), "1", "Error", "2", "Disabled", "3", "Required", "4", "Warning", "Valid"), "Valid"))))</f>
        <v/>
      </c>
      <c r="CJ8" s="22">
        <f t="array" ref="CJ8">_xlfn.MAP('10 - Office Chairs'!B8:B507, '10 - Office Chairs'!CJ8:CJ507, '10 - Office Chairs-WUO_ERR'!CJ8:CJ507, _xlfn.LAMBDA(_xlpm.part, _xlpm.val, _xlpm.error, IF(_xlpm.part = "", "", IF(LEN(_xlpm.error), _xlfn.SWITCH(IFERROR(_xlfn.TEXTBEFORE(_xlpm.error,":"), ""), "1", "Error", "2", "Disabled", "3", "Required", "4", "Warning", "Valid"), "Valid"))))</f>
        <v/>
      </c>
      <c r="CK8" s="22">
        <f t="array" ref="CK8">_xlfn.MAP('10 - Office Chairs'!B8:B507, '10 - Office Chairs'!CK8:CK507, '10 - Office Chairs-WUO_ERR'!CK8:CK507, _xlfn.LAMBDA(_xlpm.part, _xlpm.val, _xlpm.error, IF(_xlpm.part = "", "", IF(LEN(_xlpm.error), _xlfn.SWITCH(IFERROR(_xlfn.TEXTBEFORE(_xlpm.error,":"), ""), "1", "Error", "2", "Disabled", "3", "Required", "4", "Warning", "Valid"), "Valid"))))</f>
        <v/>
      </c>
      <c r="CL8" s="22">
        <f t="array" ref="CL8">_xlfn.MAP('10 - Office Chairs'!B8:B507, '10 - Office Chairs'!CL8:CL507, '10 - Office Chairs-WUO_ERR'!CL8:CL507, _xlfn.LAMBDA(_xlpm.part, _xlpm.val, _xlpm.error, IF(_xlpm.part = "", "", IF(LEN(_xlpm.error), _xlfn.SWITCH(IFERROR(_xlfn.TEXTBEFORE(_xlpm.error,":"), ""), "1", "Error", "2", "Disabled", "3", "Required", "4", "Warning", "Valid"), "Valid"))))</f>
        <v/>
      </c>
      <c r="CM8" s="22">
        <f t="array" ref="CM8">_xlfn.MAP('10 - Office Chairs'!B8:B507, '10 - Office Chairs'!CM8:CM507, '10 - Office Chairs-WUO_ERR'!CM8:CM507, _xlfn.LAMBDA(_xlpm.part, _xlpm.val, _xlpm.error, IF(_xlpm.part = "", "", IF(LEN(_xlpm.error), _xlfn.SWITCH(IFERROR(_xlfn.TEXTBEFORE(_xlpm.error,":"), ""), "1", "Error", "2", "Disabled", "3", "Required", "4", "Warning", "Valid"), "Valid"))))</f>
        <v/>
      </c>
      <c r="CN8" s="22">
        <f t="array" ref="CN8">_xlfn.MAP('10 - Office Chairs'!B8:B507, '10 - Office Chairs'!CN8:CN507, '10 - Office Chairs-WUO_ERR'!CN8:CN507, _xlfn.LAMBDA(_xlpm.part, _xlpm.val, _xlpm.error, IF(_xlpm.part = "", "", IF(LEN(_xlpm.error), _xlfn.SWITCH(IFERROR(_xlfn.TEXTBEFORE(_xlpm.error,":"), ""), "1", "Error", "2", "Disabled", "3", "Required", "4", "Warning", "Valid"), "Valid"))))</f>
        <v/>
      </c>
      <c r="CO8" s="22">
        <f t="array" ref="CO8">_xlfn.MAP('10 - Office Chairs'!B8:B507, '10 - Office Chairs'!CO8:CO507, '10 - Office Chairs-WUO_ERR'!CO8:CO507, _xlfn.LAMBDA(_xlpm.part, _xlpm.val, _xlpm.error, IF(_xlpm.part = "", "", IF(LEN(_xlpm.error), _xlfn.SWITCH(IFERROR(_xlfn.TEXTBEFORE(_xlpm.error,":"), ""), "1", "Error", "2", "Disabled", "3", "Required", "4", "Warning", "Valid"), "Valid"))))</f>
        <v/>
      </c>
      <c r="CP8" s="22">
        <f t="array" ref="CP8">_xlfn.MAP('10 - Office Chairs'!B8:B507, '10 - Office Chairs'!CP8:CP507, '10 - Office Chairs-WUO_ERR'!CP8:CP507, _xlfn.LAMBDA(_xlpm.part, _xlpm.val, _xlpm.error, IF(_xlpm.part = "", "", IF(LEN(_xlpm.error), _xlfn.SWITCH(IFERROR(_xlfn.TEXTBEFORE(_xlpm.error,":"), ""), "1", "Error", "2", "Disabled", "3", "Required", "4", "Warning", "Valid"), "Valid"))))</f>
        <v/>
      </c>
      <c r="CQ8" s="22">
        <f t="array" ref="CQ8">_xlfn.MAP('10 - Office Chairs'!B8:B507, '10 - Office Chairs'!CQ8:CQ507, '10 - Office Chairs-WUO_ERR'!CQ8:CQ507, _xlfn.LAMBDA(_xlpm.part, _xlpm.val, _xlpm.error, IF(_xlpm.part = "", "", IF(LEN(_xlpm.error), _xlfn.SWITCH(IFERROR(_xlfn.TEXTBEFORE(_xlpm.error,":"), ""), "1", "Error", "2", "Disabled", "3", "Required", "4", "Warning", "Valid"), "Valid"))))</f>
        <v/>
      </c>
      <c r="CR8" s="22">
        <f t="array" ref="CR8">_xlfn.MAP('10 - Office Chairs'!B8:B507, '10 - Office Chairs'!CR8:CR507, '10 - Office Chairs-WUO_ERR'!CR8:CR507, _xlfn.LAMBDA(_xlpm.part, _xlpm.val, _xlpm.error, IF(_xlpm.part = "", "", IF(LEN(_xlpm.error), _xlfn.SWITCH(IFERROR(_xlfn.TEXTBEFORE(_xlpm.error,":"), ""), "1", "Error", "2", "Disabled", "3", "Required", "4", "Warning", "Valid"), "Valid"))))</f>
        <v/>
      </c>
      <c r="CS8" s="22">
        <f t="array" ref="CS8">_xlfn.MAP('10 - Office Chairs'!B8:B507, '10 - Office Chairs'!CS8:CS507, '10 - Office Chairs-WUO_ERR'!CS8:CS507, _xlfn.LAMBDA(_xlpm.part, _xlpm.val, _xlpm.error, IF(_xlpm.part = "", "", IF(LEN(_xlpm.error), _xlfn.SWITCH(IFERROR(_xlfn.TEXTBEFORE(_xlpm.error,":"), ""), "1", "Error", "2", "Disabled", "3", "Required", "4", "Warning", "Valid"), "Valid"))))</f>
        <v/>
      </c>
      <c r="CT8" s="22">
        <f t="array" ref="CT8">_xlfn.MAP('10 - Office Chairs'!B8:B507, '10 - Office Chairs'!CT8:CT507, '10 - Office Chairs-WUO_ERR'!CT8:CT507, _xlfn.LAMBDA(_xlpm.part, _xlpm.val, _xlpm.error, IF(_xlpm.part = "", "", IF(LEN(_xlpm.error), _xlfn.SWITCH(IFERROR(_xlfn.TEXTBEFORE(_xlpm.error,":"), ""), "1", "Error", "2", "Disabled", "3", "Required", "4", "Warning", "Valid"), "Valid"))))</f>
        <v/>
      </c>
      <c r="CU8" s="22">
        <f t="array" ref="CU8">_xlfn.MAP('10 - Office Chairs'!B8:B507, '10 - Office Chairs'!CU8:CU507, '10 - Office Chairs-WUO_ERR'!CU8:CU507, _xlfn.LAMBDA(_xlpm.part, _xlpm.val, _xlpm.error, IF(_xlpm.part = "", "", IF(LEN(_xlpm.error), _xlfn.SWITCH(IFERROR(_xlfn.TEXTBEFORE(_xlpm.error,":"), ""), "1", "Error", "2", "Disabled", "3", "Required", "4", "Warning", "Valid"), "Valid"))))</f>
        <v/>
      </c>
      <c r="CV8" s="22">
        <f t="array" ref="CV8">_xlfn.MAP('10 - Office Chairs'!B8:B507, '10 - Office Chairs'!CV8:CV507, '10 - Office Chairs-WUO_ERR'!CV8:CV507, _xlfn.LAMBDA(_xlpm.part, _xlpm.val, _xlpm.error, IF(_xlpm.part = "", "", IF(LEN(_xlpm.error), _xlfn.SWITCH(IFERROR(_xlfn.TEXTBEFORE(_xlpm.error,":"), ""), "1", "Error", "2", "Disabled", "3", "Required", "4", "Warning", "Valid"), "Valid"))))</f>
        <v/>
      </c>
      <c r="CW8" s="22">
        <f t="array" ref="CW8">_xlfn.MAP('10 - Office Chairs'!B8:B507, '10 - Office Chairs'!CW8:CW507, '10 - Office Chairs-WUO_ERR'!CW8:CW507, _xlfn.LAMBDA(_xlpm.part, _xlpm.val, _xlpm.error, IF(_xlpm.part = "", "", IF(LEN(_xlpm.error), _xlfn.SWITCH(IFERROR(_xlfn.TEXTBEFORE(_xlpm.error,":"), ""), "1", "Error", "2", "Disabled", "3", "Required", "4", "Warning", "Valid"), "Valid"))))</f>
        <v/>
      </c>
      <c r="CX8" s="22">
        <f t="array" ref="CX8">_xlfn.MAP('10 - Office Chairs'!B8:B507, '10 - Office Chairs'!CX8:CX507, '10 - Office Chairs-WUO_ERR'!CX8:CX507, _xlfn.LAMBDA(_xlpm.part, _xlpm.val, _xlpm.error, IF(_xlpm.part = "", "", IF(LEN(_xlpm.error), _xlfn.SWITCH(IFERROR(_xlfn.TEXTBEFORE(_xlpm.error,":"), ""), "1", "Error", "2", "Disabled", "3", "Required", "4", "Warning", "Valid"), "Valid"))))</f>
        <v/>
      </c>
      <c r="CY8" s="22">
        <f t="array" ref="CY8">_xlfn.MAP('10 - Office Chairs'!B8:B507, '10 - Office Chairs'!CY8:CY507, '10 - Office Chairs-WUO_ERR'!CY8:CY507, _xlfn.LAMBDA(_xlpm.part, _xlpm.val, _xlpm.error, IF(_xlpm.part = "", "", IF(LEN(_xlpm.error), _xlfn.SWITCH(IFERROR(_xlfn.TEXTBEFORE(_xlpm.error,":"), ""), "1", "Error", "2", "Disabled", "3", "Required", "4", "Warning", "Valid"), "Valid"))))</f>
        <v/>
      </c>
      <c r="CZ8" s="22">
        <f t="array" ref="CZ8">_xlfn.MAP('10 - Office Chairs'!B8:B507, '10 - Office Chairs'!CZ8:CZ507, '10 - Office Chairs-WUO_ERR'!CZ8:CZ507, _xlfn.LAMBDA(_xlpm.part, _xlpm.val, _xlpm.error, IF(_xlpm.part = "", "", IF(LEN(_xlpm.error), _xlfn.SWITCH(IFERROR(_xlfn.TEXTBEFORE(_xlpm.error,":"), ""), "1", "Error", "2", "Disabled", "3", "Required", "4", "Warning", "Valid"), "Valid"))))</f>
        <v/>
      </c>
      <c r="DA8" s="22">
        <f t="array" ref="DA8">_xlfn.MAP('10 - Office Chairs'!B8:B507, '10 - Office Chairs'!DA8:DA507, '10 - Office Chairs-WUO_ERR'!DA8:DA507, _xlfn.LAMBDA(_xlpm.part, _xlpm.val, _xlpm.error, IF(_xlpm.part = "", "", IF(LEN(_xlpm.error), _xlfn.SWITCH(IFERROR(_xlfn.TEXTBEFORE(_xlpm.error,":"), ""), "1", "Error", "2", "Disabled", "3", "Required", "4", "Warning", "Valid"), "Valid"))))</f>
        <v/>
      </c>
      <c r="DB8" s="22">
        <f t="array" ref="DB8">_xlfn.MAP('10 - Office Chairs'!B8:B507, '10 - Office Chairs'!DB8:DB507, '10 - Office Chairs-WUO_ERR'!DB8:DB507, _xlfn.LAMBDA(_xlpm.part, _xlpm.val, _xlpm.error, IF(_xlpm.part = "", "", IF(LEN(_xlpm.error), _xlfn.SWITCH(IFERROR(_xlfn.TEXTBEFORE(_xlpm.error,":"), ""), "1", "Error", "2", "Disabled", "3", "Required", "4", "Warning", "Valid"), "Valid"))))</f>
        <v/>
      </c>
      <c r="DC8" s="22">
        <f t="array" ref="DC8">_xlfn.MAP('10 - Office Chairs'!B8:B507, '10 - Office Chairs'!DC8:DC507, '10 - Office Chairs-WUO_ERR'!DC8:DC507, _xlfn.LAMBDA(_xlpm.part, _xlpm.val, _xlpm.error, IF(_xlpm.part = "", "", IF(LEN(_xlpm.error), _xlfn.SWITCH(IFERROR(_xlfn.TEXTBEFORE(_xlpm.error,":"), ""), "1", "Error", "2", "Disabled", "3", "Required", "4", "Warning", "Valid"), "Valid"))))</f>
        <v/>
      </c>
      <c r="DD8" s="22">
        <f t="array" ref="DD8">_xlfn.MAP('10 - Office Chairs'!B8:B507, '10 - Office Chairs'!DD8:DD507, '10 - Office Chairs-WUO_ERR'!DD8:DD507, _xlfn.LAMBDA(_xlpm.part, _xlpm.val, _xlpm.error, IF(_xlpm.part = "", "", IF(LEN(_xlpm.error), _xlfn.SWITCH(IFERROR(_xlfn.TEXTBEFORE(_xlpm.error,":"), ""), "1", "Error", "2", "Disabled", "3", "Required", "4", "Warning", "Valid"), "Valid"))))</f>
        <v/>
      </c>
      <c r="DE8" s="22">
        <f t="array" ref="DE8">_xlfn.MAP('10 - Office Chairs'!B8:B507, '10 - Office Chairs'!DE8:DE507, '10 - Office Chairs-WUO_ERR'!DE8:DE507, _xlfn.LAMBDA(_xlpm.part, _xlpm.val, _xlpm.error, IF(_xlpm.part = "", "", IF(LEN(_xlpm.error), _xlfn.SWITCH(IFERROR(_xlfn.TEXTBEFORE(_xlpm.error,":"), ""), "1", "Error", "2", "Disabled", "3", "Required", "4", "Warning", "Valid"), "Valid"))))</f>
        <v/>
      </c>
      <c r="DF8" s="22">
        <f t="array" ref="DF8">_xlfn.MAP('10 - Office Chairs'!B8:B507, '10 - Office Chairs'!DF8:DF507, '10 - Office Chairs-WUO_ERR'!DF8:DF507, _xlfn.LAMBDA(_xlpm.part, _xlpm.val, _xlpm.error, IF(_xlpm.part = "", "", IF(LEN(_xlpm.error), _xlfn.SWITCH(IFERROR(_xlfn.TEXTBEFORE(_xlpm.error,":"), ""), "1", "Error", "2", "Disabled", "3", "Required", "4", "Warning", "Valid"), "Valid"))))</f>
        <v/>
      </c>
      <c r="DG8" s="22">
        <f t="array" ref="DG8">_xlfn.MAP('10 - Office Chairs'!B8:B507, '10 - Office Chairs'!DG8:DG507, '10 - Office Chairs-WUO_ERR'!DG8:DG507, _xlfn.LAMBDA(_xlpm.part, _xlpm.val, _xlpm.error, IF(_xlpm.part = "", "", IF(LEN(_xlpm.error), _xlfn.SWITCH(IFERROR(_xlfn.TEXTBEFORE(_xlpm.error,":"), ""), "1", "Error", "2", "Disabled", "3", "Required", "4", "Warning", "Valid"), "Valid"))))</f>
        <v/>
      </c>
      <c r="DH8" s="22">
        <f t="array" ref="DH8">_xlfn.MAP('10 - Office Chairs'!B8:B507, '10 - Office Chairs'!DH8:DH507, '10 - Office Chairs-WUO_ERR'!DH8:DH507, _xlfn.LAMBDA(_xlpm.part, _xlpm.val, _xlpm.error, IF(_xlpm.part = "", "", IF(LEN(_xlpm.error), _xlfn.SWITCH(IFERROR(_xlfn.TEXTBEFORE(_xlpm.error,":"), ""), "1", "Error", "2", "Disabled", "3", "Required", "4", "Warning", "Valid"), "Valid"))))</f>
        <v/>
      </c>
      <c r="DI8" s="22">
        <f t="array" ref="DI8">_xlfn.MAP('10 - Office Chairs'!B8:B507, '10 - Office Chairs'!DI8:DI507, '10 - Office Chairs-WUO_ERR'!DI8:DI507, _xlfn.LAMBDA(_xlpm.part, _xlpm.val, _xlpm.error, IF(_xlpm.part = "", "", IF(LEN(_xlpm.error), _xlfn.SWITCH(IFERROR(_xlfn.TEXTBEFORE(_xlpm.error,":"), ""), "1", "Error", "2", "Disabled", "3", "Required", "4", "Warning", "Valid"), "Valid"))))</f>
        <v/>
      </c>
      <c r="DJ8" s="22">
        <f t="array" ref="DJ8">_xlfn.MAP('10 - Office Chairs'!B8:B507, '10 - Office Chairs'!DJ8:DJ507, '10 - Office Chairs-WUO_ERR'!DJ8:DJ507, _xlfn.LAMBDA(_xlpm.part, _xlpm.val, _xlpm.error, IF(_xlpm.part = "", "", IF(LEN(_xlpm.error), _xlfn.SWITCH(IFERROR(_xlfn.TEXTBEFORE(_xlpm.error,":"), ""), "1", "Error", "2", "Disabled", "3", "Required", "4", "Warning", "Valid"), "Valid"))))</f>
        <v/>
      </c>
      <c r="DK8" s="22">
        <f t="array" ref="DK8">_xlfn.MAP('10 - Office Chairs'!B8:B507, '10 - Office Chairs'!DK8:DK507, '10 - Office Chairs-WUO_ERR'!DK8:DK507, _xlfn.LAMBDA(_xlpm.part, _xlpm.val, _xlpm.error, IF(_xlpm.part = "", "", IF(LEN(_xlpm.error), _xlfn.SWITCH(IFERROR(_xlfn.TEXTBEFORE(_xlpm.error,":"), ""), "1", "Error", "2", "Disabled", "3", "Required", "4", "Warning", "Valid"), "Valid"))))</f>
        <v/>
      </c>
      <c r="DL8" s="22">
        <f t="array" ref="DL8">_xlfn.MAP('10 - Office Chairs'!B8:B507, '10 - Office Chairs'!DL8:DL507, '10 - Office Chairs-WUO_ERR'!DL8:DL507, _xlfn.LAMBDA(_xlpm.part, _xlpm.val, _xlpm.error, IF(_xlpm.part = "", "", IF(LEN(_xlpm.error), _xlfn.SWITCH(IFERROR(_xlfn.TEXTBEFORE(_xlpm.error,":"), ""), "1", "Error", "2", "Disabled", "3", "Required", "4", "Warning", "Valid"), "Valid"))))</f>
        <v/>
      </c>
      <c r="DM8" s="22">
        <f t="array" ref="DM8">_xlfn.MAP('10 - Office Chairs'!B8:B507, '10 - Office Chairs'!DM8:DM507, '10 - Office Chairs-WUO_ERR'!DM8:DM507, _xlfn.LAMBDA(_xlpm.part, _xlpm.val, _xlpm.error, IF(_xlpm.part = "", "", IF(LEN(_xlpm.error), _xlfn.SWITCH(IFERROR(_xlfn.TEXTBEFORE(_xlpm.error,":"), ""), "1", "Error", "2", "Disabled", "3", "Required", "4", "Warning", "Valid"), "Valid"))))</f>
        <v/>
      </c>
      <c r="DN8" s="22">
        <f t="array" ref="DN8">_xlfn.MAP('10 - Office Chairs'!B8:B507, '10 - Office Chairs'!DN8:DN507, '10 - Office Chairs-WUO_ERR'!DN8:DN507, _xlfn.LAMBDA(_xlpm.part, _xlpm.val, _xlpm.error, IF(_xlpm.part = "", "", IF(LEN(_xlpm.error), _xlfn.SWITCH(IFERROR(_xlfn.TEXTBEFORE(_xlpm.error,":"), ""), "1", "Error", "2", "Disabled", "3", "Required", "4", "Warning", "Valid"), "Valid"))))</f>
        <v/>
      </c>
      <c r="DO8" s="22">
        <f t="array" ref="DO8">_xlfn.MAP('10 - Office Chairs'!B8:B507, '10 - Office Chairs'!DO8:DO507, '10 - Office Chairs-WUO_ERR'!DO8:DO507, _xlfn.LAMBDA(_xlpm.part, _xlpm.val, _xlpm.error, IF(_xlpm.part = "", "", IF(LEN(_xlpm.error), _xlfn.SWITCH(IFERROR(_xlfn.TEXTBEFORE(_xlpm.error,":"), ""), "1", "Error", "2", "Disabled", "3", "Required", "4", "Warning", "Valid"), "Valid"))))</f>
        <v/>
      </c>
      <c r="DP8" s="22">
        <f t="array" ref="DP8">_xlfn.MAP('10 - Office Chairs'!B8:B507, '10 - Office Chairs'!DP8:DP507, '10 - Office Chairs-WUO_ERR'!DP8:DP507, _xlfn.LAMBDA(_xlpm.part, _xlpm.val, _xlpm.error, IF(_xlpm.part = "", "", IF(LEN(_xlpm.error), _xlfn.SWITCH(IFERROR(_xlfn.TEXTBEFORE(_xlpm.error,":"), ""), "1", "Error", "2", "Disabled", "3", "Required", "4", "Warning", "Valid"), "Valid"))))</f>
        <v/>
      </c>
      <c r="DQ8" s="22">
        <f t="array" ref="DQ8">_xlfn.MAP('10 - Office Chairs'!B8:B507, '10 - Office Chairs'!DQ8:DQ507, '10 - Office Chairs-WUO_ERR'!DQ8:DQ507, _xlfn.LAMBDA(_xlpm.part, _xlpm.val, _xlpm.error, IF(_xlpm.part = "", "", IF(LEN(_xlpm.error), _xlfn.SWITCH(IFERROR(_xlfn.TEXTBEFORE(_xlpm.error,":"), ""), "1", "Error", "2", "Disabled", "3", "Required", "4", "Warning", "Valid"), "Valid"))))</f>
        <v/>
      </c>
      <c r="DR8" s="22">
        <f t="array" ref="DR8">_xlfn.MAP('10 - Office Chairs'!B8:B507, '10 - Office Chairs'!DR8:DR507, '10 - Office Chairs-WUO_ERR'!DR8:DR507, _xlfn.LAMBDA(_xlpm.part, _xlpm.val, _xlpm.error, IF(_xlpm.part = "", "", IF(LEN(_xlpm.error), _xlfn.SWITCH(IFERROR(_xlfn.TEXTBEFORE(_xlpm.error,":"), ""), "1", "Error", "2", "Disabled", "3", "Required", "4", "Warning", "Valid"), "Valid"))))</f>
        <v/>
      </c>
      <c r="DS8" s="22">
        <f t="array" ref="DS8">_xlfn.MAP('10 - Office Chairs'!B8:B507, '10 - Office Chairs'!DS8:DS507, '10 - Office Chairs-WUO_ERR'!DS8:DS507, _xlfn.LAMBDA(_xlpm.part, _xlpm.val, _xlpm.error, IF(_xlpm.part = "", "", IF(LEN(_xlpm.error), _xlfn.SWITCH(IFERROR(_xlfn.TEXTBEFORE(_xlpm.error,":"), ""), "1", "Error", "2", "Disabled", "3", "Required", "4", "Warning", "Valid"), "Valid"))))</f>
        <v/>
      </c>
      <c r="DT8" s="22">
        <f t="array" ref="DT8">_xlfn.MAP('10 - Office Chairs'!B8:B507, '10 - Office Chairs'!DT8:DT507, '10 - Office Chairs-WUO_ERR'!DT8:DT507, _xlfn.LAMBDA(_xlpm.part, _xlpm.val, _xlpm.error, IF(_xlpm.part = "", "", IF(LEN(_xlpm.error), _xlfn.SWITCH(IFERROR(_xlfn.TEXTBEFORE(_xlpm.error,":"), ""), "1", "Error", "2", "Disabled", "3", "Required", "4", "Warning", "Valid"), "Valid"))))</f>
        <v/>
      </c>
      <c r="DU8" s="22">
        <f t="array" ref="DU8">_xlfn.MAP('10 - Office Chairs'!B8:B507, '10 - Office Chairs'!DU8:DU507, '10 - Office Chairs-WUO_ERR'!DU8:DU507, _xlfn.LAMBDA(_xlpm.part, _xlpm.val, _xlpm.error, IF(_xlpm.part = "", "", IF(LEN(_xlpm.error), _xlfn.SWITCH(IFERROR(_xlfn.TEXTBEFORE(_xlpm.error,":"), ""), "1", "Error", "2", "Disabled", "3", "Required", "4", "Warning", "Valid"), "Valid"))))</f>
        <v/>
      </c>
      <c r="DV8" s="22">
        <f t="array" ref="DV8">_xlfn.MAP('10 - Office Chairs'!B8:B507, '10 - Office Chairs'!DV8:DV507, '10 - Office Chairs-WUO_ERR'!DV8:DV507, _xlfn.LAMBDA(_xlpm.part, _xlpm.val, _xlpm.error, IF(_xlpm.part = "", "", IF(LEN(_xlpm.error), _xlfn.SWITCH(IFERROR(_xlfn.TEXTBEFORE(_xlpm.error,":"), ""), "1", "Error", "2", "Disabled", "3", "Required", "4", "Warning", "Valid"), "Valid"))))</f>
        <v/>
      </c>
      <c r="DW8" s="22">
        <f t="array" ref="DW8">_xlfn.MAP('10 - Office Chairs'!B8:B507, '10 - Office Chairs'!DW8:DW507, '10 - Office Chairs-WUO_ERR'!DW8:DW507, _xlfn.LAMBDA(_xlpm.part, _xlpm.val, _xlpm.error, IF(_xlpm.part = "", "", IF(LEN(_xlpm.error), _xlfn.SWITCH(IFERROR(_xlfn.TEXTBEFORE(_xlpm.error,":"), ""), "1", "Error", "2", "Disabled", "3", "Required", "4", "Warning", "Valid"), "Valid"))))</f>
        <v/>
      </c>
      <c r="DX8" s="22">
        <f t="array" ref="DX8">_xlfn.MAP('10 - Office Chairs'!B8:B507, '10 - Office Chairs'!DX8:DX507, '10 - Office Chairs-WUO_ERR'!DX8:DX507, _xlfn.LAMBDA(_xlpm.part, _xlpm.val, _xlpm.error, IF(_xlpm.part = "", "", IF(LEN(_xlpm.error), _xlfn.SWITCH(IFERROR(_xlfn.TEXTBEFORE(_xlpm.error,":"), ""), "1", "Error", "2", "Disabled", "3", "Required", "4", "Warning", "Valid"), "Valid"))))</f>
        <v/>
      </c>
      <c r="DY8" s="22">
        <f t="array" ref="DY8">_xlfn.MAP('10 - Office Chairs'!B8:B507, '10 - Office Chairs'!DY8:DY507, '10 - Office Chairs-WUO_ERR'!DY8:DY507, _xlfn.LAMBDA(_xlpm.part, _xlpm.val, _xlpm.error, IF(_xlpm.part = "", "", IF(LEN(_xlpm.error), _xlfn.SWITCH(IFERROR(_xlfn.TEXTBEFORE(_xlpm.error,":"), ""), "1", "Error", "2", "Disabled", "3", "Required", "4", "Warning", "Valid"), "Valid"))))</f>
        <v/>
      </c>
      <c r="DZ8" s="22">
        <f t="array" ref="DZ8">_xlfn.MAP('10 - Office Chairs'!B8:B507, '10 - Office Chairs'!DZ8:DZ507, '10 - Office Chairs-WUO_ERR'!DZ8:DZ507, _xlfn.LAMBDA(_xlpm.part, _xlpm.val, _xlpm.error, IF(_xlpm.part = "", "", IF(LEN(_xlpm.error), _xlfn.SWITCH(IFERROR(_xlfn.TEXTBEFORE(_xlpm.error,":"), ""), "1", "Error", "2", "Disabled", "3", "Required", "4", "Warning", "Valid"), "Valid"))))</f>
        <v/>
      </c>
      <c r="EA8" s="22">
        <f t="array" ref="EA8">_xlfn.MAP('10 - Office Chairs'!B8:B507, '10 - Office Chairs'!EA8:EA507, '10 - Office Chairs-WUO_ERR'!EA8:EA507, _xlfn.LAMBDA(_xlpm.part, _xlpm.val, _xlpm.error, IF(_xlpm.part = "", "", IF(LEN(_xlpm.error), _xlfn.SWITCH(IFERROR(_xlfn.TEXTBEFORE(_xlpm.error,":"), ""), "1", "Error", "2", "Disabled", "3", "Required", "4", "Warning", "Valid"), "Valid"))))</f>
        <v/>
      </c>
      <c r="EB8" s="22">
        <f t="array" ref="EB8">_xlfn.MAP('10 - Office Chairs'!B8:B507, '10 - Office Chairs'!EB8:EB507, '10 - Office Chairs-WUO_ERR'!EB8:EB507, _xlfn.LAMBDA(_xlpm.part, _xlpm.val, _xlpm.error, IF(_xlpm.part = "", "", IF(LEN(_xlpm.error), _xlfn.SWITCH(IFERROR(_xlfn.TEXTBEFORE(_xlpm.error,":"), ""), "1", "Error", "2", "Disabled", "3", "Required", "4", "Warning", "Valid"), "Valid"))))</f>
        <v/>
      </c>
      <c r="EC8" s="22">
        <f t="array" ref="EC8">_xlfn.MAP('10 - Office Chairs'!B8:B507, '10 - Office Chairs'!EC8:EC507, '10 - Office Chairs-WUO_ERR'!EC8:EC507, _xlfn.LAMBDA(_xlpm.part, _xlpm.val, _xlpm.error, IF(_xlpm.part = "", "", IF(LEN(_xlpm.error), _xlfn.SWITCH(IFERROR(_xlfn.TEXTBEFORE(_xlpm.error,":"), ""), "1", "Error", "2", "Disabled", "3", "Required", "4", "Warning", "Valid"), "Valid"))))</f>
        <v/>
      </c>
      <c r="ED8" s="22">
        <f t="array" ref="ED8">_xlfn.MAP('10 - Office Chairs'!B8:B507, '10 - Office Chairs'!ED8:ED507, '10 - Office Chairs-WUO_ERR'!ED8:ED507, _xlfn.LAMBDA(_xlpm.part, _xlpm.val, _xlpm.error, IF(_xlpm.part = "", "", IF(LEN(_xlpm.error), _xlfn.SWITCH(IFERROR(_xlfn.TEXTBEFORE(_xlpm.error,":"), ""), "1", "Error", "2", "Disabled", "3", "Required", "4", "Warning", "Valid"), "Valid"))))</f>
        <v/>
      </c>
      <c r="EE8" s="22">
        <f t="array" ref="EE8">_xlfn.MAP('10 - Office Chairs'!B8:B507, '10 - Office Chairs'!EE8:EE507, '10 - Office Chairs-WUO_ERR'!EE8:EE507, _xlfn.LAMBDA(_xlpm.part, _xlpm.val, _xlpm.error, IF(_xlpm.part = "", "", IF(LEN(_xlpm.error), _xlfn.SWITCH(IFERROR(_xlfn.TEXTBEFORE(_xlpm.error,":"), ""), "1", "Error", "2", "Disabled", "3", "Required", "4", "Warning", "Valid"), "Valid"))))</f>
        <v/>
      </c>
      <c r="EF8" s="22">
        <f t="array" ref="EF8">_xlfn.MAP('10 - Office Chairs'!B8:B507, '10 - Office Chairs'!EF8:EF507, '10 - Office Chairs-WUO_ERR'!EF8:EF507, _xlfn.LAMBDA(_xlpm.part, _xlpm.val, _xlpm.error, IF(_xlpm.part = "", "", IF(LEN(_xlpm.error), _xlfn.SWITCH(IFERROR(_xlfn.TEXTBEFORE(_xlpm.error,":"), ""), "1", "Error", "2", "Disabled", "3", "Required", "4", "Warning", "Valid"), "Valid"))))</f>
        <v/>
      </c>
      <c r="EG8" s="22">
        <f t="array" ref="EG8">_xlfn.MAP('10 - Office Chairs'!B8:B507, '10 - Office Chairs'!EG8:EG507, '10 - Office Chairs-WUO_ERR'!EG8:EG507, _xlfn.LAMBDA(_xlpm.part, _xlpm.val, _xlpm.error, IF(_xlpm.part = "", "", IF(LEN(_xlpm.error), _xlfn.SWITCH(IFERROR(_xlfn.TEXTBEFORE(_xlpm.error,":"), ""), "1", "Error", "2", "Disabled", "3", "Required", "4", "Warning", "Valid"), "Valid"))))</f>
        <v/>
      </c>
      <c r="EH8" s="22">
        <f t="array" ref="EH8">_xlfn.MAP('10 - Office Chairs'!B8:B507, '10 - Office Chairs'!EH8:EH507, '10 - Office Chairs-WUO_ERR'!EH8:EH507, _xlfn.LAMBDA(_xlpm.part, _xlpm.val, _xlpm.error, IF(_xlpm.part = "", "", IF(LEN(_xlpm.error), _xlfn.SWITCH(IFERROR(_xlfn.TEXTBEFORE(_xlpm.error,":"), ""), "1", "Error", "2", "Disabled", "3", "Required", "4", "Warning", "Valid"), "Valid"))))</f>
        <v/>
      </c>
      <c r="EI8" s="22">
        <f t="array" ref="EI8">_xlfn.MAP('10 - Office Chairs'!B8:B507, '10 - Office Chairs'!EI8:EI507, '10 - Office Chairs-WUO_ERR'!EI8:EI507, _xlfn.LAMBDA(_xlpm.part, _xlpm.val, _xlpm.error, IF(_xlpm.part = "", "", IF(LEN(_xlpm.error), _xlfn.SWITCH(IFERROR(_xlfn.TEXTBEFORE(_xlpm.error,":"), ""), "1", "Error", "2", "Disabled", "3", "Required", "4", "Warning", "Valid"), "Valid"))))</f>
        <v/>
      </c>
      <c r="EJ8" s="22">
        <f t="array" ref="EJ8">_xlfn.MAP('10 - Office Chairs'!B8:B507, '10 - Office Chairs'!EJ8:EJ507, '10 - Office Chairs-WUO_ERR'!EJ8:EJ507, _xlfn.LAMBDA(_xlpm.part, _xlpm.val, _xlpm.error, IF(_xlpm.part = "", "", IF(LEN(_xlpm.error), _xlfn.SWITCH(IFERROR(_xlfn.TEXTBEFORE(_xlpm.error,":"), ""), "1", "Error", "2", "Disabled", "3", "Required", "4", "Warning", "Valid"), "Valid"))))</f>
        <v/>
      </c>
      <c r="EK8" s="22">
        <f t="array" ref="EK8">_xlfn.MAP('10 - Office Chairs'!B8:B507, '10 - Office Chairs'!EK8:EK507, '10 - Office Chairs-WUO_ERR'!EK8:EK507, _xlfn.LAMBDA(_xlpm.part, _xlpm.val, _xlpm.error, IF(_xlpm.part = "", "", IF(LEN(_xlpm.error), _xlfn.SWITCH(IFERROR(_xlfn.TEXTBEFORE(_xlpm.error,":"), ""), "1", "Error", "2", "Disabled", "3", "Required", "4", "Warning", "Valid"), "Valid"))))</f>
        <v/>
      </c>
      <c r="EL8" s="22">
        <f t="array" ref="EL8">_xlfn.MAP('10 - Office Chairs'!B8:B507, '10 - Office Chairs'!EL8:EL507, '10 - Office Chairs-WUO_ERR'!EL8:EL507, _xlfn.LAMBDA(_xlpm.part, _xlpm.val, _xlpm.error, IF(_xlpm.part = "", "", IF(LEN(_xlpm.error), _xlfn.SWITCH(IFERROR(_xlfn.TEXTBEFORE(_xlpm.error,":"), ""), "1", "Error", "2", "Disabled", "3", "Required", "4", "Warning", "Valid"), "Valid"))))</f>
        <v/>
      </c>
      <c r="EM8" s="22">
        <f t="array" ref="EM8">_xlfn.MAP('10 - Office Chairs'!B8:B507, '10 - Office Chairs'!EM8:EM507, '10 - Office Chairs-WUO_ERR'!EM8:EM507, _xlfn.LAMBDA(_xlpm.part, _xlpm.val, _xlpm.error, IF(_xlpm.part = "", "", IF(LEN(_xlpm.error), _xlfn.SWITCH(IFERROR(_xlfn.TEXTBEFORE(_xlpm.error,":"), ""), "1", "Error", "2", "Disabled", "3", "Required", "4", "Warning", "Valid"), "Valid"))))</f>
        <v/>
      </c>
      <c r="EN8" s="22">
        <f t="array" ref="EN8">_xlfn.MAP('10 - Office Chairs'!B8:B507, '10 - Office Chairs'!EN8:EN507, '10 - Office Chairs-WUO_ERR'!EN8:EN507, _xlfn.LAMBDA(_xlpm.part, _xlpm.val, _xlpm.error, IF(_xlpm.part = "", "", IF(LEN(_xlpm.error), _xlfn.SWITCH(IFERROR(_xlfn.TEXTBEFORE(_xlpm.error,":"), ""), "1", "Error", "2", "Disabled", "3", "Required", "4", "Warning", "Valid"), "Valid"))))</f>
        <v/>
      </c>
      <c r="EO8" s="22">
        <f t="array" ref="EO8">_xlfn.MAP('10 - Office Chairs'!B8:B507, '10 - Office Chairs'!EO8:EO507, '10 - Office Chairs-WUO_ERR'!EO8:EO507, _xlfn.LAMBDA(_xlpm.part, _xlpm.val, _xlpm.error, IF(_xlpm.part = "", "", IF(LEN(_xlpm.error), _xlfn.SWITCH(IFERROR(_xlfn.TEXTBEFORE(_xlpm.error,":"), ""), "1", "Error", "2", "Disabled", "3", "Required", "4", "Warning", "Valid"), "Valid"))))</f>
        <v/>
      </c>
      <c r="EP8" s="22">
        <f t="array" ref="EP8">_xlfn.MAP('10 - Office Chairs'!B8:B507, '10 - Office Chairs'!EP8:EP507, '10 - Office Chairs-WUO_ERR'!EP8:EP507, _xlfn.LAMBDA(_xlpm.part, _xlpm.val, _xlpm.error, IF(_xlpm.part = "", "", IF(LEN(_xlpm.error), _xlfn.SWITCH(IFERROR(_xlfn.TEXTBEFORE(_xlpm.error,":"), ""), "1", "Error", "2", "Disabled", "3", "Required", "4", "Warning", "Valid"), "Valid"))))</f>
        <v/>
      </c>
      <c r="EQ8" s="22">
        <f t="array" ref="EQ8">_xlfn.MAP('10 - Office Chairs'!B8:B507, '10 - Office Chairs'!EQ8:EQ507, '10 - Office Chairs-WUO_ERR'!EQ8:EQ507, _xlfn.LAMBDA(_xlpm.part, _xlpm.val, _xlpm.error, IF(_xlpm.part = "", "", IF(LEN(_xlpm.error), _xlfn.SWITCH(IFERROR(_xlfn.TEXTBEFORE(_xlpm.error,":"), ""), "1", "Error", "2", "Disabled", "3", "Required", "4", "Warning", "Valid"), "Valid"))))</f>
        <v/>
      </c>
      <c r="ER8" s="22">
        <f t="array" ref="ER8">_xlfn.MAP('10 - Office Chairs'!B8:B507, '10 - Office Chairs'!ER8:ER507, '10 - Office Chairs-WUO_ERR'!ER8:ER507, _xlfn.LAMBDA(_xlpm.part, _xlpm.val, _xlpm.error, IF(_xlpm.part = "", "", IF(LEN(_xlpm.error), _xlfn.SWITCH(IFERROR(_xlfn.TEXTBEFORE(_xlpm.error,":"), ""), "1", "Error", "2", "Disabled", "3", "Required", "4", "Warning", "Valid"), "Valid"))))</f>
        <v/>
      </c>
      <c r="ES8" s="22">
        <f t="array" ref="ES8">_xlfn.MAP('10 - Office Chairs'!B8:B507, '10 - Office Chairs'!ES8:ES507, '10 - Office Chairs-WUO_ERR'!ES8:ES507, _xlfn.LAMBDA(_xlpm.part, _xlpm.val, _xlpm.error, IF(_xlpm.part = "", "", IF(LEN(_xlpm.error), _xlfn.SWITCH(IFERROR(_xlfn.TEXTBEFORE(_xlpm.error,":"), ""), "1", "Error", "2", "Disabled", "3", "Required", "4", "Warning", "Valid"), "Valid"))))</f>
        <v/>
      </c>
      <c r="ET8" s="22">
        <f t="array" ref="ET8">_xlfn.MAP('10 - Office Chairs'!B8:B507, '10 - Office Chairs'!ET8:ET507, '10 - Office Chairs-WUO_ERR'!ET8:ET507, _xlfn.LAMBDA(_xlpm.part, _xlpm.val, _xlpm.error, IF(_xlpm.part = "", "", IF(LEN(_xlpm.error), _xlfn.SWITCH(IFERROR(_xlfn.TEXTBEFORE(_xlpm.error,":"), ""), "1", "Error", "2", "Disabled", "3", "Required", "4", "Warning", "Valid"), "Valid"))))</f>
        <v/>
      </c>
      <c r="EU8" s="22">
        <f t="array" ref="EU8">_xlfn.MAP('10 - Office Chairs'!B8:B507, '10 - Office Chairs'!EU8:EU507, '10 - Office Chairs-WUO_ERR'!EU8:EU507, _xlfn.LAMBDA(_xlpm.part, _xlpm.val, _xlpm.error, IF(_xlpm.part = "", "", IF(LEN(_xlpm.error), _xlfn.SWITCH(IFERROR(_xlfn.TEXTBEFORE(_xlpm.error,":"), ""), "1", "Error", "2", "Disabled", "3", "Required", "4", "Warning", "Valid"), "Valid"))))</f>
        <v/>
      </c>
      <c r="EV8" s="22">
        <f t="array" ref="EV8">_xlfn.MAP('10 - Office Chairs'!B8:B507, '10 - Office Chairs'!EV8:EV507, '10 - Office Chairs-WUO_ERR'!EV8:EV507, _xlfn.LAMBDA(_xlpm.part, _xlpm.val, _xlpm.error, IF(_xlpm.part = "", "", IF(LEN(_xlpm.error), _xlfn.SWITCH(IFERROR(_xlfn.TEXTBEFORE(_xlpm.error,":"), ""), "1", "Error", "2", "Disabled", "3", "Required", "4", "Warning", "Valid"), "Valid"))))</f>
        <v/>
      </c>
      <c r="EW8" s="22">
        <f t="array" ref="EW8">_xlfn.MAP('10 - Office Chairs'!B8:B507, '10 - Office Chairs'!EW8:EW507, '10 - Office Chairs-WUO_ERR'!EW8:EW507, _xlfn.LAMBDA(_xlpm.part, _xlpm.val, _xlpm.error, IF(_xlpm.part = "", "", IF(LEN(_xlpm.error), _xlfn.SWITCH(IFERROR(_xlfn.TEXTBEFORE(_xlpm.error,":"), ""), "1", "Error", "2", "Disabled", "3", "Required", "4", "Warning", "Valid"), "Valid"))))</f>
        <v/>
      </c>
      <c r="EX8" s="22">
        <f t="array" ref="EX8">_xlfn.MAP('10 - Office Chairs'!B8:B507, '10 - Office Chairs'!EX8:EX507, '10 - Office Chairs-WUO_ERR'!EX8:EX507, _xlfn.LAMBDA(_xlpm.part, _xlpm.val, _xlpm.error, IF(_xlpm.part = "", "", IF(LEN(_xlpm.error), _xlfn.SWITCH(IFERROR(_xlfn.TEXTBEFORE(_xlpm.error,":"), ""), "1", "Error", "2", "Disabled", "3", "Required", "4", "Warning", "Valid"), "Valid"))))</f>
        <v/>
      </c>
      <c r="EY8" s="22">
        <f t="array" ref="EY8">_xlfn.MAP('10 - Office Chairs'!B8:B507, '10 - Office Chairs'!EY8:EY507, '10 - Office Chairs-WUO_ERR'!EY8:EY507, _xlfn.LAMBDA(_xlpm.part, _xlpm.val, _xlpm.error, IF(_xlpm.part = "", "", IF(LEN(_xlpm.error), _xlfn.SWITCH(IFERROR(_xlfn.TEXTBEFORE(_xlpm.error,":"), ""), "1", "Error", "2", "Disabled", "3", "Required", "4", "Warning", "Valid"), "Valid"))))</f>
        <v/>
      </c>
      <c r="EZ8" s="22">
        <f t="array" ref="EZ8">_xlfn.MAP('10 - Office Chairs'!B8:B507, '10 - Office Chairs'!EZ8:EZ507, '10 - Office Chairs-WUO_ERR'!EZ8:EZ507, _xlfn.LAMBDA(_xlpm.part, _xlpm.val, _xlpm.error, IF(_xlpm.part = "", "", IF(LEN(_xlpm.error), _xlfn.SWITCH(IFERROR(_xlfn.TEXTBEFORE(_xlpm.error,":"), ""), "1", "Error", "2", "Disabled", "3", "Required", "4", "Warning", "Valid"), "Valid"))))</f>
        <v/>
      </c>
      <c r="FA8" s="22">
        <f t="array" ref="FA8">_xlfn.MAP('10 - Office Chairs'!B8:B507, '10 - Office Chairs'!FA8:FA507, '10 - Office Chairs-WUO_ERR'!FA8:FA507, _xlfn.LAMBDA(_xlpm.part, _xlpm.val, _xlpm.error, IF(_xlpm.part = "", "", IF(LEN(_xlpm.error), _xlfn.SWITCH(IFERROR(_xlfn.TEXTBEFORE(_xlpm.error,":"), ""), "1", "Error", "2", "Disabled", "3", "Required", "4", "Warning", "Valid"), "Valid"))))</f>
        <v/>
      </c>
      <c r="FB8" s="22">
        <f t="array" ref="FB8">_xlfn.MAP('10 - Office Chairs'!B8:B507, '10 - Office Chairs'!FB8:FB507, '10 - Office Chairs-WUO_ERR'!FB8:FB507, _xlfn.LAMBDA(_xlpm.part, _xlpm.val, _xlpm.error, IF(_xlpm.part = "", "", IF(LEN(_xlpm.error), _xlfn.SWITCH(IFERROR(_xlfn.TEXTBEFORE(_xlpm.error,":"), ""), "1", "Error", "2", "Disabled", "3", "Required", "4", "Warning", "Valid"), "Valid"))))</f>
        <v/>
      </c>
      <c r="FC8" s="22">
        <f t="array" ref="FC8">_xlfn.MAP('10 - Office Chairs'!B8:B507, '10 - Office Chairs'!FC8:FC507, '10 - Office Chairs-WUO_ERR'!FC8:FC507, _xlfn.LAMBDA(_xlpm.part, _xlpm.val, _xlpm.error, IF(_xlpm.part = "", "", IF(LEN(_xlpm.error), _xlfn.SWITCH(IFERROR(_xlfn.TEXTBEFORE(_xlpm.error,":"), ""), "1", "Error", "2", "Disabled", "3", "Required", "4", "Warning", "Valid"), "Valid"))))</f>
        <v/>
      </c>
      <c r="FD8" s="22">
        <f t="array" ref="FD8">_xlfn.MAP('10 - Office Chairs'!B8:B507, '10 - Office Chairs'!FD8:FD507, '10 - Office Chairs-WUO_ERR'!FD8:FD507, _xlfn.LAMBDA(_xlpm.part, _xlpm.val, _xlpm.error, IF(_xlpm.part = "", "", IF(LEN(_xlpm.error), _xlfn.SWITCH(IFERROR(_xlfn.TEXTBEFORE(_xlpm.error,":"), ""), "1", "Error", "2", "Disabled", "3", "Required", "4", "Warning", "Valid"), "Valid"))))</f>
        <v/>
      </c>
      <c r="FE8" s="22">
        <f t="array" ref="FE8">_xlfn.MAP('10 - Office Chairs'!B8:B507, '10 - Office Chairs'!FE8:FE507, '10 - Office Chairs-WUO_ERR'!FE8:FE507, _xlfn.LAMBDA(_xlpm.part, _xlpm.val, _xlpm.error, IF(_xlpm.part = "", "", IF(LEN(_xlpm.error), _xlfn.SWITCH(IFERROR(_xlfn.TEXTBEFORE(_xlpm.error,":"), ""), "1", "Error", "2", "Disabled", "3", "Required", "4", "Warning", "Valid"), "Valid"))))</f>
        <v/>
      </c>
      <c r="FF8" s="22">
        <f t="array" ref="FF8">_xlfn.MAP('10 - Office Chairs'!B8:B507, '10 - Office Chairs'!FF8:FF507, '10 - Office Chairs-WUO_ERR'!FF8:FF507, _xlfn.LAMBDA(_xlpm.part, _xlpm.val, _xlpm.error, IF(_xlpm.part = "", "", IF(LEN(_xlpm.error), _xlfn.SWITCH(IFERROR(_xlfn.TEXTBEFORE(_xlpm.error,":"), ""), "1", "Error", "2", "Disabled", "3", "Required", "4", "Warning", "Valid"), "Valid"))))</f>
        <v/>
      </c>
      <c r="FG8" s="22">
        <f t="array" ref="FG8">_xlfn.MAP('10 - Office Chairs'!B8:B507, '10 - Office Chairs'!FG8:FG507, '10 - Office Chairs-WUO_ERR'!FG8:FG507, _xlfn.LAMBDA(_xlpm.part, _xlpm.val, _xlpm.error, IF(_xlpm.part = "", "", IF(LEN(_xlpm.error), _xlfn.SWITCH(IFERROR(_xlfn.TEXTBEFORE(_xlpm.error,":"), ""), "1", "Error", "2", "Disabled", "3", "Required", "4", "Warning", "Valid"), "Valid"))))</f>
        <v/>
      </c>
      <c r="FH8" s="22">
        <f t="array" ref="FH8">_xlfn.MAP('10 - Office Chairs'!B8:B507, '10 - Office Chairs'!FH8:FH507, '10 - Office Chairs-WUO_ERR'!FH8:FH507, _xlfn.LAMBDA(_xlpm.part, _xlpm.val, _xlpm.error, IF(_xlpm.part = "", "", IF(LEN(_xlpm.error), _xlfn.SWITCH(IFERROR(_xlfn.TEXTBEFORE(_xlpm.error,":"), ""), "1", "Error", "2", "Disabled", "3", "Required", "4", "Warning", "Valid"), "Valid"))))</f>
        <v/>
      </c>
      <c r="FI8" s="22">
        <f t="array" ref="FI8">_xlfn.MAP('10 - Office Chairs'!B8:B507, '10 - Office Chairs'!FI8:FI507, '10 - Office Chairs-WUO_ERR'!FI8:FI507, _xlfn.LAMBDA(_xlpm.part, _xlpm.val, _xlpm.error, IF(_xlpm.part = "", "", IF(LEN(_xlpm.error), _xlfn.SWITCH(IFERROR(_xlfn.TEXTBEFORE(_xlpm.error,":"), ""), "1", "Error", "2", "Disabled", "3", "Required", "4", "Warning", "Valid"), "Valid"))))</f>
        <v/>
      </c>
      <c r="FJ8" s="22">
        <f t="array" ref="FJ8">_xlfn.MAP('10 - Office Chairs'!B8:B507, '10 - Office Chairs'!FJ8:FJ507, '10 - Office Chairs-WUO_ERR'!FJ8:FJ507, _xlfn.LAMBDA(_xlpm.part, _xlpm.val, _xlpm.error, IF(_xlpm.part = "", "", IF(LEN(_xlpm.error), _xlfn.SWITCH(IFERROR(_xlfn.TEXTBEFORE(_xlpm.error,":"), ""), "1", "Error", "2", "Disabled", "3", "Required", "4", "Warning", "Valid"), "Valid"))))</f>
        <v/>
      </c>
      <c r="FK8" s="22">
        <f t="array" ref="FK8">_xlfn.MAP('10 - Office Chairs'!B8:B507, '10 - Office Chairs'!FK8:FK507, '10 - Office Chairs-WUO_ERR'!FK8:FK507, _xlfn.LAMBDA(_xlpm.part, _xlpm.val, _xlpm.error, IF(_xlpm.part = "", "", IF(LEN(_xlpm.error), _xlfn.SWITCH(IFERROR(_xlfn.TEXTBEFORE(_xlpm.error,":"), ""), "1", "Error", "2", "Disabled", "3", "Required", "4", "Warning", "Valid"), "Valid"))))</f>
        <v/>
      </c>
      <c r="FL8" s="22">
        <f t="array" ref="FL8">_xlfn.MAP('10 - Office Chairs'!B8:B507, '10 - Office Chairs'!FL8:FL507, '10 - Office Chairs-WUO_ERR'!FL8:FL507, _xlfn.LAMBDA(_xlpm.part, _xlpm.val, _xlpm.error, IF(_xlpm.part = "", "", IF(LEN(_xlpm.error), _xlfn.SWITCH(IFERROR(_xlfn.TEXTBEFORE(_xlpm.error,":"), ""), "1", "Error", "2", "Disabled", "3", "Required", "4", "Warning", "Valid"), "Valid"))))</f>
        <v/>
      </c>
      <c r="FM8" s="22">
        <f t="array" ref="FM8">_xlfn.MAP('10 - Office Chairs'!B8:B507, '10 - Office Chairs'!FM8:FM507, '10 - Office Chairs-WUO_ERR'!FM8:FM507, _xlfn.LAMBDA(_xlpm.part, _xlpm.val, _xlpm.error, IF(_xlpm.part = "", "", IF(LEN(_xlpm.error), _xlfn.SWITCH(IFERROR(_xlfn.TEXTBEFORE(_xlpm.error,":"), ""), "1", "Error", "2", "Disabled", "3", "Required", "4", "Warning", "Valid"), "Valid"))))</f>
        <v/>
      </c>
      <c r="FN8" s="22">
        <f t="array" ref="FN8">_xlfn.MAP('10 - Office Chairs'!B8:B507, '10 - Office Chairs'!FN8:FN507, '10 - Office Chairs-WUO_ERR'!FN8:FN507, _xlfn.LAMBDA(_xlpm.part, _xlpm.val, _xlpm.error, IF(_xlpm.part = "", "", IF(LEN(_xlpm.error), _xlfn.SWITCH(IFERROR(_xlfn.TEXTBEFORE(_xlpm.error,":"), ""), "1", "Error", "2", "Disabled", "3", "Required", "4", "Warning", "Valid"), "Valid"))))</f>
        <v/>
      </c>
      <c r="FO8" s="22">
        <f t="array" ref="FO8">_xlfn.MAP('10 - Office Chairs'!B8:B507, '10 - Office Chairs'!FO8:FO507, '10 - Office Chairs-WUO_ERR'!FO8:FO507, _xlfn.LAMBDA(_xlpm.part, _xlpm.val, _xlpm.error, IF(_xlpm.part = "", "", IF(LEN(_xlpm.error), _xlfn.SWITCH(IFERROR(_xlfn.TEXTBEFORE(_xlpm.error,":"), ""), "1", "Error", "2", "Disabled", "3", "Required", "4", "Warning", "Valid"), "Valid"))))</f>
        <v/>
      </c>
      <c r="FP8" s="22">
        <f t="array" ref="FP8">_xlfn.MAP('10 - Office Chairs'!B8:B507, '10 - Office Chairs'!FP8:FP507, '10 - Office Chairs-WUO_ERR'!FP8:FP507,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C6D3"/>
  <mergeCells count="9">
    <mergeCell ref="AL2:AO2"/>
    <mergeCell ref="AP2:AS2"/>
    <mergeCell ref="U2:Z2"/>
    <mergeCell ref="BO2:FP2"/>
    <mergeCell ref="R2:T2"/>
    <mergeCell ref="B2:I2"/>
    <mergeCell ref="AA2:AK2"/>
    <mergeCell ref="AT2:BN2"/>
    <mergeCell ref="J2:Q2"/>
  </mergeCells>
  <dataValidations count="166">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DY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s="39">
        <f>IF('13 - Dressers &amp; Chests'!B8 = "", "", IF('13 - Dressers &amp; Chests-WUO_ERR'!A8 = "", "Validated", HYPERLINK("#" &amp; ADDRESS(8, '13 - Dressers &amp; Chests-WUO_TRK'!A8),_xlfn.TEXTAFTER('13 - Dressers &amp; Chests-WUO_ERR'!A8, ":"))))</f>
        <v/>
      </c>
    </row>
    <row r="9">
      <c r="A9" s="39">
        <f>IF('13 - Dressers &amp; Chests'!B9 = "", "", IF('13 - Dressers &amp; Chests-WUO_ERR'!A9 = "", "Validated", HYPERLINK("#" &amp; ADDRESS(9, '13 - Dressers &amp; Chests-WUO_TRK'!A9),_xlfn.TEXTAFTER('13 - Dressers &amp; Chests-WUO_ERR'!A9, ":"))))</f>
        <v/>
      </c>
    </row>
    <row r="10">
      <c r="A10" s="39">
        <f>IF('13 - Dressers &amp; Chests'!B10 = "", "", IF('13 - Dressers &amp; Chests-WUO_ERR'!A10 = "", "Validated", HYPERLINK("#" &amp; ADDRESS(10, '13 - Dressers &amp; Chests-WUO_TRK'!A10),_xlfn.TEXTAFTER('13 - Dressers &amp; Chests-WUO_ERR'!A10, ":"))))</f>
        <v/>
      </c>
    </row>
    <row r="11">
      <c r="A11" s="39">
        <f>IF('13 - Dressers &amp; Chests'!B11 = "", "", IF('13 - Dressers &amp; Chests-WUO_ERR'!A11 = "", "Validated", HYPERLINK("#" &amp; ADDRESS(11, '13 - Dressers &amp; Chests-WUO_TRK'!A11),_xlfn.TEXTAFTER('13 - Dressers &amp; Chests-WUO_ERR'!A11, ":"))))</f>
        <v/>
      </c>
    </row>
    <row r="12">
      <c r="A12" s="39">
        <f>IF('13 - Dressers &amp; Chests'!B12 = "", "", IF('13 - Dressers &amp; Chests-WUO_ERR'!A12 = "", "Validated", HYPERLINK("#" &amp; ADDRESS(12, '13 - Dressers &amp; Chests-WUO_TRK'!A12),_xlfn.TEXTAFTER('13 - Dressers &amp; Chests-WUO_ERR'!A12, ":"))))</f>
        <v/>
      </c>
    </row>
    <row r="13">
      <c r="A13" s="39">
        <f>IF('13 - Dressers &amp; Chests'!B13 = "", "", IF('13 - Dressers &amp; Chests-WUO_ERR'!A13 = "", "Validated", HYPERLINK("#" &amp; ADDRESS(13, '13 - Dressers &amp; Chests-WUO_TRK'!A13),_xlfn.TEXTAFTER('13 - Dressers &amp; Chests-WUO_ERR'!A13, ":"))))</f>
        <v/>
      </c>
    </row>
    <row r="14">
      <c r="A14" s="39">
        <f>IF('13 - Dressers &amp; Chests'!B14 = "", "", IF('13 - Dressers &amp; Chests-WUO_ERR'!A14 = "", "Validated", HYPERLINK("#" &amp; ADDRESS(14, '13 - Dressers &amp; Chests-WUO_TRK'!A14),_xlfn.TEXTAFTER('13 - Dressers &amp; Chests-WUO_ERR'!A14, ":"))))</f>
        <v/>
      </c>
    </row>
    <row r="15">
      <c r="A15" s="39">
        <f>IF('13 - Dressers &amp; Chests'!B15 = "", "", IF('13 - Dressers &amp; Chests-WUO_ERR'!A15 = "", "Validated", HYPERLINK("#" &amp; ADDRESS(15, '13 - Dressers &amp; Chests-WUO_TRK'!A15),_xlfn.TEXTAFTER('13 - Dressers &amp; Chests-WUO_ERR'!A15, ":"))))</f>
        <v/>
      </c>
    </row>
    <row r="16">
      <c r="A16" s="39">
        <f>IF('13 - Dressers &amp; Chests'!B16 = "", "", IF('13 - Dressers &amp; Chests-WUO_ERR'!A16 = "", "Validated", HYPERLINK("#" &amp; ADDRESS(16, '13 - Dressers &amp; Chests-WUO_TRK'!A16),_xlfn.TEXTAFTER('13 - Dressers &amp; Chests-WUO_ERR'!A16, ":"))))</f>
        <v/>
      </c>
    </row>
    <row r="17">
      <c r="A17" s="39">
        <f>IF('13 - Dressers &amp; Chests'!B17 = "", "", IF('13 - Dressers &amp; Chests-WUO_ERR'!A17 = "", "Validated", HYPERLINK("#" &amp; ADDRESS(17, '13 - Dressers &amp; Chests-WUO_TRK'!A17),_xlfn.TEXTAFTER('13 - Dressers &amp; Chests-WUO_ERR'!A17, ":"))))</f>
        <v/>
      </c>
    </row>
    <row r="18">
      <c r="A18" s="39">
        <f>IF('13 - Dressers &amp; Chests'!B18 = "", "", IF('13 - Dressers &amp; Chests-WUO_ERR'!A18 = "", "Validated", HYPERLINK("#" &amp; ADDRESS(18, '13 - Dressers &amp; Chests-WUO_TRK'!A18),_xlfn.TEXTAFTER('13 - Dressers &amp; Chests-WUO_ERR'!A18, ":"))))</f>
        <v/>
      </c>
    </row>
    <row r="19">
      <c r="A19" s="39">
        <f>IF('13 - Dressers &amp; Chests'!B19 = "", "", IF('13 - Dressers &amp; Chests-WUO_ERR'!A19 = "", "Validated", HYPERLINK("#" &amp; ADDRESS(19, '13 - Dressers &amp; Chests-WUO_TRK'!A19),_xlfn.TEXTAFTER('13 - Dressers &amp; Chests-WUO_ERR'!A19, ":"))))</f>
        <v/>
      </c>
    </row>
    <row r="20">
      <c r="A20" s="39">
        <f>IF('13 - Dressers &amp; Chests'!B20 = "", "", IF('13 - Dressers &amp; Chests-WUO_ERR'!A20 = "", "Validated", HYPERLINK("#" &amp; ADDRESS(20, '13 - Dressers &amp; Chests-WUO_TRK'!A20),_xlfn.TEXTAFTER('13 - Dressers &amp; Chests-WUO_ERR'!A20, ":"))))</f>
        <v/>
      </c>
    </row>
    <row r="21">
      <c r="A21" s="39">
        <f>IF('13 - Dressers &amp; Chests'!B21 = "", "", IF('13 - Dressers &amp; Chests-WUO_ERR'!A21 = "", "Validated", HYPERLINK("#" &amp; ADDRESS(21, '13 - Dressers &amp; Chests-WUO_TRK'!A21),_xlfn.TEXTAFTER('13 - Dressers &amp; Chests-WUO_ERR'!A21, ":"))))</f>
        <v/>
      </c>
    </row>
    <row r="22">
      <c r="A22" s="39">
        <f>IF('13 - Dressers &amp; Chests'!B22 = "", "", IF('13 - Dressers &amp; Chests-WUO_ERR'!A22 = "", "Validated", HYPERLINK("#" &amp; ADDRESS(22, '13 - Dressers &amp; Chests-WUO_TRK'!A22),_xlfn.TEXTAFTER('13 - Dressers &amp; Chests-WUO_ERR'!A22, ":"))))</f>
        <v/>
      </c>
    </row>
    <row r="23">
      <c r="A23" s="39">
        <f>IF('13 - Dressers &amp; Chests'!B23 = "", "", IF('13 - Dressers &amp; Chests-WUO_ERR'!A23 = "", "Validated", HYPERLINK("#" &amp; ADDRESS(23, '13 - Dressers &amp; Chests-WUO_TRK'!A23),_xlfn.TEXTAFTER('13 - Dressers &amp; Chests-WUO_ERR'!A23, ":"))))</f>
        <v/>
      </c>
    </row>
    <row r="24">
      <c r="A24" s="39">
        <f>IF('13 - Dressers &amp; Chests'!B24 = "", "", IF('13 - Dressers &amp; Chests-WUO_ERR'!A24 = "", "Validated", HYPERLINK("#" &amp; ADDRESS(24, '13 - Dressers &amp; Chests-WUO_TRK'!A24),_xlfn.TEXTAFTER('13 - Dressers &amp; Chests-WUO_ERR'!A24, ":"))))</f>
        <v/>
      </c>
    </row>
    <row r="25">
      <c r="A25" s="39">
        <f>IF('13 - Dressers &amp; Chests'!B25 = "", "", IF('13 - Dressers &amp; Chests-WUO_ERR'!A25 = "", "Validated", HYPERLINK("#" &amp; ADDRESS(25, '13 - Dressers &amp; Chests-WUO_TRK'!A25),_xlfn.TEXTAFTER('13 - Dressers &amp; Chests-WUO_ERR'!A25, ":"))))</f>
        <v/>
      </c>
    </row>
    <row r="26">
      <c r="A26" s="39">
        <f>IF('13 - Dressers &amp; Chests'!B26 = "", "", IF('13 - Dressers &amp; Chests-WUO_ERR'!A26 = "", "Validated", HYPERLINK("#" &amp; ADDRESS(26, '13 - Dressers &amp; Chests-WUO_TRK'!A26),_xlfn.TEXTAFTER('13 - Dressers &amp; Chests-WUO_ERR'!A26, ":"))))</f>
        <v/>
      </c>
    </row>
    <row r="27">
      <c r="A27" s="39">
        <f>IF('13 - Dressers &amp; Chests'!B27 = "", "", IF('13 - Dressers &amp; Chests-WUO_ERR'!A27 = "", "Validated", HYPERLINK("#" &amp; ADDRESS(27, '13 - Dressers &amp; Chests-WUO_TRK'!A27),_xlfn.TEXTAFTER('13 - Dressers &amp; Chests-WUO_ERR'!A27, ":"))))</f>
        <v/>
      </c>
    </row>
    <row r="28">
      <c r="A28" s="39">
        <f>IF('13 - Dressers &amp; Chests'!B28 = "", "", IF('13 - Dressers &amp; Chests-WUO_ERR'!A28 = "", "Validated", HYPERLINK("#" &amp; ADDRESS(28, '13 - Dressers &amp; Chests-WUO_TRK'!A28),_xlfn.TEXTAFTER('13 - Dressers &amp; Chests-WUO_ERR'!A28, ":"))))</f>
        <v/>
      </c>
    </row>
    <row r="29">
      <c r="A29" s="39">
        <f>IF('13 - Dressers &amp; Chests'!B29 = "", "", IF('13 - Dressers &amp; Chests-WUO_ERR'!A29 = "", "Validated", HYPERLINK("#" &amp; ADDRESS(29, '13 - Dressers &amp; Chests-WUO_TRK'!A29),_xlfn.TEXTAFTER('13 - Dressers &amp; Chests-WUO_ERR'!A29, ":"))))</f>
        <v/>
      </c>
    </row>
    <row r="30">
      <c r="A30" s="39">
        <f>IF('13 - Dressers &amp; Chests'!B30 = "", "", IF('13 - Dressers &amp; Chests-WUO_ERR'!A30 = "", "Validated", HYPERLINK("#" &amp; ADDRESS(30, '13 - Dressers &amp; Chests-WUO_TRK'!A30),_xlfn.TEXTAFTER('13 - Dressers &amp; Chests-WUO_ERR'!A30, ":"))))</f>
        <v/>
      </c>
    </row>
    <row r="31">
      <c r="A31" s="39">
        <f>IF('13 - Dressers &amp; Chests'!B31 = "", "", IF('13 - Dressers &amp; Chests-WUO_ERR'!A31 = "", "Validated", HYPERLINK("#" &amp; ADDRESS(31, '13 - Dressers &amp; Chests-WUO_TRK'!A31),_xlfn.TEXTAFTER('13 - Dressers &amp; Chests-WUO_ERR'!A31, ":"))))</f>
        <v/>
      </c>
    </row>
    <row r="32">
      <c r="A32" s="39">
        <f>IF('13 - Dressers &amp; Chests'!B32 = "", "", IF('13 - Dressers &amp; Chests-WUO_ERR'!A32 = "", "Validated", HYPERLINK("#" &amp; ADDRESS(32, '13 - Dressers &amp; Chests-WUO_TRK'!A32),_xlfn.TEXTAFTER('13 - Dressers &amp; Chests-WUO_ERR'!A32, ":"))))</f>
        <v/>
      </c>
    </row>
    <row r="33">
      <c r="A33" s="39">
        <f>IF('13 - Dressers &amp; Chests'!B33 = "", "", IF('13 - Dressers &amp; Chests-WUO_ERR'!A33 = "", "Validated", HYPERLINK("#" &amp; ADDRESS(33, '13 - Dressers &amp; Chests-WUO_TRK'!A33),_xlfn.TEXTAFTER('13 - Dressers &amp; Chests-WUO_ERR'!A33, ":"))))</f>
        <v/>
      </c>
    </row>
    <row r="34">
      <c r="A34" s="39">
        <f>IF('13 - Dressers &amp; Chests'!B34 = "", "", IF('13 - Dressers &amp; Chests-WUO_ERR'!A34 = "", "Validated", HYPERLINK("#" &amp; ADDRESS(34, '13 - Dressers &amp; Chests-WUO_TRK'!A34),_xlfn.TEXTAFTER('13 - Dressers &amp; Chests-WUO_ERR'!A34, ":"))))</f>
        <v/>
      </c>
    </row>
    <row r="35">
      <c r="A35" s="39">
        <f>IF('13 - Dressers &amp; Chests'!B35 = "", "", IF('13 - Dressers &amp; Chests-WUO_ERR'!A35 = "", "Validated", HYPERLINK("#" &amp; ADDRESS(35, '13 - Dressers &amp; Chests-WUO_TRK'!A35),_xlfn.TEXTAFTER('13 - Dressers &amp; Chests-WUO_ERR'!A35, ":"))))</f>
        <v/>
      </c>
    </row>
    <row r="36">
      <c r="A36" s="39">
        <f>IF('13 - Dressers &amp; Chests'!B36 = "", "", IF('13 - Dressers &amp; Chests-WUO_ERR'!A36 = "", "Validated", HYPERLINK("#" &amp; ADDRESS(36, '13 - Dressers &amp; Chests-WUO_TRK'!A36),_xlfn.TEXTAFTER('13 - Dressers &amp; Chests-WUO_ERR'!A36, ":"))))</f>
        <v/>
      </c>
    </row>
    <row r="37">
      <c r="A37" s="39">
        <f>IF('13 - Dressers &amp; Chests'!B37 = "", "", IF('13 - Dressers &amp; Chests-WUO_ERR'!A37 = "", "Validated", HYPERLINK("#" &amp; ADDRESS(37, '13 - Dressers &amp; Chests-WUO_TRK'!A37),_xlfn.TEXTAFTER('13 - Dressers &amp; Chests-WUO_ERR'!A37, ":"))))</f>
        <v/>
      </c>
    </row>
    <row r="38">
      <c r="A38" s="39">
        <f>IF('13 - Dressers &amp; Chests'!B38 = "", "", IF('13 - Dressers &amp; Chests-WUO_ERR'!A38 = "", "Validated", HYPERLINK("#" &amp; ADDRESS(38, '13 - Dressers &amp; Chests-WUO_TRK'!A38),_xlfn.TEXTAFTER('13 - Dressers &amp; Chests-WUO_ERR'!A38, ":"))))</f>
        <v/>
      </c>
    </row>
    <row r="39">
      <c r="A39" s="39">
        <f>IF('13 - Dressers &amp; Chests'!B39 = "", "", IF('13 - Dressers &amp; Chests-WUO_ERR'!A39 = "", "Validated", HYPERLINK("#" &amp; ADDRESS(39, '13 - Dressers &amp; Chests-WUO_TRK'!A39),_xlfn.TEXTAFTER('13 - Dressers &amp; Chests-WUO_ERR'!A39, ":"))))</f>
        <v/>
      </c>
    </row>
    <row r="40">
      <c r="A40" s="39">
        <f>IF('13 - Dressers &amp; Chests'!B40 = "", "", IF('13 - Dressers &amp; Chests-WUO_ERR'!A40 = "", "Validated", HYPERLINK("#" &amp; ADDRESS(40, '13 - Dressers &amp; Chests-WUO_TRK'!A40),_xlfn.TEXTAFTER('13 - Dressers &amp; Chests-WUO_ERR'!A40, ":"))))</f>
        <v/>
      </c>
    </row>
    <row r="41">
      <c r="A41" s="39">
        <f>IF('13 - Dressers &amp; Chests'!B41 = "", "", IF('13 - Dressers &amp; Chests-WUO_ERR'!A41 = "", "Validated", HYPERLINK("#" &amp; ADDRESS(41, '13 - Dressers &amp; Chests-WUO_TRK'!A41),_xlfn.TEXTAFTER('13 - Dressers &amp; Chests-WUO_ERR'!A41, ":"))))</f>
        <v/>
      </c>
    </row>
    <row r="42">
      <c r="A42" s="39">
        <f>IF('13 - Dressers &amp; Chests'!B42 = "", "", IF('13 - Dressers &amp; Chests-WUO_ERR'!A42 = "", "Validated", HYPERLINK("#" &amp; ADDRESS(42, '13 - Dressers &amp; Chests-WUO_TRK'!A42),_xlfn.TEXTAFTER('13 - Dressers &amp; Chests-WUO_ERR'!A42, ":"))))</f>
        <v/>
      </c>
    </row>
    <row r="43">
      <c r="A43" s="39">
        <f>IF('13 - Dressers &amp; Chests'!B43 = "", "", IF('13 - Dressers &amp; Chests-WUO_ERR'!A43 = "", "Validated", HYPERLINK("#" &amp; ADDRESS(43, '13 - Dressers &amp; Chests-WUO_TRK'!A43),_xlfn.TEXTAFTER('13 - Dressers &amp; Chests-WUO_ERR'!A43, ":"))))</f>
        <v/>
      </c>
    </row>
    <row r="44">
      <c r="A44" s="39">
        <f>IF('13 - Dressers &amp; Chests'!B44 = "", "", IF('13 - Dressers &amp; Chests-WUO_ERR'!A44 = "", "Validated", HYPERLINK("#" &amp; ADDRESS(44, '13 - Dressers &amp; Chests-WUO_TRK'!A44),_xlfn.TEXTAFTER('13 - Dressers &amp; Chests-WUO_ERR'!A44, ":"))))</f>
        <v/>
      </c>
    </row>
    <row r="45">
      <c r="A45" s="39">
        <f>IF('13 - Dressers &amp; Chests'!B45 = "", "", IF('13 - Dressers &amp; Chests-WUO_ERR'!A45 = "", "Validated", HYPERLINK("#" &amp; ADDRESS(45, '13 - Dressers &amp; Chests-WUO_TRK'!A45),_xlfn.TEXTAFTER('13 - Dressers &amp; Chests-WUO_ERR'!A45, ":"))))</f>
        <v/>
      </c>
    </row>
    <row r="46">
      <c r="A46" s="39">
        <f>IF('13 - Dressers &amp; Chests'!B46 = "", "", IF('13 - Dressers &amp; Chests-WUO_ERR'!A46 = "", "Validated", HYPERLINK("#" &amp; ADDRESS(46, '13 - Dressers &amp; Chests-WUO_TRK'!A46),_xlfn.TEXTAFTER('13 - Dressers &amp; Chests-WUO_ERR'!A46, ":"))))</f>
        <v/>
      </c>
    </row>
    <row r="47">
      <c r="A47" s="39">
        <f>IF('13 - Dressers &amp; Chests'!B47 = "", "", IF('13 - Dressers &amp; Chests-WUO_ERR'!A47 = "", "Validated", HYPERLINK("#" &amp; ADDRESS(47, '13 - Dressers &amp; Chests-WUO_TRK'!A47),_xlfn.TEXTAFTER('13 - Dressers &amp; Chests-WUO_ERR'!A47, ":"))))</f>
        <v/>
      </c>
    </row>
    <row r="48">
      <c r="A48" s="39">
        <f>IF('13 - Dressers &amp; Chests'!B48 = "", "", IF('13 - Dressers &amp; Chests-WUO_ERR'!A48 = "", "Validated", HYPERLINK("#" &amp; ADDRESS(48, '13 - Dressers &amp; Chests-WUO_TRK'!A48),_xlfn.TEXTAFTER('13 - Dressers &amp; Chests-WUO_ERR'!A48, ":"))))</f>
        <v/>
      </c>
    </row>
    <row r="49">
      <c r="A49" s="39">
        <f>IF('13 - Dressers &amp; Chests'!B49 = "", "", IF('13 - Dressers &amp; Chests-WUO_ERR'!A49 = "", "Validated", HYPERLINK("#" &amp; ADDRESS(49, '13 - Dressers &amp; Chests-WUO_TRK'!A49),_xlfn.TEXTAFTER('13 - Dressers &amp; Chests-WUO_ERR'!A49, ":"))))</f>
        <v/>
      </c>
    </row>
    <row r="50">
      <c r="A50" s="39">
        <f>IF('13 - Dressers &amp; Chests'!B50 = "", "", IF('13 - Dressers &amp; Chests-WUO_ERR'!A50 = "", "Validated", HYPERLINK("#" &amp; ADDRESS(50, '13 - Dressers &amp; Chests-WUO_TRK'!A50),_xlfn.TEXTAFTER('13 - Dressers &amp; Chests-WUO_ERR'!A50, ":"))))</f>
        <v/>
      </c>
    </row>
    <row r="51">
      <c r="A51" s="39">
        <f>IF('13 - Dressers &amp; Chests'!B51 = "", "", IF('13 - Dressers &amp; Chests-WUO_ERR'!A51 = "", "Validated", HYPERLINK("#" &amp; ADDRESS(51, '13 - Dressers &amp; Chests-WUO_TRK'!A51),_xlfn.TEXTAFTER('13 - Dressers &amp; Chests-WUO_ERR'!A51, ":"))))</f>
        <v/>
      </c>
    </row>
    <row r="52">
      <c r="A52" s="39">
        <f>IF('13 - Dressers &amp; Chests'!B52 = "", "", IF('13 - Dressers &amp; Chests-WUO_ERR'!A52 = "", "Validated", HYPERLINK("#" &amp; ADDRESS(52, '13 - Dressers &amp; Chests-WUO_TRK'!A52),_xlfn.TEXTAFTER('13 - Dressers &amp; Chests-WUO_ERR'!A52, ":"))))</f>
        <v/>
      </c>
    </row>
    <row r="53">
      <c r="A53" s="39">
        <f>IF('13 - Dressers &amp; Chests'!B53 = "", "", IF('13 - Dressers &amp; Chests-WUO_ERR'!A53 = "", "Validated", HYPERLINK("#" &amp; ADDRESS(53, '13 - Dressers &amp; Chests-WUO_TRK'!A53),_xlfn.TEXTAFTER('13 - Dressers &amp; Chests-WUO_ERR'!A53, ":"))))</f>
        <v/>
      </c>
    </row>
    <row r="54">
      <c r="A54" s="39">
        <f>IF('13 - Dressers &amp; Chests'!B54 = "", "", IF('13 - Dressers &amp; Chests-WUO_ERR'!A54 = "", "Validated", HYPERLINK("#" &amp; ADDRESS(54, '13 - Dressers &amp; Chests-WUO_TRK'!A54),_xlfn.TEXTAFTER('13 - Dressers &amp; Chests-WUO_ERR'!A54, ":"))))</f>
        <v/>
      </c>
    </row>
    <row r="55">
      <c r="A55" s="39">
        <f>IF('13 - Dressers &amp; Chests'!B55 = "", "", IF('13 - Dressers &amp; Chests-WUO_ERR'!A55 = "", "Validated", HYPERLINK("#" &amp; ADDRESS(55, '13 - Dressers &amp; Chests-WUO_TRK'!A55),_xlfn.TEXTAFTER('13 - Dressers &amp; Chests-WUO_ERR'!A55, ":"))))</f>
        <v/>
      </c>
    </row>
    <row r="56">
      <c r="A56" s="39">
        <f>IF('13 - Dressers &amp; Chests'!B56 = "", "", IF('13 - Dressers &amp; Chests-WUO_ERR'!A56 = "", "Validated", HYPERLINK("#" &amp; ADDRESS(56, '13 - Dressers &amp; Chests-WUO_TRK'!A56),_xlfn.TEXTAFTER('13 - Dressers &amp; Chests-WUO_ERR'!A56, ":"))))</f>
        <v/>
      </c>
    </row>
    <row r="57">
      <c r="A57" s="39">
        <f>IF('13 - Dressers &amp; Chests'!B57 = "", "", IF('13 - Dressers &amp; Chests-WUO_ERR'!A57 = "", "Validated", HYPERLINK("#" &amp; ADDRESS(57, '13 - Dressers &amp; Chests-WUO_TRK'!A57),_xlfn.TEXTAFTER('13 - Dressers &amp; Chests-WUO_ERR'!A57, ":"))))</f>
        <v/>
      </c>
    </row>
    <row r="58">
      <c r="A58" s="39">
        <f>IF('13 - Dressers &amp; Chests'!B58 = "", "", IF('13 - Dressers &amp; Chests-WUO_ERR'!A58 = "", "Validated", HYPERLINK("#" &amp; ADDRESS(58, '13 - Dressers &amp; Chests-WUO_TRK'!A58),_xlfn.TEXTAFTER('13 - Dressers &amp; Chests-WUO_ERR'!A58, ":"))))</f>
        <v/>
      </c>
    </row>
    <row r="59">
      <c r="A59" s="39">
        <f>IF('13 - Dressers &amp; Chests'!B59 = "", "", IF('13 - Dressers &amp; Chests-WUO_ERR'!A59 = "", "Validated", HYPERLINK("#" &amp; ADDRESS(59, '13 - Dressers &amp; Chests-WUO_TRK'!A59),_xlfn.TEXTAFTER('13 - Dressers &amp; Chests-WUO_ERR'!A59, ":"))))</f>
        <v/>
      </c>
    </row>
    <row r="60">
      <c r="A60" s="39">
        <f>IF('13 - Dressers &amp; Chests'!B60 = "", "", IF('13 - Dressers &amp; Chests-WUO_ERR'!A60 = "", "Validated", HYPERLINK("#" &amp; ADDRESS(60, '13 - Dressers &amp; Chests-WUO_TRK'!A60),_xlfn.TEXTAFTER('13 - Dressers &amp; Chests-WUO_ERR'!A60, ":"))))</f>
        <v/>
      </c>
    </row>
    <row r="61">
      <c r="A61" s="39">
        <f>IF('13 - Dressers &amp; Chests'!B61 = "", "", IF('13 - Dressers &amp; Chests-WUO_ERR'!A61 = "", "Validated", HYPERLINK("#" &amp; ADDRESS(61, '13 - Dressers &amp; Chests-WUO_TRK'!A61),_xlfn.TEXTAFTER('13 - Dressers &amp; Chests-WUO_ERR'!A61, ":"))))</f>
        <v/>
      </c>
    </row>
    <row r="62">
      <c r="A62" s="39">
        <f>IF('13 - Dressers &amp; Chests'!B62 = "", "", IF('13 - Dressers &amp; Chests-WUO_ERR'!A62 = "", "Validated", HYPERLINK("#" &amp; ADDRESS(62, '13 - Dressers &amp; Chests-WUO_TRK'!A62),_xlfn.TEXTAFTER('13 - Dressers &amp; Chests-WUO_ERR'!A62, ":"))))</f>
        <v/>
      </c>
    </row>
    <row r="63">
      <c r="A63" s="39">
        <f>IF('13 - Dressers &amp; Chests'!B63 = "", "", IF('13 - Dressers &amp; Chests-WUO_ERR'!A63 = "", "Validated", HYPERLINK("#" &amp; ADDRESS(63, '13 - Dressers &amp; Chests-WUO_TRK'!A63),_xlfn.TEXTAFTER('13 - Dressers &amp; Chests-WUO_ERR'!A63, ":"))))</f>
        <v/>
      </c>
    </row>
    <row r="64">
      <c r="A64" s="39">
        <f>IF('13 - Dressers &amp; Chests'!B64 = "", "", IF('13 - Dressers &amp; Chests-WUO_ERR'!A64 = "", "Validated", HYPERLINK("#" &amp; ADDRESS(64, '13 - Dressers &amp; Chests-WUO_TRK'!A64),_xlfn.TEXTAFTER('13 - Dressers &amp; Chests-WUO_ERR'!A64, ":"))))</f>
        <v/>
      </c>
    </row>
    <row r="65">
      <c r="A65" s="39">
        <f>IF('13 - Dressers &amp; Chests'!B65 = "", "", IF('13 - Dressers &amp; Chests-WUO_ERR'!A65 = "", "Validated", HYPERLINK("#" &amp; ADDRESS(65, '13 - Dressers &amp; Chests-WUO_TRK'!A65),_xlfn.TEXTAFTER('13 - Dressers &amp; Chests-WUO_ERR'!A65, ":"))))</f>
        <v/>
      </c>
    </row>
    <row r="66">
      <c r="A66" s="39">
        <f>IF('13 - Dressers &amp; Chests'!B66 = "", "", IF('13 - Dressers &amp; Chests-WUO_ERR'!A66 = "", "Validated", HYPERLINK("#" &amp; ADDRESS(66, '13 - Dressers &amp; Chests-WUO_TRK'!A66),_xlfn.TEXTAFTER('13 - Dressers &amp; Chests-WUO_ERR'!A66, ":"))))</f>
        <v/>
      </c>
    </row>
    <row r="67">
      <c r="A67" s="39">
        <f>IF('13 - Dressers &amp; Chests'!B67 = "", "", IF('13 - Dressers &amp; Chests-WUO_ERR'!A67 = "", "Validated", HYPERLINK("#" &amp; ADDRESS(67, '13 - Dressers &amp; Chests-WUO_TRK'!A67),_xlfn.TEXTAFTER('13 - Dressers &amp; Chests-WUO_ERR'!A67, ":"))))</f>
        <v/>
      </c>
    </row>
    <row r="68">
      <c r="A68" s="39">
        <f>IF('13 - Dressers &amp; Chests'!B68 = "", "", IF('13 - Dressers &amp; Chests-WUO_ERR'!A68 = "", "Validated", HYPERLINK("#" &amp; ADDRESS(68, '13 - Dressers &amp; Chests-WUO_TRK'!A68),_xlfn.TEXTAFTER('13 - Dressers &amp; Chests-WUO_ERR'!A68, ":"))))</f>
        <v/>
      </c>
    </row>
    <row r="69">
      <c r="A69" s="39">
        <f>IF('13 - Dressers &amp; Chests'!B69 = "", "", IF('13 - Dressers &amp; Chests-WUO_ERR'!A69 = "", "Validated", HYPERLINK("#" &amp; ADDRESS(69, '13 - Dressers &amp; Chests-WUO_TRK'!A69),_xlfn.TEXTAFTER('13 - Dressers &amp; Chests-WUO_ERR'!A69, ":"))))</f>
        <v/>
      </c>
    </row>
    <row r="70">
      <c r="A70" s="39">
        <f>IF('13 - Dressers &amp; Chests'!B70 = "", "", IF('13 - Dressers &amp; Chests-WUO_ERR'!A70 = "", "Validated", HYPERLINK("#" &amp; ADDRESS(70, '13 - Dressers &amp; Chests-WUO_TRK'!A70),_xlfn.TEXTAFTER('13 - Dressers &amp; Chests-WUO_ERR'!A70, ":"))))</f>
        <v/>
      </c>
    </row>
    <row r="71">
      <c r="A71" s="39">
        <f>IF('13 - Dressers &amp; Chests'!B71 = "", "", IF('13 - Dressers &amp; Chests-WUO_ERR'!A71 = "", "Validated", HYPERLINK("#" &amp; ADDRESS(71, '13 - Dressers &amp; Chests-WUO_TRK'!A71),_xlfn.TEXTAFTER('13 - Dressers &amp; Chests-WUO_ERR'!A71, ":"))))</f>
        <v/>
      </c>
    </row>
    <row r="72">
      <c r="A72" s="39">
        <f>IF('13 - Dressers &amp; Chests'!B72 = "", "", IF('13 - Dressers &amp; Chests-WUO_ERR'!A72 = "", "Validated", HYPERLINK("#" &amp; ADDRESS(72, '13 - Dressers &amp; Chests-WUO_TRK'!A72),_xlfn.TEXTAFTER('13 - Dressers &amp; Chests-WUO_ERR'!A72, ":"))))</f>
        <v/>
      </c>
    </row>
    <row r="73">
      <c r="A73" s="39">
        <f>IF('13 - Dressers &amp; Chests'!B73 = "", "", IF('13 - Dressers &amp; Chests-WUO_ERR'!A73 = "", "Validated", HYPERLINK("#" &amp; ADDRESS(73, '13 - Dressers &amp; Chests-WUO_TRK'!A73),_xlfn.TEXTAFTER('13 - Dressers &amp; Chests-WUO_ERR'!A73, ":"))))</f>
        <v/>
      </c>
    </row>
    <row r="74">
      <c r="A74" s="39">
        <f>IF('13 - Dressers &amp; Chests'!B74 = "", "", IF('13 - Dressers &amp; Chests-WUO_ERR'!A74 = "", "Validated", HYPERLINK("#" &amp; ADDRESS(74, '13 - Dressers &amp; Chests-WUO_TRK'!A74),_xlfn.TEXTAFTER('13 - Dressers &amp; Chests-WUO_ERR'!A74, ":"))))</f>
        <v/>
      </c>
    </row>
    <row r="75">
      <c r="A75" s="39">
        <f>IF('13 - Dressers &amp; Chests'!B75 = "", "", IF('13 - Dressers &amp; Chests-WUO_ERR'!A75 = "", "Validated", HYPERLINK("#" &amp; ADDRESS(75, '13 - Dressers &amp; Chests-WUO_TRK'!A75),_xlfn.TEXTAFTER('13 - Dressers &amp; Chests-WUO_ERR'!A75, ":"))))</f>
        <v/>
      </c>
    </row>
    <row r="76">
      <c r="A76" s="39">
        <f>IF('13 - Dressers &amp; Chests'!B76 = "", "", IF('13 - Dressers &amp; Chests-WUO_ERR'!A76 = "", "Validated", HYPERLINK("#" &amp; ADDRESS(76, '13 - Dressers &amp; Chests-WUO_TRK'!A76),_xlfn.TEXTAFTER('13 - Dressers &amp; Chests-WUO_ERR'!A76, ":"))))</f>
        <v/>
      </c>
    </row>
    <row r="77">
      <c r="A77" s="39">
        <f>IF('13 - Dressers &amp; Chests'!B77 = "", "", IF('13 - Dressers &amp; Chests-WUO_ERR'!A77 = "", "Validated", HYPERLINK("#" &amp; ADDRESS(77, '13 - Dressers &amp; Chests-WUO_TRK'!A77),_xlfn.TEXTAFTER('13 - Dressers &amp; Chests-WUO_ERR'!A77, ":"))))</f>
        <v/>
      </c>
    </row>
    <row r="78">
      <c r="A78" s="39">
        <f>IF('13 - Dressers &amp; Chests'!B78 = "", "", IF('13 - Dressers &amp; Chests-WUO_ERR'!A78 = "", "Validated", HYPERLINK("#" &amp; ADDRESS(78, '13 - Dressers &amp; Chests-WUO_TRK'!A78),_xlfn.TEXTAFTER('13 - Dressers &amp; Chests-WUO_ERR'!A78, ":"))))</f>
        <v/>
      </c>
    </row>
    <row r="79">
      <c r="A79" s="39">
        <f>IF('13 - Dressers &amp; Chests'!B79 = "", "", IF('13 - Dressers &amp; Chests-WUO_ERR'!A79 = "", "Validated", HYPERLINK("#" &amp; ADDRESS(79, '13 - Dressers &amp; Chests-WUO_TRK'!A79),_xlfn.TEXTAFTER('13 - Dressers &amp; Chests-WUO_ERR'!A79, ":"))))</f>
        <v/>
      </c>
    </row>
    <row r="80">
      <c r="A80" s="39">
        <f>IF('13 - Dressers &amp; Chests'!B80 = "", "", IF('13 - Dressers &amp; Chests-WUO_ERR'!A80 = "", "Validated", HYPERLINK("#" &amp; ADDRESS(80, '13 - Dressers &amp; Chests-WUO_TRK'!A80),_xlfn.TEXTAFTER('13 - Dressers &amp; Chests-WUO_ERR'!A80, ":"))))</f>
        <v/>
      </c>
    </row>
    <row r="81">
      <c r="A81" s="39">
        <f>IF('13 - Dressers &amp; Chests'!B81 = "", "", IF('13 - Dressers &amp; Chests-WUO_ERR'!A81 = "", "Validated", HYPERLINK("#" &amp; ADDRESS(81, '13 - Dressers &amp; Chests-WUO_TRK'!A81),_xlfn.TEXTAFTER('13 - Dressers &amp; Chests-WUO_ERR'!A81, ":"))))</f>
        <v/>
      </c>
    </row>
    <row r="82">
      <c r="A82" s="39">
        <f>IF('13 - Dressers &amp; Chests'!B82 = "", "", IF('13 - Dressers &amp; Chests-WUO_ERR'!A82 = "", "Validated", HYPERLINK("#" &amp; ADDRESS(82, '13 - Dressers &amp; Chests-WUO_TRK'!A82),_xlfn.TEXTAFTER('13 - Dressers &amp; Chests-WUO_ERR'!A82, ":"))))</f>
        <v/>
      </c>
    </row>
    <row r="83">
      <c r="A83" s="39">
        <f>IF('13 - Dressers &amp; Chests'!B83 = "", "", IF('13 - Dressers &amp; Chests-WUO_ERR'!A83 = "", "Validated", HYPERLINK("#" &amp; ADDRESS(83, '13 - Dressers &amp; Chests-WUO_TRK'!A83),_xlfn.TEXTAFTER('13 - Dressers &amp; Chests-WUO_ERR'!A83, ":"))))</f>
        <v/>
      </c>
    </row>
    <row r="84">
      <c r="A84" s="39">
        <f>IF('13 - Dressers &amp; Chests'!B84 = "", "", IF('13 - Dressers &amp; Chests-WUO_ERR'!A84 = "", "Validated", HYPERLINK("#" &amp; ADDRESS(84, '13 - Dressers &amp; Chests-WUO_TRK'!A84),_xlfn.TEXTAFTER('13 - Dressers &amp; Chests-WUO_ERR'!A84, ":"))))</f>
        <v/>
      </c>
    </row>
    <row r="85">
      <c r="A85" s="39">
        <f>IF('13 - Dressers &amp; Chests'!B85 = "", "", IF('13 - Dressers &amp; Chests-WUO_ERR'!A85 = "", "Validated", HYPERLINK("#" &amp; ADDRESS(85, '13 - Dressers &amp; Chests-WUO_TRK'!A85),_xlfn.TEXTAFTER('13 - Dressers &amp; Chests-WUO_ERR'!A85, ":"))))</f>
        <v/>
      </c>
    </row>
    <row r="86">
      <c r="A86" s="39">
        <f>IF('13 - Dressers &amp; Chests'!B86 = "", "", IF('13 - Dressers &amp; Chests-WUO_ERR'!A86 = "", "Validated", HYPERLINK("#" &amp; ADDRESS(86, '13 - Dressers &amp; Chests-WUO_TRK'!A86),_xlfn.TEXTAFTER('13 - Dressers &amp; Chests-WUO_ERR'!A86, ":"))))</f>
        <v/>
      </c>
    </row>
    <row r="87">
      <c r="A87" s="39">
        <f>IF('13 - Dressers &amp; Chests'!B87 = "", "", IF('13 - Dressers &amp; Chests-WUO_ERR'!A87 = "", "Validated", HYPERLINK("#" &amp; ADDRESS(87, '13 - Dressers &amp; Chests-WUO_TRK'!A87),_xlfn.TEXTAFTER('13 - Dressers &amp; Chests-WUO_ERR'!A87, ":"))))</f>
        <v/>
      </c>
    </row>
    <row r="88">
      <c r="A88" s="39">
        <f>IF('13 - Dressers &amp; Chests'!B88 = "", "", IF('13 - Dressers &amp; Chests-WUO_ERR'!A88 = "", "Validated", HYPERLINK("#" &amp; ADDRESS(88, '13 - Dressers &amp; Chests-WUO_TRK'!A88),_xlfn.TEXTAFTER('13 - Dressers &amp; Chests-WUO_ERR'!A88, ":"))))</f>
        <v/>
      </c>
    </row>
    <row r="89">
      <c r="A89" s="39">
        <f>IF('13 - Dressers &amp; Chests'!B89 = "", "", IF('13 - Dressers &amp; Chests-WUO_ERR'!A89 = "", "Validated", HYPERLINK("#" &amp; ADDRESS(89, '13 - Dressers &amp; Chests-WUO_TRK'!A89),_xlfn.TEXTAFTER('13 - Dressers &amp; Chests-WUO_ERR'!A89, ":"))))</f>
        <v/>
      </c>
    </row>
    <row r="90">
      <c r="A90" s="39">
        <f>IF('13 - Dressers &amp; Chests'!B90 = "", "", IF('13 - Dressers &amp; Chests-WUO_ERR'!A90 = "", "Validated", HYPERLINK("#" &amp; ADDRESS(90, '13 - Dressers &amp; Chests-WUO_TRK'!A90),_xlfn.TEXTAFTER('13 - Dressers &amp; Chests-WUO_ERR'!A90, ":"))))</f>
        <v/>
      </c>
    </row>
    <row r="91">
      <c r="A91" s="39">
        <f>IF('13 - Dressers &amp; Chests'!B91 = "", "", IF('13 - Dressers &amp; Chests-WUO_ERR'!A91 = "", "Validated", HYPERLINK("#" &amp; ADDRESS(91, '13 - Dressers &amp; Chests-WUO_TRK'!A91),_xlfn.TEXTAFTER('13 - Dressers &amp; Chests-WUO_ERR'!A91, ":"))))</f>
        <v/>
      </c>
    </row>
    <row r="92">
      <c r="A92" s="39">
        <f>IF('13 - Dressers &amp; Chests'!B92 = "", "", IF('13 - Dressers &amp; Chests-WUO_ERR'!A92 = "", "Validated", HYPERLINK("#" &amp; ADDRESS(92, '13 - Dressers &amp; Chests-WUO_TRK'!A92),_xlfn.TEXTAFTER('13 - Dressers &amp; Chests-WUO_ERR'!A92, ":"))))</f>
        <v/>
      </c>
    </row>
    <row r="93">
      <c r="A93" s="39">
        <f>IF('13 - Dressers &amp; Chests'!B93 = "", "", IF('13 - Dressers &amp; Chests-WUO_ERR'!A93 = "", "Validated", HYPERLINK("#" &amp; ADDRESS(93, '13 - Dressers &amp; Chests-WUO_TRK'!A93),_xlfn.TEXTAFTER('13 - Dressers &amp; Chests-WUO_ERR'!A93, ":"))))</f>
        <v/>
      </c>
    </row>
    <row r="94">
      <c r="A94" s="39">
        <f>IF('13 - Dressers &amp; Chests'!B94 = "", "", IF('13 - Dressers &amp; Chests-WUO_ERR'!A94 = "", "Validated", HYPERLINK("#" &amp; ADDRESS(94, '13 - Dressers &amp; Chests-WUO_TRK'!A94),_xlfn.TEXTAFTER('13 - Dressers &amp; Chests-WUO_ERR'!A94, ":"))))</f>
        <v/>
      </c>
    </row>
    <row r="95">
      <c r="A95" s="39">
        <f>IF('13 - Dressers &amp; Chests'!B95 = "", "", IF('13 - Dressers &amp; Chests-WUO_ERR'!A95 = "", "Validated", HYPERLINK("#" &amp; ADDRESS(95, '13 - Dressers &amp; Chests-WUO_TRK'!A95),_xlfn.TEXTAFTER('13 - Dressers &amp; Chests-WUO_ERR'!A95, ":"))))</f>
        <v/>
      </c>
    </row>
    <row r="96">
      <c r="A96" s="39">
        <f>IF('13 - Dressers &amp; Chests'!B96 = "", "", IF('13 - Dressers &amp; Chests-WUO_ERR'!A96 = "", "Validated", HYPERLINK("#" &amp; ADDRESS(96, '13 - Dressers &amp; Chests-WUO_TRK'!A96),_xlfn.TEXTAFTER('13 - Dressers &amp; Chests-WUO_ERR'!A96, ":"))))</f>
        <v/>
      </c>
    </row>
    <row r="97">
      <c r="A97" s="39">
        <f>IF('13 - Dressers &amp; Chests'!B97 = "", "", IF('13 - Dressers &amp; Chests-WUO_ERR'!A97 = "", "Validated", HYPERLINK("#" &amp; ADDRESS(97, '13 - Dressers &amp; Chests-WUO_TRK'!A97),_xlfn.TEXTAFTER('13 - Dressers &amp; Chests-WUO_ERR'!A97, ":"))))</f>
        <v/>
      </c>
    </row>
    <row r="98">
      <c r="A98" s="39">
        <f>IF('13 - Dressers &amp; Chests'!B98 = "", "", IF('13 - Dressers &amp; Chests-WUO_ERR'!A98 = "", "Validated", HYPERLINK("#" &amp; ADDRESS(98, '13 - Dressers &amp; Chests-WUO_TRK'!A98),_xlfn.TEXTAFTER('13 - Dressers &amp; Chests-WUO_ERR'!A98, ":"))))</f>
        <v/>
      </c>
    </row>
    <row r="99">
      <c r="A99" s="39">
        <f>IF('13 - Dressers &amp; Chests'!B99 = "", "", IF('13 - Dressers &amp; Chests-WUO_ERR'!A99 = "", "Validated", HYPERLINK("#" &amp; ADDRESS(99, '13 - Dressers &amp; Chests-WUO_TRK'!A99),_xlfn.TEXTAFTER('13 - Dressers &amp; Chests-WUO_ERR'!A99, ":"))))</f>
        <v/>
      </c>
    </row>
    <row r="100">
      <c r="A100" s="39">
        <f>IF('13 - Dressers &amp; Chests'!B100 = "", "", IF('13 - Dressers &amp; Chests-WUO_ERR'!A100 = "", "Validated", HYPERLINK("#" &amp; ADDRESS(100, '13 - Dressers &amp; Chests-WUO_TRK'!A100),_xlfn.TEXTAFTER('13 - Dressers &amp; Chests-WUO_ERR'!A100, ":"))))</f>
        <v/>
      </c>
    </row>
    <row r="101">
      <c r="A101" s="39">
        <f>IF('13 - Dressers &amp; Chests'!B101 = "", "", IF('13 - Dressers &amp; Chests-WUO_ERR'!A101 = "", "Validated", HYPERLINK("#" &amp; ADDRESS(101, '13 - Dressers &amp; Chests-WUO_TRK'!A101),_xlfn.TEXTAFTER('13 - Dressers &amp; Chests-WUO_ERR'!A101, ":"))))</f>
        <v/>
      </c>
    </row>
    <row r="102">
      <c r="A102" s="39">
        <f>IF('13 - Dressers &amp; Chests'!B102 = "", "", IF('13 - Dressers &amp; Chests-WUO_ERR'!A102 = "", "Validated", HYPERLINK("#" &amp; ADDRESS(102, '13 - Dressers &amp; Chests-WUO_TRK'!A102),_xlfn.TEXTAFTER('13 - Dressers &amp; Chests-WUO_ERR'!A102, ":"))))</f>
        <v/>
      </c>
    </row>
    <row r="103">
      <c r="A103" s="39">
        <f>IF('13 - Dressers &amp; Chests'!B103 = "", "", IF('13 - Dressers &amp; Chests-WUO_ERR'!A103 = "", "Validated", HYPERLINK("#" &amp; ADDRESS(103, '13 - Dressers &amp; Chests-WUO_TRK'!A103),_xlfn.TEXTAFTER('13 - Dressers &amp; Chests-WUO_ERR'!A103, ":"))))</f>
        <v/>
      </c>
    </row>
    <row r="104">
      <c r="A104" s="39">
        <f>IF('13 - Dressers &amp; Chests'!B104 = "", "", IF('13 - Dressers &amp; Chests-WUO_ERR'!A104 = "", "Validated", HYPERLINK("#" &amp; ADDRESS(104, '13 - Dressers &amp; Chests-WUO_TRK'!A104),_xlfn.TEXTAFTER('13 - Dressers &amp; Chests-WUO_ERR'!A104, ":"))))</f>
        <v/>
      </c>
    </row>
    <row r="105">
      <c r="A105" s="39">
        <f>IF('13 - Dressers &amp; Chests'!B105 = "", "", IF('13 - Dressers &amp; Chests-WUO_ERR'!A105 = "", "Validated", HYPERLINK("#" &amp; ADDRESS(105, '13 - Dressers &amp; Chests-WUO_TRK'!A105),_xlfn.TEXTAFTER('13 - Dressers &amp; Chests-WUO_ERR'!A105, ":"))))</f>
        <v/>
      </c>
    </row>
    <row r="106">
      <c r="A106" s="39">
        <f>IF('13 - Dressers &amp; Chests'!B106 = "", "", IF('13 - Dressers &amp; Chests-WUO_ERR'!A106 = "", "Validated", HYPERLINK("#" &amp; ADDRESS(106, '13 - Dressers &amp; Chests-WUO_TRK'!A106),_xlfn.TEXTAFTER('13 - Dressers &amp; Chests-WUO_ERR'!A106, ":"))))</f>
        <v/>
      </c>
    </row>
    <row r="107">
      <c r="A107" s="39">
        <f>IF('13 - Dressers &amp; Chests'!B107 = "", "", IF('13 - Dressers &amp; Chests-WUO_ERR'!A107 = "", "Validated", HYPERLINK("#" &amp; ADDRESS(107, '13 - Dressers &amp; Chests-WUO_TRK'!A107),_xlfn.TEXTAFTER('13 - Dressers &amp; Chests-WUO_ERR'!A107, ":"))))</f>
        <v/>
      </c>
    </row>
    <row r="108">
      <c r="A108" s="39">
        <f>IF('13 - Dressers &amp; Chests'!B108 = "", "", IF('13 - Dressers &amp; Chests-WUO_ERR'!A108 = "", "Validated", HYPERLINK("#" &amp; ADDRESS(108, '13 - Dressers &amp; Chests-WUO_TRK'!A108),_xlfn.TEXTAFTER('13 - Dressers &amp; Chests-WUO_ERR'!A108, ":"))))</f>
        <v/>
      </c>
    </row>
    <row r="109">
      <c r="A109" s="39">
        <f>IF('13 - Dressers &amp; Chests'!B109 = "", "", IF('13 - Dressers &amp; Chests-WUO_ERR'!A109 = "", "Validated", HYPERLINK("#" &amp; ADDRESS(109, '13 - Dressers &amp; Chests-WUO_TRK'!A109),_xlfn.TEXTAFTER('13 - Dressers &amp; Chests-WUO_ERR'!A109, ":"))))</f>
        <v/>
      </c>
    </row>
    <row r="110">
      <c r="A110" s="39">
        <f>IF('13 - Dressers &amp; Chests'!B110 = "", "", IF('13 - Dressers &amp; Chests-WUO_ERR'!A110 = "", "Validated", HYPERLINK("#" &amp; ADDRESS(110, '13 - Dressers &amp; Chests-WUO_TRK'!A110),_xlfn.TEXTAFTER('13 - Dressers &amp; Chests-WUO_ERR'!A110, ":"))))</f>
        <v/>
      </c>
    </row>
    <row r="111">
      <c r="A111" s="39">
        <f>IF('13 - Dressers &amp; Chests'!B111 = "", "", IF('13 - Dressers &amp; Chests-WUO_ERR'!A111 = "", "Validated", HYPERLINK("#" &amp; ADDRESS(111, '13 - Dressers &amp; Chests-WUO_TRK'!A111),_xlfn.TEXTAFTER('13 - Dressers &amp; Chests-WUO_ERR'!A111, ":"))))</f>
        <v/>
      </c>
    </row>
    <row r="112">
      <c r="A112" s="39">
        <f>IF('13 - Dressers &amp; Chests'!B112 = "", "", IF('13 - Dressers &amp; Chests-WUO_ERR'!A112 = "", "Validated", HYPERLINK("#" &amp; ADDRESS(112, '13 - Dressers &amp; Chests-WUO_TRK'!A112),_xlfn.TEXTAFTER('13 - Dressers &amp; Chests-WUO_ERR'!A112, ":"))))</f>
        <v/>
      </c>
    </row>
    <row r="113">
      <c r="A113" s="39">
        <f>IF('13 - Dressers &amp; Chests'!B113 = "", "", IF('13 - Dressers &amp; Chests-WUO_ERR'!A113 = "", "Validated", HYPERLINK("#" &amp; ADDRESS(113, '13 - Dressers &amp; Chests-WUO_TRK'!A113),_xlfn.TEXTAFTER('13 - Dressers &amp; Chests-WUO_ERR'!A113, ":"))))</f>
        <v/>
      </c>
    </row>
    <row r="114">
      <c r="A114" s="39">
        <f>IF('13 - Dressers &amp; Chests'!B114 = "", "", IF('13 - Dressers &amp; Chests-WUO_ERR'!A114 = "", "Validated", HYPERLINK("#" &amp; ADDRESS(114, '13 - Dressers &amp; Chests-WUO_TRK'!A114),_xlfn.TEXTAFTER('13 - Dressers &amp; Chests-WUO_ERR'!A114, ":"))))</f>
        <v/>
      </c>
    </row>
    <row r="115">
      <c r="A115" s="39">
        <f>IF('13 - Dressers &amp; Chests'!B115 = "", "", IF('13 - Dressers &amp; Chests-WUO_ERR'!A115 = "", "Validated", HYPERLINK("#" &amp; ADDRESS(115, '13 - Dressers &amp; Chests-WUO_TRK'!A115),_xlfn.TEXTAFTER('13 - Dressers &amp; Chests-WUO_ERR'!A115, ":"))))</f>
        <v/>
      </c>
    </row>
    <row r="116">
      <c r="A116" s="39">
        <f>IF('13 - Dressers &amp; Chests'!B116 = "", "", IF('13 - Dressers &amp; Chests-WUO_ERR'!A116 = "", "Validated", HYPERLINK("#" &amp; ADDRESS(116, '13 - Dressers &amp; Chests-WUO_TRK'!A116),_xlfn.TEXTAFTER('13 - Dressers &amp; Chests-WUO_ERR'!A116, ":"))))</f>
        <v/>
      </c>
    </row>
    <row r="117">
      <c r="A117" s="39">
        <f>IF('13 - Dressers &amp; Chests'!B117 = "", "", IF('13 - Dressers &amp; Chests-WUO_ERR'!A117 = "", "Validated", HYPERLINK("#" &amp; ADDRESS(117, '13 - Dressers &amp; Chests-WUO_TRK'!A117),_xlfn.TEXTAFTER('13 - Dressers &amp; Chests-WUO_ERR'!A117, ":"))))</f>
        <v/>
      </c>
    </row>
    <row r="118">
      <c r="A118" s="39">
        <f>IF('13 - Dressers &amp; Chests'!B118 = "", "", IF('13 - Dressers &amp; Chests-WUO_ERR'!A118 = "", "Validated", HYPERLINK("#" &amp; ADDRESS(118, '13 - Dressers &amp; Chests-WUO_TRK'!A118),_xlfn.TEXTAFTER('13 - Dressers &amp; Chests-WUO_ERR'!A118, ":"))))</f>
        <v/>
      </c>
    </row>
    <row r="119">
      <c r="A119" s="39">
        <f>IF('13 - Dressers &amp; Chests'!B119 = "", "", IF('13 - Dressers &amp; Chests-WUO_ERR'!A119 = "", "Validated", HYPERLINK("#" &amp; ADDRESS(119, '13 - Dressers &amp; Chests-WUO_TRK'!A119),_xlfn.TEXTAFTER('13 - Dressers &amp; Chests-WUO_ERR'!A119, ":"))))</f>
        <v/>
      </c>
    </row>
    <row r="120">
      <c r="A120" s="39">
        <f>IF('13 - Dressers &amp; Chests'!B120 = "", "", IF('13 - Dressers &amp; Chests-WUO_ERR'!A120 = "", "Validated", HYPERLINK("#" &amp; ADDRESS(120, '13 - Dressers &amp; Chests-WUO_TRK'!A120),_xlfn.TEXTAFTER('13 - Dressers &amp; Chests-WUO_ERR'!A120, ":"))))</f>
        <v/>
      </c>
    </row>
    <row r="121">
      <c r="A121" s="39">
        <f>IF('13 - Dressers &amp; Chests'!B121 = "", "", IF('13 - Dressers &amp; Chests-WUO_ERR'!A121 = "", "Validated", HYPERLINK("#" &amp; ADDRESS(121, '13 - Dressers &amp; Chests-WUO_TRK'!A121),_xlfn.TEXTAFTER('13 - Dressers &amp; Chests-WUO_ERR'!A121, ":"))))</f>
        <v/>
      </c>
    </row>
    <row r="122">
      <c r="A122" s="39">
        <f>IF('13 - Dressers &amp; Chests'!B122 = "", "", IF('13 - Dressers &amp; Chests-WUO_ERR'!A122 = "", "Validated", HYPERLINK("#" &amp; ADDRESS(122, '13 - Dressers &amp; Chests-WUO_TRK'!A122),_xlfn.TEXTAFTER('13 - Dressers &amp; Chests-WUO_ERR'!A122, ":"))))</f>
        <v/>
      </c>
    </row>
    <row r="123">
      <c r="A123" s="39">
        <f>IF('13 - Dressers &amp; Chests'!B123 = "", "", IF('13 - Dressers &amp; Chests-WUO_ERR'!A123 = "", "Validated", HYPERLINK("#" &amp; ADDRESS(123, '13 - Dressers &amp; Chests-WUO_TRK'!A123),_xlfn.TEXTAFTER('13 - Dressers &amp; Chests-WUO_ERR'!A123, ":"))))</f>
        <v/>
      </c>
    </row>
    <row r="124">
      <c r="A124" s="39">
        <f>IF('13 - Dressers &amp; Chests'!B124 = "", "", IF('13 - Dressers &amp; Chests-WUO_ERR'!A124 = "", "Validated", HYPERLINK("#" &amp; ADDRESS(124, '13 - Dressers &amp; Chests-WUO_TRK'!A124),_xlfn.TEXTAFTER('13 - Dressers &amp; Chests-WUO_ERR'!A124, ":"))))</f>
        <v/>
      </c>
    </row>
    <row r="125">
      <c r="A125" s="39">
        <f>IF('13 - Dressers &amp; Chests'!B125 = "", "", IF('13 - Dressers &amp; Chests-WUO_ERR'!A125 = "", "Validated", HYPERLINK("#" &amp; ADDRESS(125, '13 - Dressers &amp; Chests-WUO_TRK'!A125),_xlfn.TEXTAFTER('13 - Dressers &amp; Chests-WUO_ERR'!A125, ":"))))</f>
        <v/>
      </c>
    </row>
    <row r="126">
      <c r="A126" s="39">
        <f>IF('13 - Dressers &amp; Chests'!B126 = "", "", IF('13 - Dressers &amp; Chests-WUO_ERR'!A126 = "", "Validated", HYPERLINK("#" &amp; ADDRESS(126, '13 - Dressers &amp; Chests-WUO_TRK'!A126),_xlfn.TEXTAFTER('13 - Dressers &amp; Chests-WUO_ERR'!A126, ":"))))</f>
        <v/>
      </c>
    </row>
    <row r="127">
      <c r="A127" s="39">
        <f>IF('13 - Dressers &amp; Chests'!B127 = "", "", IF('13 - Dressers &amp; Chests-WUO_ERR'!A127 = "", "Validated", HYPERLINK("#" &amp; ADDRESS(127, '13 - Dressers &amp; Chests-WUO_TRK'!A127),_xlfn.TEXTAFTER('13 - Dressers &amp; Chests-WUO_ERR'!A127, ":"))))</f>
        <v/>
      </c>
    </row>
    <row r="128">
      <c r="A128" s="39">
        <f>IF('13 - Dressers &amp; Chests'!B128 = "", "", IF('13 - Dressers &amp; Chests-WUO_ERR'!A128 = "", "Validated", HYPERLINK("#" &amp; ADDRESS(128, '13 - Dressers &amp; Chests-WUO_TRK'!A128),_xlfn.TEXTAFTER('13 - Dressers &amp; Chests-WUO_ERR'!A128, ":"))))</f>
        <v/>
      </c>
    </row>
    <row r="129">
      <c r="A129" s="39">
        <f>IF('13 - Dressers &amp; Chests'!B129 = "", "", IF('13 - Dressers &amp; Chests-WUO_ERR'!A129 = "", "Validated", HYPERLINK("#" &amp; ADDRESS(129, '13 - Dressers &amp; Chests-WUO_TRK'!A129),_xlfn.TEXTAFTER('13 - Dressers &amp; Chests-WUO_ERR'!A129, ":"))))</f>
        <v/>
      </c>
    </row>
    <row r="130">
      <c r="A130" s="39">
        <f>IF('13 - Dressers &amp; Chests'!B130 = "", "", IF('13 - Dressers &amp; Chests-WUO_ERR'!A130 = "", "Validated", HYPERLINK("#" &amp; ADDRESS(130, '13 - Dressers &amp; Chests-WUO_TRK'!A130),_xlfn.TEXTAFTER('13 - Dressers &amp; Chests-WUO_ERR'!A130, ":"))))</f>
        <v/>
      </c>
    </row>
    <row r="131">
      <c r="A131" s="39">
        <f>IF('13 - Dressers &amp; Chests'!B131 = "", "", IF('13 - Dressers &amp; Chests-WUO_ERR'!A131 = "", "Validated", HYPERLINK("#" &amp; ADDRESS(131, '13 - Dressers &amp; Chests-WUO_TRK'!A131),_xlfn.TEXTAFTER('13 - Dressers &amp; Chests-WUO_ERR'!A131, ":"))))</f>
        <v/>
      </c>
    </row>
    <row r="132">
      <c r="A132" s="39">
        <f>IF('13 - Dressers &amp; Chests'!B132 = "", "", IF('13 - Dressers &amp; Chests-WUO_ERR'!A132 = "", "Validated", HYPERLINK("#" &amp; ADDRESS(132, '13 - Dressers &amp; Chests-WUO_TRK'!A132),_xlfn.TEXTAFTER('13 - Dressers &amp; Chests-WUO_ERR'!A132, ":"))))</f>
        <v/>
      </c>
    </row>
    <row r="133">
      <c r="A133" s="39">
        <f>IF('13 - Dressers &amp; Chests'!B133 = "", "", IF('13 - Dressers &amp; Chests-WUO_ERR'!A133 = "", "Validated", HYPERLINK("#" &amp; ADDRESS(133, '13 - Dressers &amp; Chests-WUO_TRK'!A133),_xlfn.TEXTAFTER('13 - Dressers &amp; Chests-WUO_ERR'!A133, ":"))))</f>
        <v/>
      </c>
    </row>
    <row r="134">
      <c r="A134" s="39">
        <f>IF('13 - Dressers &amp; Chests'!B134 = "", "", IF('13 - Dressers &amp; Chests-WUO_ERR'!A134 = "", "Validated", HYPERLINK("#" &amp; ADDRESS(134, '13 - Dressers &amp; Chests-WUO_TRK'!A134),_xlfn.TEXTAFTER('13 - Dressers &amp; Chests-WUO_ERR'!A134, ":"))))</f>
        <v/>
      </c>
    </row>
    <row r="135">
      <c r="A135" s="39">
        <f>IF('13 - Dressers &amp; Chests'!B135 = "", "", IF('13 - Dressers &amp; Chests-WUO_ERR'!A135 = "", "Validated", HYPERLINK("#" &amp; ADDRESS(135, '13 - Dressers &amp; Chests-WUO_TRK'!A135),_xlfn.TEXTAFTER('13 - Dressers &amp; Chests-WUO_ERR'!A135, ":"))))</f>
        <v/>
      </c>
    </row>
    <row r="136">
      <c r="A136" s="39">
        <f>IF('13 - Dressers &amp; Chests'!B136 = "", "", IF('13 - Dressers &amp; Chests-WUO_ERR'!A136 = "", "Validated", HYPERLINK("#" &amp; ADDRESS(136, '13 - Dressers &amp; Chests-WUO_TRK'!A136),_xlfn.TEXTAFTER('13 - Dressers &amp; Chests-WUO_ERR'!A136, ":"))))</f>
        <v/>
      </c>
    </row>
    <row r="137">
      <c r="A137" s="39">
        <f>IF('13 - Dressers &amp; Chests'!B137 = "", "", IF('13 - Dressers &amp; Chests-WUO_ERR'!A137 = "", "Validated", HYPERLINK("#" &amp; ADDRESS(137, '13 - Dressers &amp; Chests-WUO_TRK'!A137),_xlfn.TEXTAFTER('13 - Dressers &amp; Chests-WUO_ERR'!A137, ":"))))</f>
        <v/>
      </c>
    </row>
    <row r="138">
      <c r="A138" s="39">
        <f>IF('13 - Dressers &amp; Chests'!B138 = "", "", IF('13 - Dressers &amp; Chests-WUO_ERR'!A138 = "", "Validated", HYPERLINK("#" &amp; ADDRESS(138, '13 - Dressers &amp; Chests-WUO_TRK'!A138),_xlfn.TEXTAFTER('13 - Dressers &amp; Chests-WUO_ERR'!A138, ":"))))</f>
        <v/>
      </c>
    </row>
    <row r="139">
      <c r="A139" s="39">
        <f>IF('13 - Dressers &amp; Chests'!B139 = "", "", IF('13 - Dressers &amp; Chests-WUO_ERR'!A139 = "", "Validated", HYPERLINK("#" &amp; ADDRESS(139, '13 - Dressers &amp; Chests-WUO_TRK'!A139),_xlfn.TEXTAFTER('13 - Dressers &amp; Chests-WUO_ERR'!A139, ":"))))</f>
        <v/>
      </c>
    </row>
    <row r="140">
      <c r="A140" s="39">
        <f>IF('13 - Dressers &amp; Chests'!B140 = "", "", IF('13 - Dressers &amp; Chests-WUO_ERR'!A140 = "", "Validated", HYPERLINK("#" &amp; ADDRESS(140, '13 - Dressers &amp; Chests-WUO_TRK'!A140),_xlfn.TEXTAFTER('13 - Dressers &amp; Chests-WUO_ERR'!A140, ":"))))</f>
        <v/>
      </c>
    </row>
    <row r="141">
      <c r="A141" s="39">
        <f>IF('13 - Dressers &amp; Chests'!B141 = "", "", IF('13 - Dressers &amp; Chests-WUO_ERR'!A141 = "", "Validated", HYPERLINK("#" &amp; ADDRESS(141, '13 - Dressers &amp; Chests-WUO_TRK'!A141),_xlfn.TEXTAFTER('13 - Dressers &amp; Chests-WUO_ERR'!A141, ":"))))</f>
        <v/>
      </c>
    </row>
    <row r="142">
      <c r="A142" s="39">
        <f>IF('13 - Dressers &amp; Chests'!B142 = "", "", IF('13 - Dressers &amp; Chests-WUO_ERR'!A142 = "", "Validated", HYPERLINK("#" &amp; ADDRESS(142, '13 - Dressers &amp; Chests-WUO_TRK'!A142),_xlfn.TEXTAFTER('13 - Dressers &amp; Chests-WUO_ERR'!A142, ":"))))</f>
        <v/>
      </c>
    </row>
    <row r="143">
      <c r="A143" s="39">
        <f>IF('13 - Dressers &amp; Chests'!B143 = "", "", IF('13 - Dressers &amp; Chests-WUO_ERR'!A143 = "", "Validated", HYPERLINK("#" &amp; ADDRESS(143, '13 - Dressers &amp; Chests-WUO_TRK'!A143),_xlfn.TEXTAFTER('13 - Dressers &amp; Chests-WUO_ERR'!A143, ":"))))</f>
        <v/>
      </c>
    </row>
    <row r="144">
      <c r="A144" s="39">
        <f>IF('13 - Dressers &amp; Chests'!B144 = "", "", IF('13 - Dressers &amp; Chests-WUO_ERR'!A144 = "", "Validated", HYPERLINK("#" &amp; ADDRESS(144, '13 - Dressers &amp; Chests-WUO_TRK'!A144),_xlfn.TEXTAFTER('13 - Dressers &amp; Chests-WUO_ERR'!A144, ":"))))</f>
        <v/>
      </c>
    </row>
    <row r="145">
      <c r="A145" s="39">
        <f>IF('13 - Dressers &amp; Chests'!B145 = "", "", IF('13 - Dressers &amp; Chests-WUO_ERR'!A145 = "", "Validated", HYPERLINK("#" &amp; ADDRESS(145, '13 - Dressers &amp; Chests-WUO_TRK'!A145),_xlfn.TEXTAFTER('13 - Dressers &amp; Chests-WUO_ERR'!A145, ":"))))</f>
        <v/>
      </c>
    </row>
    <row r="146">
      <c r="A146" s="39">
        <f>IF('13 - Dressers &amp; Chests'!B146 = "", "", IF('13 - Dressers &amp; Chests-WUO_ERR'!A146 = "", "Validated", HYPERLINK("#" &amp; ADDRESS(146, '13 - Dressers &amp; Chests-WUO_TRK'!A146),_xlfn.TEXTAFTER('13 - Dressers &amp; Chests-WUO_ERR'!A146, ":"))))</f>
        <v/>
      </c>
    </row>
    <row r="147">
      <c r="A147" s="39">
        <f>IF('13 - Dressers &amp; Chests'!B147 = "", "", IF('13 - Dressers &amp; Chests-WUO_ERR'!A147 = "", "Validated", HYPERLINK("#" &amp; ADDRESS(147, '13 - Dressers &amp; Chests-WUO_TRK'!A147),_xlfn.TEXTAFTER('13 - Dressers &amp; Chests-WUO_ERR'!A147, ":"))))</f>
        <v/>
      </c>
    </row>
    <row r="148">
      <c r="A148" s="39">
        <f>IF('13 - Dressers &amp; Chests'!B148 = "", "", IF('13 - Dressers &amp; Chests-WUO_ERR'!A148 = "", "Validated", HYPERLINK("#" &amp; ADDRESS(148, '13 - Dressers &amp; Chests-WUO_TRK'!A148),_xlfn.TEXTAFTER('13 - Dressers &amp; Chests-WUO_ERR'!A148, ":"))))</f>
        <v/>
      </c>
    </row>
    <row r="149">
      <c r="A149" s="39">
        <f>IF('13 - Dressers &amp; Chests'!B149 = "", "", IF('13 - Dressers &amp; Chests-WUO_ERR'!A149 = "", "Validated", HYPERLINK("#" &amp; ADDRESS(149, '13 - Dressers &amp; Chests-WUO_TRK'!A149),_xlfn.TEXTAFTER('13 - Dressers &amp; Chests-WUO_ERR'!A149, ":"))))</f>
        <v/>
      </c>
    </row>
    <row r="150">
      <c r="A150" s="39">
        <f>IF('13 - Dressers &amp; Chests'!B150 = "", "", IF('13 - Dressers &amp; Chests-WUO_ERR'!A150 = "", "Validated", HYPERLINK("#" &amp; ADDRESS(150, '13 - Dressers &amp; Chests-WUO_TRK'!A150),_xlfn.TEXTAFTER('13 - Dressers &amp; Chests-WUO_ERR'!A150, ":"))))</f>
        <v/>
      </c>
    </row>
    <row r="151">
      <c r="A151" s="39">
        <f>IF('13 - Dressers &amp; Chests'!B151 = "", "", IF('13 - Dressers &amp; Chests-WUO_ERR'!A151 = "", "Validated", HYPERLINK("#" &amp; ADDRESS(151, '13 - Dressers &amp; Chests-WUO_TRK'!A151),_xlfn.TEXTAFTER('13 - Dressers &amp; Chests-WUO_ERR'!A151, ":"))))</f>
        <v/>
      </c>
    </row>
    <row r="152">
      <c r="A152" s="39">
        <f>IF('13 - Dressers &amp; Chests'!B152 = "", "", IF('13 - Dressers &amp; Chests-WUO_ERR'!A152 = "", "Validated", HYPERLINK("#" &amp; ADDRESS(152, '13 - Dressers &amp; Chests-WUO_TRK'!A152),_xlfn.TEXTAFTER('13 - Dressers &amp; Chests-WUO_ERR'!A152, ":"))))</f>
        <v/>
      </c>
    </row>
    <row r="153">
      <c r="A153" s="39">
        <f>IF('13 - Dressers &amp; Chests'!B153 = "", "", IF('13 - Dressers &amp; Chests-WUO_ERR'!A153 = "", "Validated", HYPERLINK("#" &amp; ADDRESS(153, '13 - Dressers &amp; Chests-WUO_TRK'!A153),_xlfn.TEXTAFTER('13 - Dressers &amp; Chests-WUO_ERR'!A153, ":"))))</f>
        <v/>
      </c>
    </row>
    <row r="154">
      <c r="A154" s="39">
        <f>IF('13 - Dressers &amp; Chests'!B154 = "", "", IF('13 - Dressers &amp; Chests-WUO_ERR'!A154 = "", "Validated", HYPERLINK("#" &amp; ADDRESS(154, '13 - Dressers &amp; Chests-WUO_TRK'!A154),_xlfn.TEXTAFTER('13 - Dressers &amp; Chests-WUO_ERR'!A154, ":"))))</f>
        <v/>
      </c>
    </row>
    <row r="155">
      <c r="A155" s="39">
        <f>IF('13 - Dressers &amp; Chests'!B155 = "", "", IF('13 - Dressers &amp; Chests-WUO_ERR'!A155 = "", "Validated", HYPERLINK("#" &amp; ADDRESS(155, '13 - Dressers &amp; Chests-WUO_TRK'!A155),_xlfn.TEXTAFTER('13 - Dressers &amp; Chests-WUO_ERR'!A155, ":"))))</f>
        <v/>
      </c>
    </row>
    <row r="156">
      <c r="A156" s="39">
        <f>IF('13 - Dressers &amp; Chests'!B156 = "", "", IF('13 - Dressers &amp; Chests-WUO_ERR'!A156 = "", "Validated", HYPERLINK("#" &amp; ADDRESS(156, '13 - Dressers &amp; Chests-WUO_TRK'!A156),_xlfn.TEXTAFTER('13 - Dressers &amp; Chests-WUO_ERR'!A156, ":"))))</f>
        <v/>
      </c>
    </row>
    <row r="157">
      <c r="A157" s="39">
        <f>IF('13 - Dressers &amp; Chests'!B157 = "", "", IF('13 - Dressers &amp; Chests-WUO_ERR'!A157 = "", "Validated", HYPERLINK("#" &amp; ADDRESS(157, '13 - Dressers &amp; Chests-WUO_TRK'!A157),_xlfn.TEXTAFTER('13 - Dressers &amp; Chests-WUO_ERR'!A157, ":"))))</f>
        <v/>
      </c>
    </row>
    <row r="158">
      <c r="A158" s="39">
        <f>IF('13 - Dressers &amp; Chests'!B158 = "", "", IF('13 - Dressers &amp; Chests-WUO_ERR'!A158 = "", "Validated", HYPERLINK("#" &amp; ADDRESS(158, '13 - Dressers &amp; Chests-WUO_TRK'!A158),_xlfn.TEXTAFTER('13 - Dressers &amp; Chests-WUO_ERR'!A158, ":"))))</f>
        <v/>
      </c>
    </row>
    <row r="159">
      <c r="A159" s="39">
        <f>IF('13 - Dressers &amp; Chests'!B159 = "", "", IF('13 - Dressers &amp; Chests-WUO_ERR'!A159 = "", "Validated", HYPERLINK("#" &amp; ADDRESS(159, '13 - Dressers &amp; Chests-WUO_TRK'!A159),_xlfn.TEXTAFTER('13 - Dressers &amp; Chests-WUO_ERR'!A159, ":"))))</f>
        <v/>
      </c>
    </row>
    <row r="160">
      <c r="A160" s="39">
        <f>IF('13 - Dressers &amp; Chests'!B160 = "", "", IF('13 - Dressers &amp; Chests-WUO_ERR'!A160 = "", "Validated", HYPERLINK("#" &amp; ADDRESS(160, '13 - Dressers &amp; Chests-WUO_TRK'!A160),_xlfn.TEXTAFTER('13 - Dressers &amp; Chests-WUO_ERR'!A160, ":"))))</f>
        <v/>
      </c>
    </row>
    <row r="161">
      <c r="A161" s="39">
        <f>IF('13 - Dressers &amp; Chests'!B161 = "", "", IF('13 - Dressers &amp; Chests-WUO_ERR'!A161 = "", "Validated", HYPERLINK("#" &amp; ADDRESS(161, '13 - Dressers &amp; Chests-WUO_TRK'!A161),_xlfn.TEXTAFTER('13 - Dressers &amp; Chests-WUO_ERR'!A161, ":"))))</f>
        <v/>
      </c>
    </row>
    <row r="162">
      <c r="A162" s="39">
        <f>IF('13 - Dressers &amp; Chests'!B162 = "", "", IF('13 - Dressers &amp; Chests-WUO_ERR'!A162 = "", "Validated", HYPERLINK("#" &amp; ADDRESS(162, '13 - Dressers &amp; Chests-WUO_TRK'!A162),_xlfn.TEXTAFTER('13 - Dressers &amp; Chests-WUO_ERR'!A162, ":"))))</f>
        <v/>
      </c>
    </row>
    <row r="163">
      <c r="A163" s="39">
        <f>IF('13 - Dressers &amp; Chests'!B163 = "", "", IF('13 - Dressers &amp; Chests-WUO_ERR'!A163 = "", "Validated", HYPERLINK("#" &amp; ADDRESS(163, '13 - Dressers &amp; Chests-WUO_TRK'!A163),_xlfn.TEXTAFTER('13 - Dressers &amp; Chests-WUO_ERR'!A163, ":"))))</f>
        <v/>
      </c>
    </row>
    <row r="164">
      <c r="A164" s="39">
        <f>IF('13 - Dressers &amp; Chests'!B164 = "", "", IF('13 - Dressers &amp; Chests-WUO_ERR'!A164 = "", "Validated", HYPERLINK("#" &amp; ADDRESS(164, '13 - Dressers &amp; Chests-WUO_TRK'!A164),_xlfn.TEXTAFTER('13 - Dressers &amp; Chests-WUO_ERR'!A164, ":"))))</f>
        <v/>
      </c>
    </row>
    <row r="165">
      <c r="A165" s="39">
        <f>IF('13 - Dressers &amp; Chests'!B165 = "", "", IF('13 - Dressers &amp; Chests-WUO_ERR'!A165 = "", "Validated", HYPERLINK("#" &amp; ADDRESS(165, '13 - Dressers &amp; Chests-WUO_TRK'!A165),_xlfn.TEXTAFTER('13 - Dressers &amp; Chests-WUO_ERR'!A165, ":"))))</f>
        <v/>
      </c>
    </row>
    <row r="166">
      <c r="A166" s="39">
        <f>IF('13 - Dressers &amp; Chests'!B166 = "", "", IF('13 - Dressers &amp; Chests-WUO_ERR'!A166 = "", "Validated", HYPERLINK("#" &amp; ADDRESS(166, '13 - Dressers &amp; Chests-WUO_TRK'!A166),_xlfn.TEXTAFTER('13 - Dressers &amp; Chests-WUO_ERR'!A166, ":"))))</f>
        <v/>
      </c>
    </row>
    <row r="167">
      <c r="A167" s="39">
        <f>IF('13 - Dressers &amp; Chests'!B167 = "", "", IF('13 - Dressers &amp; Chests-WUO_ERR'!A167 = "", "Validated", HYPERLINK("#" &amp; ADDRESS(167, '13 - Dressers &amp; Chests-WUO_TRK'!A167),_xlfn.TEXTAFTER('13 - Dressers &amp; Chests-WUO_ERR'!A167, ":"))))</f>
        <v/>
      </c>
    </row>
    <row r="168">
      <c r="A168" s="39">
        <f>IF('13 - Dressers &amp; Chests'!B168 = "", "", IF('13 - Dressers &amp; Chests-WUO_ERR'!A168 = "", "Validated", HYPERLINK("#" &amp; ADDRESS(168, '13 - Dressers &amp; Chests-WUO_TRK'!A168),_xlfn.TEXTAFTER('13 - Dressers &amp; Chests-WUO_ERR'!A168, ":"))))</f>
        <v/>
      </c>
    </row>
    <row r="169">
      <c r="A169" s="39">
        <f>IF('13 - Dressers &amp; Chests'!B169 = "", "", IF('13 - Dressers &amp; Chests-WUO_ERR'!A169 = "", "Validated", HYPERLINK("#" &amp; ADDRESS(169, '13 - Dressers &amp; Chests-WUO_TRK'!A169),_xlfn.TEXTAFTER('13 - Dressers &amp; Chests-WUO_ERR'!A169, ":"))))</f>
        <v/>
      </c>
    </row>
    <row r="170">
      <c r="A170" s="39">
        <f>IF('13 - Dressers &amp; Chests'!B170 = "", "", IF('13 - Dressers &amp; Chests-WUO_ERR'!A170 = "", "Validated", HYPERLINK("#" &amp; ADDRESS(170, '13 - Dressers &amp; Chests-WUO_TRK'!A170),_xlfn.TEXTAFTER('13 - Dressers &amp; Chests-WUO_ERR'!A170, ":"))))</f>
        <v/>
      </c>
    </row>
    <row r="171">
      <c r="A171" s="39">
        <f>IF('13 - Dressers &amp; Chests'!B171 = "", "", IF('13 - Dressers &amp; Chests-WUO_ERR'!A171 = "", "Validated", HYPERLINK("#" &amp; ADDRESS(171, '13 - Dressers &amp; Chests-WUO_TRK'!A171),_xlfn.TEXTAFTER('13 - Dressers &amp; Chests-WUO_ERR'!A171, ":"))))</f>
        <v/>
      </c>
    </row>
    <row r="172">
      <c r="A172" s="39">
        <f>IF('13 - Dressers &amp; Chests'!B172 = "", "", IF('13 - Dressers &amp; Chests-WUO_ERR'!A172 = "", "Validated", HYPERLINK("#" &amp; ADDRESS(172, '13 - Dressers &amp; Chests-WUO_TRK'!A172),_xlfn.TEXTAFTER('13 - Dressers &amp; Chests-WUO_ERR'!A172, ":"))))</f>
        <v/>
      </c>
    </row>
    <row r="173">
      <c r="A173" s="39">
        <f>IF('13 - Dressers &amp; Chests'!B173 = "", "", IF('13 - Dressers &amp; Chests-WUO_ERR'!A173 = "", "Validated", HYPERLINK("#" &amp; ADDRESS(173, '13 - Dressers &amp; Chests-WUO_TRK'!A173),_xlfn.TEXTAFTER('13 - Dressers &amp; Chests-WUO_ERR'!A173, ":"))))</f>
        <v/>
      </c>
    </row>
    <row r="174">
      <c r="A174" s="39">
        <f>IF('13 - Dressers &amp; Chests'!B174 = "", "", IF('13 - Dressers &amp; Chests-WUO_ERR'!A174 = "", "Validated", HYPERLINK("#" &amp; ADDRESS(174, '13 - Dressers &amp; Chests-WUO_TRK'!A174),_xlfn.TEXTAFTER('13 - Dressers &amp; Chests-WUO_ERR'!A174, ":"))))</f>
        <v/>
      </c>
    </row>
    <row r="175">
      <c r="A175" s="39">
        <f>IF('13 - Dressers &amp; Chests'!B175 = "", "", IF('13 - Dressers &amp; Chests-WUO_ERR'!A175 = "", "Validated", HYPERLINK("#" &amp; ADDRESS(175, '13 - Dressers &amp; Chests-WUO_TRK'!A175),_xlfn.TEXTAFTER('13 - Dressers &amp; Chests-WUO_ERR'!A175, ":"))))</f>
        <v/>
      </c>
    </row>
    <row r="176">
      <c r="A176" s="39">
        <f>IF('13 - Dressers &amp; Chests'!B176 = "", "", IF('13 - Dressers &amp; Chests-WUO_ERR'!A176 = "", "Validated", HYPERLINK("#" &amp; ADDRESS(176, '13 - Dressers &amp; Chests-WUO_TRK'!A176),_xlfn.TEXTAFTER('13 - Dressers &amp; Chests-WUO_ERR'!A176, ":"))))</f>
        <v/>
      </c>
    </row>
    <row r="177">
      <c r="A177" s="39">
        <f>IF('13 - Dressers &amp; Chests'!B177 = "", "", IF('13 - Dressers &amp; Chests-WUO_ERR'!A177 = "", "Validated", HYPERLINK("#" &amp; ADDRESS(177, '13 - Dressers &amp; Chests-WUO_TRK'!A177),_xlfn.TEXTAFTER('13 - Dressers &amp; Chests-WUO_ERR'!A177, ":"))))</f>
        <v/>
      </c>
    </row>
    <row r="178">
      <c r="A178" s="39">
        <f>IF('13 - Dressers &amp; Chests'!B178 = "", "", IF('13 - Dressers &amp; Chests-WUO_ERR'!A178 = "", "Validated", HYPERLINK("#" &amp; ADDRESS(178, '13 - Dressers &amp; Chests-WUO_TRK'!A178),_xlfn.TEXTAFTER('13 - Dressers &amp; Chests-WUO_ERR'!A178, ":"))))</f>
        <v/>
      </c>
    </row>
    <row r="179">
      <c r="A179" s="39">
        <f>IF('13 - Dressers &amp; Chests'!B179 = "", "", IF('13 - Dressers &amp; Chests-WUO_ERR'!A179 = "", "Validated", HYPERLINK("#" &amp; ADDRESS(179, '13 - Dressers &amp; Chests-WUO_TRK'!A179),_xlfn.TEXTAFTER('13 - Dressers &amp; Chests-WUO_ERR'!A179, ":"))))</f>
        <v/>
      </c>
    </row>
    <row r="180">
      <c r="A180" s="39">
        <f>IF('13 - Dressers &amp; Chests'!B180 = "", "", IF('13 - Dressers &amp; Chests-WUO_ERR'!A180 = "", "Validated", HYPERLINK("#" &amp; ADDRESS(180, '13 - Dressers &amp; Chests-WUO_TRK'!A180),_xlfn.TEXTAFTER('13 - Dressers &amp; Chests-WUO_ERR'!A180, ":"))))</f>
        <v/>
      </c>
    </row>
    <row r="181">
      <c r="A181" s="39">
        <f>IF('13 - Dressers &amp; Chests'!B181 = "", "", IF('13 - Dressers &amp; Chests-WUO_ERR'!A181 = "", "Validated", HYPERLINK("#" &amp; ADDRESS(181, '13 - Dressers &amp; Chests-WUO_TRK'!A181),_xlfn.TEXTAFTER('13 - Dressers &amp; Chests-WUO_ERR'!A181, ":"))))</f>
        <v/>
      </c>
    </row>
    <row r="182">
      <c r="A182" s="39">
        <f>IF('13 - Dressers &amp; Chests'!B182 = "", "", IF('13 - Dressers &amp; Chests-WUO_ERR'!A182 = "", "Validated", HYPERLINK("#" &amp; ADDRESS(182, '13 - Dressers &amp; Chests-WUO_TRK'!A182),_xlfn.TEXTAFTER('13 - Dressers &amp; Chests-WUO_ERR'!A182, ":"))))</f>
        <v/>
      </c>
    </row>
    <row r="183">
      <c r="A183" s="39">
        <f>IF('13 - Dressers &amp; Chests'!B183 = "", "", IF('13 - Dressers &amp; Chests-WUO_ERR'!A183 = "", "Validated", HYPERLINK("#" &amp; ADDRESS(183, '13 - Dressers &amp; Chests-WUO_TRK'!A183),_xlfn.TEXTAFTER('13 - Dressers &amp; Chests-WUO_ERR'!A183, ":"))))</f>
        <v/>
      </c>
    </row>
    <row r="184">
      <c r="A184" s="39">
        <f>IF('13 - Dressers &amp; Chests'!B184 = "", "", IF('13 - Dressers &amp; Chests-WUO_ERR'!A184 = "", "Validated", HYPERLINK("#" &amp; ADDRESS(184, '13 - Dressers &amp; Chests-WUO_TRK'!A184),_xlfn.TEXTAFTER('13 - Dressers &amp; Chests-WUO_ERR'!A184, ":"))))</f>
        <v/>
      </c>
    </row>
    <row r="185">
      <c r="A185" s="39">
        <f>IF('13 - Dressers &amp; Chests'!B185 = "", "", IF('13 - Dressers &amp; Chests-WUO_ERR'!A185 = "", "Validated", HYPERLINK("#" &amp; ADDRESS(185, '13 - Dressers &amp; Chests-WUO_TRK'!A185),_xlfn.TEXTAFTER('13 - Dressers &amp; Chests-WUO_ERR'!A185, ":"))))</f>
        <v/>
      </c>
    </row>
    <row r="186">
      <c r="A186" s="39">
        <f>IF('13 - Dressers &amp; Chests'!B186 = "", "", IF('13 - Dressers &amp; Chests-WUO_ERR'!A186 = "", "Validated", HYPERLINK("#" &amp; ADDRESS(186, '13 - Dressers &amp; Chests-WUO_TRK'!A186),_xlfn.TEXTAFTER('13 - Dressers &amp; Chests-WUO_ERR'!A186, ":"))))</f>
        <v/>
      </c>
    </row>
    <row r="187">
      <c r="A187" s="39">
        <f>IF('13 - Dressers &amp; Chests'!B187 = "", "", IF('13 - Dressers &amp; Chests-WUO_ERR'!A187 = "", "Validated", HYPERLINK("#" &amp; ADDRESS(187, '13 - Dressers &amp; Chests-WUO_TRK'!A187),_xlfn.TEXTAFTER('13 - Dressers &amp; Chests-WUO_ERR'!A187, ":"))))</f>
        <v/>
      </c>
    </row>
    <row r="188">
      <c r="A188" s="39">
        <f>IF('13 - Dressers &amp; Chests'!B188 = "", "", IF('13 - Dressers &amp; Chests-WUO_ERR'!A188 = "", "Validated", HYPERLINK("#" &amp; ADDRESS(188, '13 - Dressers &amp; Chests-WUO_TRK'!A188),_xlfn.TEXTAFTER('13 - Dressers &amp; Chests-WUO_ERR'!A188, ":"))))</f>
        <v/>
      </c>
    </row>
    <row r="189">
      <c r="A189" s="39">
        <f>IF('13 - Dressers &amp; Chests'!B189 = "", "", IF('13 - Dressers &amp; Chests-WUO_ERR'!A189 = "", "Validated", HYPERLINK("#" &amp; ADDRESS(189, '13 - Dressers &amp; Chests-WUO_TRK'!A189),_xlfn.TEXTAFTER('13 - Dressers &amp; Chests-WUO_ERR'!A189, ":"))))</f>
        <v/>
      </c>
    </row>
    <row r="190">
      <c r="A190" s="39">
        <f>IF('13 - Dressers &amp; Chests'!B190 = "", "", IF('13 - Dressers &amp; Chests-WUO_ERR'!A190 = "", "Validated", HYPERLINK("#" &amp; ADDRESS(190, '13 - Dressers &amp; Chests-WUO_TRK'!A190),_xlfn.TEXTAFTER('13 - Dressers &amp; Chests-WUO_ERR'!A190, ":"))))</f>
        <v/>
      </c>
    </row>
    <row r="191">
      <c r="A191" s="39">
        <f>IF('13 - Dressers &amp; Chests'!B191 = "", "", IF('13 - Dressers &amp; Chests-WUO_ERR'!A191 = "", "Validated", HYPERLINK("#" &amp; ADDRESS(191, '13 - Dressers &amp; Chests-WUO_TRK'!A191),_xlfn.TEXTAFTER('13 - Dressers &amp; Chests-WUO_ERR'!A191, ":"))))</f>
        <v/>
      </c>
    </row>
    <row r="192">
      <c r="A192" s="39">
        <f>IF('13 - Dressers &amp; Chests'!B192 = "", "", IF('13 - Dressers &amp; Chests-WUO_ERR'!A192 = "", "Validated", HYPERLINK("#" &amp; ADDRESS(192, '13 - Dressers &amp; Chests-WUO_TRK'!A192),_xlfn.TEXTAFTER('13 - Dressers &amp; Chests-WUO_ERR'!A192, ":"))))</f>
        <v/>
      </c>
    </row>
    <row r="193">
      <c r="A193" s="39">
        <f>IF('13 - Dressers &amp; Chests'!B193 = "", "", IF('13 - Dressers &amp; Chests-WUO_ERR'!A193 = "", "Validated", HYPERLINK("#" &amp; ADDRESS(193, '13 - Dressers &amp; Chests-WUO_TRK'!A193),_xlfn.TEXTAFTER('13 - Dressers &amp; Chests-WUO_ERR'!A193, ":"))))</f>
        <v/>
      </c>
    </row>
    <row r="194">
      <c r="A194" s="39">
        <f>IF('13 - Dressers &amp; Chests'!B194 = "", "", IF('13 - Dressers &amp; Chests-WUO_ERR'!A194 = "", "Validated", HYPERLINK("#" &amp; ADDRESS(194, '13 - Dressers &amp; Chests-WUO_TRK'!A194),_xlfn.TEXTAFTER('13 - Dressers &amp; Chests-WUO_ERR'!A194, ":"))))</f>
        <v/>
      </c>
    </row>
    <row r="195">
      <c r="A195" s="39">
        <f>IF('13 - Dressers &amp; Chests'!B195 = "", "", IF('13 - Dressers &amp; Chests-WUO_ERR'!A195 = "", "Validated", HYPERLINK("#" &amp; ADDRESS(195, '13 - Dressers &amp; Chests-WUO_TRK'!A195),_xlfn.TEXTAFTER('13 - Dressers &amp; Chests-WUO_ERR'!A195, ":"))))</f>
        <v/>
      </c>
    </row>
    <row r="196">
      <c r="A196" s="39">
        <f>IF('13 - Dressers &amp; Chests'!B196 = "", "", IF('13 - Dressers &amp; Chests-WUO_ERR'!A196 = "", "Validated", HYPERLINK("#" &amp; ADDRESS(196, '13 - Dressers &amp; Chests-WUO_TRK'!A196),_xlfn.TEXTAFTER('13 - Dressers &amp; Chests-WUO_ERR'!A196, ":"))))</f>
        <v/>
      </c>
    </row>
    <row r="197">
      <c r="A197" s="39">
        <f>IF('13 - Dressers &amp; Chests'!B197 = "", "", IF('13 - Dressers &amp; Chests-WUO_ERR'!A197 = "", "Validated", HYPERLINK("#" &amp; ADDRESS(197, '13 - Dressers &amp; Chests-WUO_TRK'!A197),_xlfn.TEXTAFTER('13 - Dressers &amp; Chests-WUO_ERR'!A197, ":"))))</f>
        <v/>
      </c>
    </row>
    <row r="198">
      <c r="A198" s="39">
        <f>IF('13 - Dressers &amp; Chests'!B198 = "", "", IF('13 - Dressers &amp; Chests-WUO_ERR'!A198 = "", "Validated", HYPERLINK("#" &amp; ADDRESS(198, '13 - Dressers &amp; Chests-WUO_TRK'!A198),_xlfn.TEXTAFTER('13 - Dressers &amp; Chests-WUO_ERR'!A198, ":"))))</f>
        <v/>
      </c>
    </row>
    <row r="199">
      <c r="A199" s="39">
        <f>IF('13 - Dressers &amp; Chests'!B199 = "", "", IF('13 - Dressers &amp; Chests-WUO_ERR'!A199 = "", "Validated", HYPERLINK("#" &amp; ADDRESS(199, '13 - Dressers &amp; Chests-WUO_TRK'!A199),_xlfn.TEXTAFTER('13 - Dressers &amp; Chests-WUO_ERR'!A199, ":"))))</f>
        <v/>
      </c>
    </row>
    <row r="200">
      <c r="A200" s="39">
        <f>IF('13 - Dressers &amp; Chests'!B200 = "", "", IF('13 - Dressers &amp; Chests-WUO_ERR'!A200 = "", "Validated", HYPERLINK("#" &amp; ADDRESS(200, '13 - Dressers &amp; Chests-WUO_TRK'!A200),_xlfn.TEXTAFTER('13 - Dressers &amp; Chests-WUO_ERR'!A200, ":"))))</f>
        <v/>
      </c>
    </row>
    <row r="201">
      <c r="A201" s="39">
        <f>IF('13 - Dressers &amp; Chests'!B201 = "", "", IF('13 - Dressers &amp; Chests-WUO_ERR'!A201 = "", "Validated", HYPERLINK("#" &amp; ADDRESS(201, '13 - Dressers &amp; Chests-WUO_TRK'!A201),_xlfn.TEXTAFTER('13 - Dressers &amp; Chests-WUO_ERR'!A201, ":"))))</f>
        <v/>
      </c>
    </row>
    <row r="202">
      <c r="A202" s="39">
        <f>IF('13 - Dressers &amp; Chests'!B202 = "", "", IF('13 - Dressers &amp; Chests-WUO_ERR'!A202 = "", "Validated", HYPERLINK("#" &amp; ADDRESS(202, '13 - Dressers &amp; Chests-WUO_TRK'!A202),_xlfn.TEXTAFTER('13 - Dressers &amp; Chests-WUO_ERR'!A202, ":"))))</f>
        <v/>
      </c>
    </row>
    <row r="203">
      <c r="A203" s="39">
        <f>IF('13 - Dressers &amp; Chests'!B203 = "", "", IF('13 - Dressers &amp; Chests-WUO_ERR'!A203 = "", "Validated", HYPERLINK("#" &amp; ADDRESS(203, '13 - Dressers &amp; Chests-WUO_TRK'!A203),_xlfn.TEXTAFTER('13 - Dressers &amp; Chests-WUO_ERR'!A203, ":"))))</f>
        <v/>
      </c>
    </row>
    <row r="204">
      <c r="A204" s="39">
        <f>IF('13 - Dressers &amp; Chests'!B204 = "", "", IF('13 - Dressers &amp; Chests-WUO_ERR'!A204 = "", "Validated", HYPERLINK("#" &amp; ADDRESS(204, '13 - Dressers &amp; Chests-WUO_TRK'!A204),_xlfn.TEXTAFTER('13 - Dressers &amp; Chests-WUO_ERR'!A204, ":"))))</f>
        <v/>
      </c>
    </row>
    <row r="205">
      <c r="A205" s="39">
        <f>IF('13 - Dressers &amp; Chests'!B205 = "", "", IF('13 - Dressers &amp; Chests-WUO_ERR'!A205 = "", "Validated", HYPERLINK("#" &amp; ADDRESS(205, '13 - Dressers &amp; Chests-WUO_TRK'!A205),_xlfn.TEXTAFTER('13 - Dressers &amp; Chests-WUO_ERR'!A205, ":"))))</f>
        <v/>
      </c>
    </row>
    <row r="206">
      <c r="A206" s="39">
        <f>IF('13 - Dressers &amp; Chests'!B206 = "", "", IF('13 - Dressers &amp; Chests-WUO_ERR'!A206 = "", "Validated", HYPERLINK("#" &amp; ADDRESS(206, '13 - Dressers &amp; Chests-WUO_TRK'!A206),_xlfn.TEXTAFTER('13 - Dressers &amp; Chests-WUO_ERR'!A206, ":"))))</f>
        <v/>
      </c>
    </row>
    <row r="207">
      <c r="A207" s="39">
        <f>IF('13 - Dressers &amp; Chests'!B207 = "", "", IF('13 - Dressers &amp; Chests-WUO_ERR'!A207 = "", "Validated", HYPERLINK("#" &amp; ADDRESS(207, '13 - Dressers &amp; Chests-WUO_TRK'!A207),_xlfn.TEXTAFTER('13 - Dressers &amp; Chests-WUO_ERR'!A207, ":"))))</f>
        <v/>
      </c>
    </row>
    <row r="208">
      <c r="A208" s="39">
        <f>IF('13 - Dressers &amp; Chests'!B208 = "", "", IF('13 - Dressers &amp; Chests-WUO_ERR'!A208 = "", "Validated", HYPERLINK("#" &amp; ADDRESS(208, '13 - Dressers &amp; Chests-WUO_TRK'!A208),_xlfn.TEXTAFTER('13 - Dressers &amp; Chests-WUO_ERR'!A208, ":"))))</f>
        <v/>
      </c>
    </row>
    <row r="209">
      <c r="A209" s="39">
        <f>IF('13 - Dressers &amp; Chests'!B209 = "", "", IF('13 - Dressers &amp; Chests-WUO_ERR'!A209 = "", "Validated", HYPERLINK("#" &amp; ADDRESS(209, '13 - Dressers &amp; Chests-WUO_TRK'!A209),_xlfn.TEXTAFTER('13 - Dressers &amp; Chests-WUO_ERR'!A209, ":"))))</f>
        <v/>
      </c>
    </row>
    <row r="210">
      <c r="A210" s="39">
        <f>IF('13 - Dressers &amp; Chests'!B210 = "", "", IF('13 - Dressers &amp; Chests-WUO_ERR'!A210 = "", "Validated", HYPERLINK("#" &amp; ADDRESS(210, '13 - Dressers &amp; Chests-WUO_TRK'!A210),_xlfn.TEXTAFTER('13 - Dressers &amp; Chests-WUO_ERR'!A210, ":"))))</f>
        <v/>
      </c>
    </row>
    <row r="211">
      <c r="A211" s="39">
        <f>IF('13 - Dressers &amp; Chests'!B211 = "", "", IF('13 - Dressers &amp; Chests-WUO_ERR'!A211 = "", "Validated", HYPERLINK("#" &amp; ADDRESS(211, '13 - Dressers &amp; Chests-WUO_TRK'!A211),_xlfn.TEXTAFTER('13 - Dressers &amp; Chests-WUO_ERR'!A211, ":"))))</f>
        <v/>
      </c>
    </row>
    <row r="212">
      <c r="A212" s="39">
        <f>IF('13 - Dressers &amp; Chests'!B212 = "", "", IF('13 - Dressers &amp; Chests-WUO_ERR'!A212 = "", "Validated", HYPERLINK("#" &amp; ADDRESS(212, '13 - Dressers &amp; Chests-WUO_TRK'!A212),_xlfn.TEXTAFTER('13 - Dressers &amp; Chests-WUO_ERR'!A212, ":"))))</f>
        <v/>
      </c>
    </row>
    <row r="213">
      <c r="A213" s="39">
        <f>IF('13 - Dressers &amp; Chests'!B213 = "", "", IF('13 - Dressers &amp; Chests-WUO_ERR'!A213 = "", "Validated", HYPERLINK("#" &amp; ADDRESS(213, '13 - Dressers &amp; Chests-WUO_TRK'!A213),_xlfn.TEXTAFTER('13 - Dressers &amp; Chests-WUO_ERR'!A213, ":"))))</f>
        <v/>
      </c>
    </row>
    <row r="214">
      <c r="A214" s="39">
        <f>IF('13 - Dressers &amp; Chests'!B214 = "", "", IF('13 - Dressers &amp; Chests-WUO_ERR'!A214 = "", "Validated", HYPERLINK("#" &amp; ADDRESS(214, '13 - Dressers &amp; Chests-WUO_TRK'!A214),_xlfn.TEXTAFTER('13 - Dressers &amp; Chests-WUO_ERR'!A214, ":"))))</f>
        <v/>
      </c>
    </row>
    <row r="215">
      <c r="A215" s="39">
        <f>IF('13 - Dressers &amp; Chests'!B215 = "", "", IF('13 - Dressers &amp; Chests-WUO_ERR'!A215 = "", "Validated", HYPERLINK("#" &amp; ADDRESS(215, '13 - Dressers &amp; Chests-WUO_TRK'!A215),_xlfn.TEXTAFTER('13 - Dressers &amp; Chests-WUO_ERR'!A215, ":"))))</f>
        <v/>
      </c>
    </row>
    <row r="216">
      <c r="A216" s="39">
        <f>IF('13 - Dressers &amp; Chests'!B216 = "", "", IF('13 - Dressers &amp; Chests-WUO_ERR'!A216 = "", "Validated", HYPERLINK("#" &amp; ADDRESS(216, '13 - Dressers &amp; Chests-WUO_TRK'!A216),_xlfn.TEXTAFTER('13 - Dressers &amp; Chests-WUO_ERR'!A216, ":"))))</f>
        <v/>
      </c>
    </row>
    <row r="217">
      <c r="A217" s="39">
        <f>IF('13 - Dressers &amp; Chests'!B217 = "", "", IF('13 - Dressers &amp; Chests-WUO_ERR'!A217 = "", "Validated", HYPERLINK("#" &amp; ADDRESS(217, '13 - Dressers &amp; Chests-WUO_TRK'!A217),_xlfn.TEXTAFTER('13 - Dressers &amp; Chests-WUO_ERR'!A217, ":"))))</f>
        <v/>
      </c>
    </row>
    <row r="218">
      <c r="A218" s="39">
        <f>IF('13 - Dressers &amp; Chests'!B218 = "", "", IF('13 - Dressers &amp; Chests-WUO_ERR'!A218 = "", "Validated", HYPERLINK("#" &amp; ADDRESS(218, '13 - Dressers &amp; Chests-WUO_TRK'!A218),_xlfn.TEXTAFTER('13 - Dressers &amp; Chests-WUO_ERR'!A218, ":"))))</f>
        <v/>
      </c>
    </row>
    <row r="219">
      <c r="A219" s="39">
        <f>IF('13 - Dressers &amp; Chests'!B219 = "", "", IF('13 - Dressers &amp; Chests-WUO_ERR'!A219 = "", "Validated", HYPERLINK("#" &amp; ADDRESS(219, '13 - Dressers &amp; Chests-WUO_TRK'!A219),_xlfn.TEXTAFTER('13 - Dressers &amp; Chests-WUO_ERR'!A219, ":"))))</f>
        <v/>
      </c>
    </row>
    <row r="220">
      <c r="A220" s="39">
        <f>IF('13 - Dressers &amp; Chests'!B220 = "", "", IF('13 - Dressers &amp; Chests-WUO_ERR'!A220 = "", "Validated", HYPERLINK("#" &amp; ADDRESS(220, '13 - Dressers &amp; Chests-WUO_TRK'!A220),_xlfn.TEXTAFTER('13 - Dressers &amp; Chests-WUO_ERR'!A220, ":"))))</f>
        <v/>
      </c>
    </row>
    <row r="221">
      <c r="A221" s="39">
        <f>IF('13 - Dressers &amp; Chests'!B221 = "", "", IF('13 - Dressers &amp; Chests-WUO_ERR'!A221 = "", "Validated", HYPERLINK("#" &amp; ADDRESS(221, '13 - Dressers &amp; Chests-WUO_TRK'!A221),_xlfn.TEXTAFTER('13 - Dressers &amp; Chests-WUO_ERR'!A221, ":"))))</f>
        <v/>
      </c>
    </row>
    <row r="222">
      <c r="A222" s="39">
        <f>IF('13 - Dressers &amp; Chests'!B222 = "", "", IF('13 - Dressers &amp; Chests-WUO_ERR'!A222 = "", "Validated", HYPERLINK("#" &amp; ADDRESS(222, '13 - Dressers &amp; Chests-WUO_TRK'!A222),_xlfn.TEXTAFTER('13 - Dressers &amp; Chests-WUO_ERR'!A222, ":"))))</f>
        <v/>
      </c>
    </row>
    <row r="223">
      <c r="A223" s="39">
        <f>IF('13 - Dressers &amp; Chests'!B223 = "", "", IF('13 - Dressers &amp; Chests-WUO_ERR'!A223 = "", "Validated", HYPERLINK("#" &amp; ADDRESS(223, '13 - Dressers &amp; Chests-WUO_TRK'!A223),_xlfn.TEXTAFTER('13 - Dressers &amp; Chests-WUO_ERR'!A223, ":"))))</f>
        <v/>
      </c>
    </row>
    <row r="224">
      <c r="A224" s="39">
        <f>IF('13 - Dressers &amp; Chests'!B224 = "", "", IF('13 - Dressers &amp; Chests-WUO_ERR'!A224 = "", "Validated", HYPERLINK("#" &amp; ADDRESS(224, '13 - Dressers &amp; Chests-WUO_TRK'!A224),_xlfn.TEXTAFTER('13 - Dressers &amp; Chests-WUO_ERR'!A224, ":"))))</f>
        <v/>
      </c>
    </row>
    <row r="225">
      <c r="A225" s="39">
        <f>IF('13 - Dressers &amp; Chests'!B225 = "", "", IF('13 - Dressers &amp; Chests-WUO_ERR'!A225 = "", "Validated", HYPERLINK("#" &amp; ADDRESS(225, '13 - Dressers &amp; Chests-WUO_TRK'!A225),_xlfn.TEXTAFTER('13 - Dressers &amp; Chests-WUO_ERR'!A225, ":"))))</f>
        <v/>
      </c>
    </row>
    <row r="226">
      <c r="A226" s="39">
        <f>IF('13 - Dressers &amp; Chests'!B226 = "", "", IF('13 - Dressers &amp; Chests-WUO_ERR'!A226 = "", "Validated", HYPERLINK("#" &amp; ADDRESS(226, '13 - Dressers &amp; Chests-WUO_TRK'!A226),_xlfn.TEXTAFTER('13 - Dressers &amp; Chests-WUO_ERR'!A226, ":"))))</f>
        <v/>
      </c>
    </row>
    <row r="227">
      <c r="A227" s="39">
        <f>IF('13 - Dressers &amp; Chests'!B227 = "", "", IF('13 - Dressers &amp; Chests-WUO_ERR'!A227 = "", "Validated", HYPERLINK("#" &amp; ADDRESS(227, '13 - Dressers &amp; Chests-WUO_TRK'!A227),_xlfn.TEXTAFTER('13 - Dressers &amp; Chests-WUO_ERR'!A227, ":"))))</f>
        <v/>
      </c>
    </row>
    <row r="228">
      <c r="A228" s="39">
        <f>IF('13 - Dressers &amp; Chests'!B228 = "", "", IF('13 - Dressers &amp; Chests-WUO_ERR'!A228 = "", "Validated", HYPERLINK("#" &amp; ADDRESS(228, '13 - Dressers &amp; Chests-WUO_TRK'!A228),_xlfn.TEXTAFTER('13 - Dressers &amp; Chests-WUO_ERR'!A228, ":"))))</f>
        <v/>
      </c>
    </row>
    <row r="229">
      <c r="A229" s="39">
        <f>IF('13 - Dressers &amp; Chests'!B229 = "", "", IF('13 - Dressers &amp; Chests-WUO_ERR'!A229 = "", "Validated", HYPERLINK("#" &amp; ADDRESS(229, '13 - Dressers &amp; Chests-WUO_TRK'!A229),_xlfn.TEXTAFTER('13 - Dressers &amp; Chests-WUO_ERR'!A229, ":"))))</f>
        <v/>
      </c>
    </row>
    <row r="230">
      <c r="A230" s="39">
        <f>IF('13 - Dressers &amp; Chests'!B230 = "", "", IF('13 - Dressers &amp; Chests-WUO_ERR'!A230 = "", "Validated", HYPERLINK("#" &amp; ADDRESS(230, '13 - Dressers &amp; Chests-WUO_TRK'!A230),_xlfn.TEXTAFTER('13 - Dressers &amp; Chests-WUO_ERR'!A230, ":"))))</f>
        <v/>
      </c>
    </row>
    <row r="231">
      <c r="A231" s="39">
        <f>IF('13 - Dressers &amp; Chests'!B231 = "", "", IF('13 - Dressers &amp; Chests-WUO_ERR'!A231 = "", "Validated", HYPERLINK("#" &amp; ADDRESS(231, '13 - Dressers &amp; Chests-WUO_TRK'!A231),_xlfn.TEXTAFTER('13 - Dressers &amp; Chests-WUO_ERR'!A231, ":"))))</f>
        <v/>
      </c>
    </row>
    <row r="232">
      <c r="A232" s="39">
        <f>IF('13 - Dressers &amp; Chests'!B232 = "", "", IF('13 - Dressers &amp; Chests-WUO_ERR'!A232 = "", "Validated", HYPERLINK("#" &amp; ADDRESS(232, '13 - Dressers &amp; Chests-WUO_TRK'!A232),_xlfn.TEXTAFTER('13 - Dressers &amp; Chests-WUO_ERR'!A232, ":"))))</f>
        <v/>
      </c>
    </row>
    <row r="233">
      <c r="A233" s="39">
        <f>IF('13 - Dressers &amp; Chests'!B233 = "", "", IF('13 - Dressers &amp; Chests-WUO_ERR'!A233 = "", "Validated", HYPERLINK("#" &amp; ADDRESS(233, '13 - Dressers &amp; Chests-WUO_TRK'!A233),_xlfn.TEXTAFTER('13 - Dressers &amp; Chests-WUO_ERR'!A233, ":"))))</f>
        <v/>
      </c>
    </row>
    <row r="234">
      <c r="A234" s="39">
        <f>IF('13 - Dressers &amp; Chests'!B234 = "", "", IF('13 - Dressers &amp; Chests-WUO_ERR'!A234 = "", "Validated", HYPERLINK("#" &amp; ADDRESS(234, '13 - Dressers &amp; Chests-WUO_TRK'!A234),_xlfn.TEXTAFTER('13 - Dressers &amp; Chests-WUO_ERR'!A234, ":"))))</f>
        <v/>
      </c>
    </row>
    <row r="235">
      <c r="A235" s="39">
        <f>IF('13 - Dressers &amp; Chests'!B235 = "", "", IF('13 - Dressers &amp; Chests-WUO_ERR'!A235 = "", "Validated", HYPERLINK("#" &amp; ADDRESS(235, '13 - Dressers &amp; Chests-WUO_TRK'!A235),_xlfn.TEXTAFTER('13 - Dressers &amp; Chests-WUO_ERR'!A235, ":"))))</f>
        <v/>
      </c>
    </row>
    <row r="236">
      <c r="A236" s="39">
        <f>IF('13 - Dressers &amp; Chests'!B236 = "", "", IF('13 - Dressers &amp; Chests-WUO_ERR'!A236 = "", "Validated", HYPERLINK("#" &amp; ADDRESS(236, '13 - Dressers &amp; Chests-WUO_TRK'!A236),_xlfn.TEXTAFTER('13 - Dressers &amp; Chests-WUO_ERR'!A236, ":"))))</f>
        <v/>
      </c>
    </row>
    <row r="237">
      <c r="A237" s="39">
        <f>IF('13 - Dressers &amp; Chests'!B237 = "", "", IF('13 - Dressers &amp; Chests-WUO_ERR'!A237 = "", "Validated", HYPERLINK("#" &amp; ADDRESS(237, '13 - Dressers &amp; Chests-WUO_TRK'!A237),_xlfn.TEXTAFTER('13 - Dressers &amp; Chests-WUO_ERR'!A237, ":"))))</f>
        <v/>
      </c>
    </row>
    <row r="238">
      <c r="A238" s="39">
        <f>IF('13 - Dressers &amp; Chests'!B238 = "", "", IF('13 - Dressers &amp; Chests-WUO_ERR'!A238 = "", "Validated", HYPERLINK("#" &amp; ADDRESS(238, '13 - Dressers &amp; Chests-WUO_TRK'!A238),_xlfn.TEXTAFTER('13 - Dressers &amp; Chests-WUO_ERR'!A238, ":"))))</f>
        <v/>
      </c>
    </row>
    <row r="239">
      <c r="A239" s="39">
        <f>IF('13 - Dressers &amp; Chests'!B239 = "", "", IF('13 - Dressers &amp; Chests-WUO_ERR'!A239 = "", "Validated", HYPERLINK("#" &amp; ADDRESS(239, '13 - Dressers &amp; Chests-WUO_TRK'!A239),_xlfn.TEXTAFTER('13 - Dressers &amp; Chests-WUO_ERR'!A239, ":"))))</f>
        <v/>
      </c>
    </row>
    <row r="240">
      <c r="A240" s="39">
        <f>IF('13 - Dressers &amp; Chests'!B240 = "", "", IF('13 - Dressers &amp; Chests-WUO_ERR'!A240 = "", "Validated", HYPERLINK("#" &amp; ADDRESS(240, '13 - Dressers &amp; Chests-WUO_TRK'!A240),_xlfn.TEXTAFTER('13 - Dressers &amp; Chests-WUO_ERR'!A240, ":"))))</f>
        <v/>
      </c>
    </row>
    <row r="241">
      <c r="A241" s="39">
        <f>IF('13 - Dressers &amp; Chests'!B241 = "", "", IF('13 - Dressers &amp; Chests-WUO_ERR'!A241 = "", "Validated", HYPERLINK("#" &amp; ADDRESS(241, '13 - Dressers &amp; Chests-WUO_TRK'!A241),_xlfn.TEXTAFTER('13 - Dressers &amp; Chests-WUO_ERR'!A241, ":"))))</f>
        <v/>
      </c>
    </row>
    <row r="242">
      <c r="A242" s="39">
        <f>IF('13 - Dressers &amp; Chests'!B242 = "", "", IF('13 - Dressers &amp; Chests-WUO_ERR'!A242 = "", "Validated", HYPERLINK("#" &amp; ADDRESS(242, '13 - Dressers &amp; Chests-WUO_TRK'!A242),_xlfn.TEXTAFTER('13 - Dressers &amp; Chests-WUO_ERR'!A242, ":"))))</f>
        <v/>
      </c>
    </row>
    <row r="243">
      <c r="A243" s="39">
        <f>IF('13 - Dressers &amp; Chests'!B243 = "", "", IF('13 - Dressers &amp; Chests-WUO_ERR'!A243 = "", "Validated", HYPERLINK("#" &amp; ADDRESS(243, '13 - Dressers &amp; Chests-WUO_TRK'!A243),_xlfn.TEXTAFTER('13 - Dressers &amp; Chests-WUO_ERR'!A243, ":"))))</f>
        <v/>
      </c>
    </row>
    <row r="244">
      <c r="A244" s="39">
        <f>IF('13 - Dressers &amp; Chests'!B244 = "", "", IF('13 - Dressers &amp; Chests-WUO_ERR'!A244 = "", "Validated", HYPERLINK("#" &amp; ADDRESS(244, '13 - Dressers &amp; Chests-WUO_TRK'!A244),_xlfn.TEXTAFTER('13 - Dressers &amp; Chests-WUO_ERR'!A244, ":"))))</f>
        <v/>
      </c>
    </row>
    <row r="245">
      <c r="A245" s="39">
        <f>IF('13 - Dressers &amp; Chests'!B245 = "", "", IF('13 - Dressers &amp; Chests-WUO_ERR'!A245 = "", "Validated", HYPERLINK("#" &amp; ADDRESS(245, '13 - Dressers &amp; Chests-WUO_TRK'!A245),_xlfn.TEXTAFTER('13 - Dressers &amp; Chests-WUO_ERR'!A245, ":"))))</f>
        <v/>
      </c>
    </row>
    <row r="246">
      <c r="A246" s="39">
        <f>IF('13 - Dressers &amp; Chests'!B246 = "", "", IF('13 - Dressers &amp; Chests-WUO_ERR'!A246 = "", "Validated", HYPERLINK("#" &amp; ADDRESS(246, '13 - Dressers &amp; Chests-WUO_TRK'!A246),_xlfn.TEXTAFTER('13 - Dressers &amp; Chests-WUO_ERR'!A246, ":"))))</f>
        <v/>
      </c>
    </row>
    <row r="247">
      <c r="A247" s="39">
        <f>IF('13 - Dressers &amp; Chests'!B247 = "", "", IF('13 - Dressers &amp; Chests-WUO_ERR'!A247 = "", "Validated", HYPERLINK("#" &amp; ADDRESS(247, '13 - Dressers &amp; Chests-WUO_TRK'!A247),_xlfn.TEXTAFTER('13 - Dressers &amp; Chests-WUO_ERR'!A247, ":"))))</f>
        <v/>
      </c>
    </row>
    <row r="248">
      <c r="A248" s="39">
        <f>IF('13 - Dressers &amp; Chests'!B248 = "", "", IF('13 - Dressers &amp; Chests-WUO_ERR'!A248 = "", "Validated", HYPERLINK("#" &amp; ADDRESS(248, '13 - Dressers &amp; Chests-WUO_TRK'!A248),_xlfn.TEXTAFTER('13 - Dressers &amp; Chests-WUO_ERR'!A248, ":"))))</f>
        <v/>
      </c>
    </row>
    <row r="249">
      <c r="A249" s="39">
        <f>IF('13 - Dressers &amp; Chests'!B249 = "", "", IF('13 - Dressers &amp; Chests-WUO_ERR'!A249 = "", "Validated", HYPERLINK("#" &amp; ADDRESS(249, '13 - Dressers &amp; Chests-WUO_TRK'!A249),_xlfn.TEXTAFTER('13 - Dressers &amp; Chests-WUO_ERR'!A249, ":"))))</f>
        <v/>
      </c>
    </row>
    <row r="250">
      <c r="A250" s="39">
        <f>IF('13 - Dressers &amp; Chests'!B250 = "", "", IF('13 - Dressers &amp; Chests-WUO_ERR'!A250 = "", "Validated", HYPERLINK("#" &amp; ADDRESS(250, '13 - Dressers &amp; Chests-WUO_TRK'!A250),_xlfn.TEXTAFTER('13 - Dressers &amp; Chests-WUO_ERR'!A250, ":"))))</f>
        <v/>
      </c>
    </row>
    <row r="251">
      <c r="A251" s="39">
        <f>IF('13 - Dressers &amp; Chests'!B251 = "", "", IF('13 - Dressers &amp; Chests-WUO_ERR'!A251 = "", "Validated", HYPERLINK("#" &amp; ADDRESS(251, '13 - Dressers &amp; Chests-WUO_TRK'!A251),_xlfn.TEXTAFTER('13 - Dressers &amp; Chests-WUO_ERR'!A251, ":"))))</f>
        <v/>
      </c>
    </row>
    <row r="252">
      <c r="A252" s="39">
        <f>IF('13 - Dressers &amp; Chests'!B252 = "", "", IF('13 - Dressers &amp; Chests-WUO_ERR'!A252 = "", "Validated", HYPERLINK("#" &amp; ADDRESS(252, '13 - Dressers &amp; Chests-WUO_TRK'!A252),_xlfn.TEXTAFTER('13 - Dressers &amp; Chests-WUO_ERR'!A252, ":"))))</f>
        <v/>
      </c>
    </row>
    <row r="253">
      <c r="A253" s="39">
        <f>IF('13 - Dressers &amp; Chests'!B253 = "", "", IF('13 - Dressers &amp; Chests-WUO_ERR'!A253 = "", "Validated", HYPERLINK("#" &amp; ADDRESS(253, '13 - Dressers &amp; Chests-WUO_TRK'!A253),_xlfn.TEXTAFTER('13 - Dressers &amp; Chests-WUO_ERR'!A253, ":"))))</f>
        <v/>
      </c>
    </row>
    <row r="254">
      <c r="A254" s="39">
        <f>IF('13 - Dressers &amp; Chests'!B254 = "", "", IF('13 - Dressers &amp; Chests-WUO_ERR'!A254 = "", "Validated", HYPERLINK("#" &amp; ADDRESS(254, '13 - Dressers &amp; Chests-WUO_TRK'!A254),_xlfn.TEXTAFTER('13 - Dressers &amp; Chests-WUO_ERR'!A254, ":"))))</f>
        <v/>
      </c>
    </row>
    <row r="255">
      <c r="A255" s="39">
        <f>IF('13 - Dressers &amp; Chests'!B255 = "", "", IF('13 - Dressers &amp; Chests-WUO_ERR'!A255 = "", "Validated", HYPERLINK("#" &amp; ADDRESS(255, '13 - Dressers &amp; Chests-WUO_TRK'!A255),_xlfn.TEXTAFTER('13 - Dressers &amp; Chests-WUO_ERR'!A255, ":"))))</f>
        <v/>
      </c>
    </row>
    <row r="256">
      <c r="A256" s="39">
        <f>IF('13 - Dressers &amp; Chests'!B256 = "", "", IF('13 - Dressers &amp; Chests-WUO_ERR'!A256 = "", "Validated", HYPERLINK("#" &amp; ADDRESS(256, '13 - Dressers &amp; Chests-WUO_TRK'!A256),_xlfn.TEXTAFTER('13 - Dressers &amp; Chests-WUO_ERR'!A256, ":"))))</f>
        <v/>
      </c>
    </row>
    <row r="257">
      <c r="A257" s="39">
        <f>IF('13 - Dressers &amp; Chests'!B257 = "", "", IF('13 - Dressers &amp; Chests-WUO_ERR'!A257 = "", "Validated", HYPERLINK("#" &amp; ADDRESS(257, '13 - Dressers &amp; Chests-WUO_TRK'!A257),_xlfn.TEXTAFTER('13 - Dressers &amp; Chests-WUO_ERR'!A257, ":"))))</f>
        <v/>
      </c>
    </row>
    <row r="258">
      <c r="A258" s="39">
        <f>IF('13 - Dressers &amp; Chests'!B258 = "", "", IF('13 - Dressers &amp; Chests-WUO_ERR'!A258 = "", "Validated", HYPERLINK("#" &amp; ADDRESS(258, '13 - Dressers &amp; Chests-WUO_TRK'!A258),_xlfn.TEXTAFTER('13 - Dressers &amp; Chests-WUO_ERR'!A258, ":"))))</f>
        <v/>
      </c>
    </row>
    <row r="259">
      <c r="A259" s="39">
        <f>IF('13 - Dressers &amp; Chests'!B259 = "", "", IF('13 - Dressers &amp; Chests-WUO_ERR'!A259 = "", "Validated", HYPERLINK("#" &amp; ADDRESS(259, '13 - Dressers &amp; Chests-WUO_TRK'!A259),_xlfn.TEXTAFTER('13 - Dressers &amp; Chests-WUO_ERR'!A259, ":"))))</f>
        <v/>
      </c>
    </row>
    <row r="260">
      <c r="A260" s="39">
        <f>IF('13 - Dressers &amp; Chests'!B260 = "", "", IF('13 - Dressers &amp; Chests-WUO_ERR'!A260 = "", "Validated", HYPERLINK("#" &amp; ADDRESS(260, '13 - Dressers &amp; Chests-WUO_TRK'!A260),_xlfn.TEXTAFTER('13 - Dressers &amp; Chests-WUO_ERR'!A260, ":"))))</f>
        <v/>
      </c>
    </row>
    <row r="261">
      <c r="A261" s="39">
        <f>IF('13 - Dressers &amp; Chests'!B261 = "", "", IF('13 - Dressers &amp; Chests-WUO_ERR'!A261 = "", "Validated", HYPERLINK("#" &amp; ADDRESS(261, '13 - Dressers &amp; Chests-WUO_TRK'!A261),_xlfn.TEXTAFTER('13 - Dressers &amp; Chests-WUO_ERR'!A261, ":"))))</f>
        <v/>
      </c>
    </row>
    <row r="262">
      <c r="A262" s="39">
        <f>IF('13 - Dressers &amp; Chests'!B262 = "", "", IF('13 - Dressers &amp; Chests-WUO_ERR'!A262 = "", "Validated", HYPERLINK("#" &amp; ADDRESS(262, '13 - Dressers &amp; Chests-WUO_TRK'!A262),_xlfn.TEXTAFTER('13 - Dressers &amp; Chests-WUO_ERR'!A262, ":"))))</f>
        <v/>
      </c>
    </row>
    <row r="263">
      <c r="A263" s="39">
        <f>IF('13 - Dressers &amp; Chests'!B263 = "", "", IF('13 - Dressers &amp; Chests-WUO_ERR'!A263 = "", "Validated", HYPERLINK("#" &amp; ADDRESS(263, '13 - Dressers &amp; Chests-WUO_TRK'!A263),_xlfn.TEXTAFTER('13 - Dressers &amp; Chests-WUO_ERR'!A263, ":"))))</f>
        <v/>
      </c>
    </row>
    <row r="264">
      <c r="A264" s="39">
        <f>IF('13 - Dressers &amp; Chests'!B264 = "", "", IF('13 - Dressers &amp; Chests-WUO_ERR'!A264 = "", "Validated", HYPERLINK("#" &amp; ADDRESS(264, '13 - Dressers &amp; Chests-WUO_TRK'!A264),_xlfn.TEXTAFTER('13 - Dressers &amp; Chests-WUO_ERR'!A264, ":"))))</f>
        <v/>
      </c>
    </row>
    <row r="265">
      <c r="A265" s="39">
        <f>IF('13 - Dressers &amp; Chests'!B265 = "", "", IF('13 - Dressers &amp; Chests-WUO_ERR'!A265 = "", "Validated", HYPERLINK("#" &amp; ADDRESS(265, '13 - Dressers &amp; Chests-WUO_TRK'!A265),_xlfn.TEXTAFTER('13 - Dressers &amp; Chests-WUO_ERR'!A265, ":"))))</f>
        <v/>
      </c>
    </row>
    <row r="266">
      <c r="A266" s="39">
        <f>IF('13 - Dressers &amp; Chests'!B266 = "", "", IF('13 - Dressers &amp; Chests-WUO_ERR'!A266 = "", "Validated", HYPERLINK("#" &amp; ADDRESS(266, '13 - Dressers &amp; Chests-WUO_TRK'!A266),_xlfn.TEXTAFTER('13 - Dressers &amp; Chests-WUO_ERR'!A266, ":"))))</f>
        <v/>
      </c>
    </row>
    <row r="267">
      <c r="A267" s="39">
        <f>IF('13 - Dressers &amp; Chests'!B267 = "", "", IF('13 - Dressers &amp; Chests-WUO_ERR'!A267 = "", "Validated", HYPERLINK("#" &amp; ADDRESS(267, '13 - Dressers &amp; Chests-WUO_TRK'!A267),_xlfn.TEXTAFTER('13 - Dressers &amp; Chests-WUO_ERR'!A267, ":"))))</f>
        <v/>
      </c>
    </row>
    <row r="268">
      <c r="A268" s="39">
        <f>IF('13 - Dressers &amp; Chests'!B268 = "", "", IF('13 - Dressers &amp; Chests-WUO_ERR'!A268 = "", "Validated", HYPERLINK("#" &amp; ADDRESS(268, '13 - Dressers &amp; Chests-WUO_TRK'!A268),_xlfn.TEXTAFTER('13 - Dressers &amp; Chests-WUO_ERR'!A268, ":"))))</f>
        <v/>
      </c>
    </row>
    <row r="269">
      <c r="A269" s="39">
        <f>IF('13 - Dressers &amp; Chests'!B269 = "", "", IF('13 - Dressers &amp; Chests-WUO_ERR'!A269 = "", "Validated", HYPERLINK("#" &amp; ADDRESS(269, '13 - Dressers &amp; Chests-WUO_TRK'!A269),_xlfn.TEXTAFTER('13 - Dressers &amp; Chests-WUO_ERR'!A269, ":"))))</f>
        <v/>
      </c>
    </row>
    <row r="270">
      <c r="A270" s="39">
        <f>IF('13 - Dressers &amp; Chests'!B270 = "", "", IF('13 - Dressers &amp; Chests-WUO_ERR'!A270 = "", "Validated", HYPERLINK("#" &amp; ADDRESS(270, '13 - Dressers &amp; Chests-WUO_TRK'!A270),_xlfn.TEXTAFTER('13 - Dressers &amp; Chests-WUO_ERR'!A270, ":"))))</f>
        <v/>
      </c>
    </row>
    <row r="271">
      <c r="A271" s="39">
        <f>IF('13 - Dressers &amp; Chests'!B271 = "", "", IF('13 - Dressers &amp; Chests-WUO_ERR'!A271 = "", "Validated", HYPERLINK("#" &amp; ADDRESS(271, '13 - Dressers &amp; Chests-WUO_TRK'!A271),_xlfn.TEXTAFTER('13 - Dressers &amp; Chests-WUO_ERR'!A271, ":"))))</f>
        <v/>
      </c>
    </row>
    <row r="272">
      <c r="A272" s="39">
        <f>IF('13 - Dressers &amp; Chests'!B272 = "", "", IF('13 - Dressers &amp; Chests-WUO_ERR'!A272 = "", "Validated", HYPERLINK("#" &amp; ADDRESS(272, '13 - Dressers &amp; Chests-WUO_TRK'!A272),_xlfn.TEXTAFTER('13 - Dressers &amp; Chests-WUO_ERR'!A272, ":"))))</f>
        <v/>
      </c>
    </row>
    <row r="273">
      <c r="A273" s="39">
        <f>IF('13 - Dressers &amp; Chests'!B273 = "", "", IF('13 - Dressers &amp; Chests-WUO_ERR'!A273 = "", "Validated", HYPERLINK("#" &amp; ADDRESS(273, '13 - Dressers &amp; Chests-WUO_TRK'!A273),_xlfn.TEXTAFTER('13 - Dressers &amp; Chests-WUO_ERR'!A273, ":"))))</f>
        <v/>
      </c>
    </row>
    <row r="274">
      <c r="A274" s="39">
        <f>IF('13 - Dressers &amp; Chests'!B274 = "", "", IF('13 - Dressers &amp; Chests-WUO_ERR'!A274 = "", "Validated", HYPERLINK("#" &amp; ADDRESS(274, '13 - Dressers &amp; Chests-WUO_TRK'!A274),_xlfn.TEXTAFTER('13 - Dressers &amp; Chests-WUO_ERR'!A274, ":"))))</f>
        <v/>
      </c>
    </row>
    <row r="275">
      <c r="A275" s="39">
        <f>IF('13 - Dressers &amp; Chests'!B275 = "", "", IF('13 - Dressers &amp; Chests-WUO_ERR'!A275 = "", "Validated", HYPERLINK("#" &amp; ADDRESS(275, '13 - Dressers &amp; Chests-WUO_TRK'!A275),_xlfn.TEXTAFTER('13 - Dressers &amp; Chests-WUO_ERR'!A275, ":"))))</f>
        <v/>
      </c>
    </row>
    <row r="276">
      <c r="A276" s="39">
        <f>IF('13 - Dressers &amp; Chests'!B276 = "", "", IF('13 - Dressers &amp; Chests-WUO_ERR'!A276 = "", "Validated", HYPERLINK("#" &amp; ADDRESS(276, '13 - Dressers &amp; Chests-WUO_TRK'!A276),_xlfn.TEXTAFTER('13 - Dressers &amp; Chests-WUO_ERR'!A276, ":"))))</f>
        <v/>
      </c>
    </row>
    <row r="277">
      <c r="A277" s="39">
        <f>IF('13 - Dressers &amp; Chests'!B277 = "", "", IF('13 - Dressers &amp; Chests-WUO_ERR'!A277 = "", "Validated", HYPERLINK("#" &amp; ADDRESS(277, '13 - Dressers &amp; Chests-WUO_TRK'!A277),_xlfn.TEXTAFTER('13 - Dressers &amp; Chests-WUO_ERR'!A277, ":"))))</f>
        <v/>
      </c>
    </row>
    <row r="278">
      <c r="A278" s="39">
        <f>IF('13 - Dressers &amp; Chests'!B278 = "", "", IF('13 - Dressers &amp; Chests-WUO_ERR'!A278 = "", "Validated", HYPERLINK("#" &amp; ADDRESS(278, '13 - Dressers &amp; Chests-WUO_TRK'!A278),_xlfn.TEXTAFTER('13 - Dressers &amp; Chests-WUO_ERR'!A278, ":"))))</f>
        <v/>
      </c>
    </row>
    <row r="279">
      <c r="A279" s="39">
        <f>IF('13 - Dressers &amp; Chests'!B279 = "", "", IF('13 - Dressers &amp; Chests-WUO_ERR'!A279 = "", "Validated", HYPERLINK("#" &amp; ADDRESS(279, '13 - Dressers &amp; Chests-WUO_TRK'!A279),_xlfn.TEXTAFTER('13 - Dressers &amp; Chests-WUO_ERR'!A279, ":"))))</f>
        <v/>
      </c>
    </row>
    <row r="280">
      <c r="A280" s="39">
        <f>IF('13 - Dressers &amp; Chests'!B280 = "", "", IF('13 - Dressers &amp; Chests-WUO_ERR'!A280 = "", "Validated", HYPERLINK("#" &amp; ADDRESS(280, '13 - Dressers &amp; Chests-WUO_TRK'!A280),_xlfn.TEXTAFTER('13 - Dressers &amp; Chests-WUO_ERR'!A280, ":"))))</f>
        <v/>
      </c>
    </row>
    <row r="281">
      <c r="A281" s="39">
        <f>IF('13 - Dressers &amp; Chests'!B281 = "", "", IF('13 - Dressers &amp; Chests-WUO_ERR'!A281 = "", "Validated", HYPERLINK("#" &amp; ADDRESS(281, '13 - Dressers &amp; Chests-WUO_TRK'!A281),_xlfn.TEXTAFTER('13 - Dressers &amp; Chests-WUO_ERR'!A281, ":"))))</f>
        <v/>
      </c>
    </row>
    <row r="282">
      <c r="A282" s="39">
        <f>IF('13 - Dressers &amp; Chests'!B282 = "", "", IF('13 - Dressers &amp; Chests-WUO_ERR'!A282 = "", "Validated", HYPERLINK("#" &amp; ADDRESS(282, '13 - Dressers &amp; Chests-WUO_TRK'!A282),_xlfn.TEXTAFTER('13 - Dressers &amp; Chests-WUO_ERR'!A282, ":"))))</f>
        <v/>
      </c>
    </row>
    <row r="283">
      <c r="A283" s="39">
        <f>IF('13 - Dressers &amp; Chests'!B283 = "", "", IF('13 - Dressers &amp; Chests-WUO_ERR'!A283 = "", "Validated", HYPERLINK("#" &amp; ADDRESS(283, '13 - Dressers &amp; Chests-WUO_TRK'!A283),_xlfn.TEXTAFTER('13 - Dressers &amp; Chests-WUO_ERR'!A283, ":"))))</f>
        <v/>
      </c>
    </row>
    <row r="284">
      <c r="A284" s="39">
        <f>IF('13 - Dressers &amp; Chests'!B284 = "", "", IF('13 - Dressers &amp; Chests-WUO_ERR'!A284 = "", "Validated", HYPERLINK("#" &amp; ADDRESS(284, '13 - Dressers &amp; Chests-WUO_TRK'!A284),_xlfn.TEXTAFTER('13 - Dressers &amp; Chests-WUO_ERR'!A284, ":"))))</f>
        <v/>
      </c>
    </row>
    <row r="285">
      <c r="A285" s="39">
        <f>IF('13 - Dressers &amp; Chests'!B285 = "", "", IF('13 - Dressers &amp; Chests-WUO_ERR'!A285 = "", "Validated", HYPERLINK("#" &amp; ADDRESS(285, '13 - Dressers &amp; Chests-WUO_TRK'!A285),_xlfn.TEXTAFTER('13 - Dressers &amp; Chests-WUO_ERR'!A285, ":"))))</f>
        <v/>
      </c>
    </row>
    <row r="286">
      <c r="A286" s="39">
        <f>IF('13 - Dressers &amp; Chests'!B286 = "", "", IF('13 - Dressers &amp; Chests-WUO_ERR'!A286 = "", "Validated", HYPERLINK("#" &amp; ADDRESS(286, '13 - Dressers &amp; Chests-WUO_TRK'!A286),_xlfn.TEXTAFTER('13 - Dressers &amp; Chests-WUO_ERR'!A286, ":"))))</f>
        <v/>
      </c>
    </row>
    <row r="287">
      <c r="A287" s="39">
        <f>IF('13 - Dressers &amp; Chests'!B287 = "", "", IF('13 - Dressers &amp; Chests-WUO_ERR'!A287 = "", "Validated", HYPERLINK("#" &amp; ADDRESS(287, '13 - Dressers &amp; Chests-WUO_TRK'!A287),_xlfn.TEXTAFTER('13 - Dressers &amp; Chests-WUO_ERR'!A287, ":"))))</f>
        <v/>
      </c>
    </row>
    <row r="288">
      <c r="A288" s="39">
        <f>IF('13 - Dressers &amp; Chests'!B288 = "", "", IF('13 - Dressers &amp; Chests-WUO_ERR'!A288 = "", "Validated", HYPERLINK("#" &amp; ADDRESS(288, '13 - Dressers &amp; Chests-WUO_TRK'!A288),_xlfn.TEXTAFTER('13 - Dressers &amp; Chests-WUO_ERR'!A288, ":"))))</f>
        <v/>
      </c>
    </row>
    <row r="289">
      <c r="A289" s="39">
        <f>IF('13 - Dressers &amp; Chests'!B289 = "", "", IF('13 - Dressers &amp; Chests-WUO_ERR'!A289 = "", "Validated", HYPERLINK("#" &amp; ADDRESS(289, '13 - Dressers &amp; Chests-WUO_TRK'!A289),_xlfn.TEXTAFTER('13 - Dressers &amp; Chests-WUO_ERR'!A289, ":"))))</f>
        <v/>
      </c>
    </row>
    <row r="290">
      <c r="A290" s="39">
        <f>IF('13 - Dressers &amp; Chests'!B290 = "", "", IF('13 - Dressers &amp; Chests-WUO_ERR'!A290 = "", "Validated", HYPERLINK("#" &amp; ADDRESS(290, '13 - Dressers &amp; Chests-WUO_TRK'!A290),_xlfn.TEXTAFTER('13 - Dressers &amp; Chests-WUO_ERR'!A290, ":"))))</f>
        <v/>
      </c>
    </row>
    <row r="291">
      <c r="A291" s="39">
        <f>IF('13 - Dressers &amp; Chests'!B291 = "", "", IF('13 - Dressers &amp; Chests-WUO_ERR'!A291 = "", "Validated", HYPERLINK("#" &amp; ADDRESS(291, '13 - Dressers &amp; Chests-WUO_TRK'!A291),_xlfn.TEXTAFTER('13 - Dressers &amp; Chests-WUO_ERR'!A291, ":"))))</f>
        <v/>
      </c>
    </row>
    <row r="292">
      <c r="A292" s="39">
        <f>IF('13 - Dressers &amp; Chests'!B292 = "", "", IF('13 - Dressers &amp; Chests-WUO_ERR'!A292 = "", "Validated", HYPERLINK("#" &amp; ADDRESS(292, '13 - Dressers &amp; Chests-WUO_TRK'!A292),_xlfn.TEXTAFTER('13 - Dressers &amp; Chests-WUO_ERR'!A292, ":"))))</f>
        <v/>
      </c>
    </row>
    <row r="293">
      <c r="A293" s="39">
        <f>IF('13 - Dressers &amp; Chests'!B293 = "", "", IF('13 - Dressers &amp; Chests-WUO_ERR'!A293 = "", "Validated", HYPERLINK("#" &amp; ADDRESS(293, '13 - Dressers &amp; Chests-WUO_TRK'!A293),_xlfn.TEXTAFTER('13 - Dressers &amp; Chests-WUO_ERR'!A293, ":"))))</f>
        <v/>
      </c>
    </row>
    <row r="294">
      <c r="A294" s="39">
        <f>IF('13 - Dressers &amp; Chests'!B294 = "", "", IF('13 - Dressers &amp; Chests-WUO_ERR'!A294 = "", "Validated", HYPERLINK("#" &amp; ADDRESS(294, '13 - Dressers &amp; Chests-WUO_TRK'!A294),_xlfn.TEXTAFTER('13 - Dressers &amp; Chests-WUO_ERR'!A294, ":"))))</f>
        <v/>
      </c>
    </row>
    <row r="295">
      <c r="A295" s="39">
        <f>IF('13 - Dressers &amp; Chests'!B295 = "", "", IF('13 - Dressers &amp; Chests-WUO_ERR'!A295 = "", "Validated", HYPERLINK("#" &amp; ADDRESS(295, '13 - Dressers &amp; Chests-WUO_TRK'!A295),_xlfn.TEXTAFTER('13 - Dressers &amp; Chests-WUO_ERR'!A295, ":"))))</f>
        <v/>
      </c>
    </row>
    <row r="296">
      <c r="A296" s="39">
        <f>IF('13 - Dressers &amp; Chests'!B296 = "", "", IF('13 - Dressers &amp; Chests-WUO_ERR'!A296 = "", "Validated", HYPERLINK("#" &amp; ADDRESS(296, '13 - Dressers &amp; Chests-WUO_TRK'!A296),_xlfn.TEXTAFTER('13 - Dressers &amp; Chests-WUO_ERR'!A296, ":"))))</f>
        <v/>
      </c>
    </row>
    <row r="297">
      <c r="A297" s="39">
        <f>IF('13 - Dressers &amp; Chests'!B297 = "", "", IF('13 - Dressers &amp; Chests-WUO_ERR'!A297 = "", "Validated", HYPERLINK("#" &amp; ADDRESS(297, '13 - Dressers &amp; Chests-WUO_TRK'!A297),_xlfn.TEXTAFTER('13 - Dressers &amp; Chests-WUO_ERR'!A297, ":"))))</f>
        <v/>
      </c>
    </row>
    <row r="298">
      <c r="A298" s="39">
        <f>IF('13 - Dressers &amp; Chests'!B298 = "", "", IF('13 - Dressers &amp; Chests-WUO_ERR'!A298 = "", "Validated", HYPERLINK("#" &amp; ADDRESS(298, '13 - Dressers &amp; Chests-WUO_TRK'!A298),_xlfn.TEXTAFTER('13 - Dressers &amp; Chests-WUO_ERR'!A298, ":"))))</f>
        <v/>
      </c>
    </row>
    <row r="299">
      <c r="A299" s="39">
        <f>IF('13 - Dressers &amp; Chests'!B299 = "", "", IF('13 - Dressers &amp; Chests-WUO_ERR'!A299 = "", "Validated", HYPERLINK("#" &amp; ADDRESS(299, '13 - Dressers &amp; Chests-WUO_TRK'!A299),_xlfn.TEXTAFTER('13 - Dressers &amp; Chests-WUO_ERR'!A299, ":"))))</f>
        <v/>
      </c>
    </row>
    <row r="300">
      <c r="A300" s="39">
        <f>IF('13 - Dressers &amp; Chests'!B300 = "", "", IF('13 - Dressers &amp; Chests-WUO_ERR'!A300 = "", "Validated", HYPERLINK("#" &amp; ADDRESS(300, '13 - Dressers &amp; Chests-WUO_TRK'!A300),_xlfn.TEXTAFTER('13 - Dressers &amp; Chests-WUO_ERR'!A300, ":"))))</f>
        <v/>
      </c>
    </row>
    <row r="301">
      <c r="A301" s="39">
        <f>IF('13 - Dressers &amp; Chests'!B301 = "", "", IF('13 - Dressers &amp; Chests-WUO_ERR'!A301 = "", "Validated", HYPERLINK("#" &amp; ADDRESS(301, '13 - Dressers &amp; Chests-WUO_TRK'!A301),_xlfn.TEXTAFTER('13 - Dressers &amp; Chests-WUO_ERR'!A301, ":"))))</f>
        <v/>
      </c>
    </row>
    <row r="302">
      <c r="A302" s="39">
        <f>IF('13 - Dressers &amp; Chests'!B302 = "", "", IF('13 - Dressers &amp; Chests-WUO_ERR'!A302 = "", "Validated", HYPERLINK("#" &amp; ADDRESS(302, '13 - Dressers &amp; Chests-WUO_TRK'!A302),_xlfn.TEXTAFTER('13 - Dressers &amp; Chests-WUO_ERR'!A302, ":"))))</f>
        <v/>
      </c>
    </row>
    <row r="303">
      <c r="A303" s="39">
        <f>IF('13 - Dressers &amp; Chests'!B303 = "", "", IF('13 - Dressers &amp; Chests-WUO_ERR'!A303 = "", "Validated", HYPERLINK("#" &amp; ADDRESS(303, '13 - Dressers &amp; Chests-WUO_TRK'!A303),_xlfn.TEXTAFTER('13 - Dressers &amp; Chests-WUO_ERR'!A303, ":"))))</f>
        <v/>
      </c>
    </row>
    <row r="304">
      <c r="A304" s="39">
        <f>IF('13 - Dressers &amp; Chests'!B304 = "", "", IF('13 - Dressers &amp; Chests-WUO_ERR'!A304 = "", "Validated", HYPERLINK("#" &amp; ADDRESS(304, '13 - Dressers &amp; Chests-WUO_TRK'!A304),_xlfn.TEXTAFTER('13 - Dressers &amp; Chests-WUO_ERR'!A304, ":"))))</f>
        <v/>
      </c>
    </row>
    <row r="305">
      <c r="A305" s="39">
        <f>IF('13 - Dressers &amp; Chests'!B305 = "", "", IF('13 - Dressers &amp; Chests-WUO_ERR'!A305 = "", "Validated", HYPERLINK("#" &amp; ADDRESS(305, '13 - Dressers &amp; Chests-WUO_TRK'!A305),_xlfn.TEXTAFTER('13 - Dressers &amp; Chests-WUO_ERR'!A305, ":"))))</f>
        <v/>
      </c>
    </row>
    <row r="306">
      <c r="A306" s="39">
        <f>IF('13 - Dressers &amp; Chests'!B306 = "", "", IF('13 - Dressers &amp; Chests-WUO_ERR'!A306 = "", "Validated", HYPERLINK("#" &amp; ADDRESS(306, '13 - Dressers &amp; Chests-WUO_TRK'!A306),_xlfn.TEXTAFTER('13 - Dressers &amp; Chests-WUO_ERR'!A306, ":"))))</f>
        <v/>
      </c>
    </row>
    <row r="307">
      <c r="A307" s="39">
        <f>IF('13 - Dressers &amp; Chests'!B307 = "", "", IF('13 - Dressers &amp; Chests-WUO_ERR'!A307 = "", "Validated", HYPERLINK("#" &amp; ADDRESS(307, '13 - Dressers &amp; Chests-WUO_TRK'!A307),_xlfn.TEXTAFTER('13 - Dressers &amp; Chests-WUO_ERR'!A307, ":"))))</f>
        <v/>
      </c>
    </row>
    <row r="308">
      <c r="A308" s="39">
        <f>IF('13 - Dressers &amp; Chests'!B308 = "", "", IF('13 - Dressers &amp; Chests-WUO_ERR'!A308 = "", "Validated", HYPERLINK("#" &amp; ADDRESS(308, '13 - Dressers &amp; Chests-WUO_TRK'!A308),_xlfn.TEXTAFTER('13 - Dressers &amp; Chests-WUO_ERR'!A308, ":"))))</f>
        <v/>
      </c>
    </row>
    <row r="309">
      <c r="A309" s="39">
        <f>IF('13 - Dressers &amp; Chests'!B309 = "", "", IF('13 - Dressers &amp; Chests-WUO_ERR'!A309 = "", "Validated", HYPERLINK("#" &amp; ADDRESS(309, '13 - Dressers &amp; Chests-WUO_TRK'!A309),_xlfn.TEXTAFTER('13 - Dressers &amp; Chests-WUO_ERR'!A309, ":"))))</f>
        <v/>
      </c>
    </row>
    <row r="310">
      <c r="A310" s="39">
        <f>IF('13 - Dressers &amp; Chests'!B310 = "", "", IF('13 - Dressers &amp; Chests-WUO_ERR'!A310 = "", "Validated", HYPERLINK("#" &amp; ADDRESS(310, '13 - Dressers &amp; Chests-WUO_TRK'!A310),_xlfn.TEXTAFTER('13 - Dressers &amp; Chests-WUO_ERR'!A310, ":"))))</f>
        <v/>
      </c>
    </row>
    <row r="311">
      <c r="A311" s="39">
        <f>IF('13 - Dressers &amp; Chests'!B311 = "", "", IF('13 - Dressers &amp; Chests-WUO_ERR'!A311 = "", "Validated", HYPERLINK("#" &amp; ADDRESS(311, '13 - Dressers &amp; Chests-WUO_TRK'!A311),_xlfn.TEXTAFTER('13 - Dressers &amp; Chests-WUO_ERR'!A311, ":"))))</f>
        <v/>
      </c>
    </row>
    <row r="312">
      <c r="A312" s="39">
        <f>IF('13 - Dressers &amp; Chests'!B312 = "", "", IF('13 - Dressers &amp; Chests-WUO_ERR'!A312 = "", "Validated", HYPERLINK("#" &amp; ADDRESS(312, '13 - Dressers &amp; Chests-WUO_TRK'!A312),_xlfn.TEXTAFTER('13 - Dressers &amp; Chests-WUO_ERR'!A312, ":"))))</f>
        <v/>
      </c>
    </row>
    <row r="313">
      <c r="A313" s="39">
        <f>IF('13 - Dressers &amp; Chests'!B313 = "", "", IF('13 - Dressers &amp; Chests-WUO_ERR'!A313 = "", "Validated", HYPERLINK("#" &amp; ADDRESS(313, '13 - Dressers &amp; Chests-WUO_TRK'!A313),_xlfn.TEXTAFTER('13 - Dressers &amp; Chests-WUO_ERR'!A313, ":"))))</f>
        <v/>
      </c>
    </row>
    <row r="314">
      <c r="A314" s="39">
        <f>IF('13 - Dressers &amp; Chests'!B314 = "", "", IF('13 - Dressers &amp; Chests-WUO_ERR'!A314 = "", "Validated", HYPERLINK("#" &amp; ADDRESS(314, '13 - Dressers &amp; Chests-WUO_TRK'!A314),_xlfn.TEXTAFTER('13 - Dressers &amp; Chests-WUO_ERR'!A314, ":"))))</f>
        <v/>
      </c>
    </row>
    <row r="315">
      <c r="A315" s="39">
        <f>IF('13 - Dressers &amp; Chests'!B315 = "", "", IF('13 - Dressers &amp; Chests-WUO_ERR'!A315 = "", "Validated", HYPERLINK("#" &amp; ADDRESS(315, '13 - Dressers &amp; Chests-WUO_TRK'!A315),_xlfn.TEXTAFTER('13 - Dressers &amp; Chests-WUO_ERR'!A315, ":"))))</f>
        <v/>
      </c>
    </row>
    <row r="316">
      <c r="A316" s="39">
        <f>IF('13 - Dressers &amp; Chests'!B316 = "", "", IF('13 - Dressers &amp; Chests-WUO_ERR'!A316 = "", "Validated", HYPERLINK("#" &amp; ADDRESS(316, '13 - Dressers &amp; Chests-WUO_TRK'!A316),_xlfn.TEXTAFTER('13 - Dressers &amp; Chests-WUO_ERR'!A316, ":"))))</f>
        <v/>
      </c>
    </row>
    <row r="317">
      <c r="A317" s="39">
        <f>IF('13 - Dressers &amp; Chests'!B317 = "", "", IF('13 - Dressers &amp; Chests-WUO_ERR'!A317 = "", "Validated", HYPERLINK("#" &amp; ADDRESS(317, '13 - Dressers &amp; Chests-WUO_TRK'!A317),_xlfn.TEXTAFTER('13 - Dressers &amp; Chests-WUO_ERR'!A317, ":"))))</f>
        <v/>
      </c>
    </row>
    <row r="318">
      <c r="A318" s="39">
        <f>IF('13 - Dressers &amp; Chests'!B318 = "", "", IF('13 - Dressers &amp; Chests-WUO_ERR'!A318 = "", "Validated", HYPERLINK("#" &amp; ADDRESS(318, '13 - Dressers &amp; Chests-WUO_TRK'!A318),_xlfn.TEXTAFTER('13 - Dressers &amp; Chests-WUO_ERR'!A318, ":"))))</f>
        <v/>
      </c>
    </row>
    <row r="319">
      <c r="A319" s="39">
        <f>IF('13 - Dressers &amp; Chests'!B319 = "", "", IF('13 - Dressers &amp; Chests-WUO_ERR'!A319 = "", "Validated", HYPERLINK("#" &amp; ADDRESS(319, '13 - Dressers &amp; Chests-WUO_TRK'!A319),_xlfn.TEXTAFTER('13 - Dressers &amp; Chests-WUO_ERR'!A319, ":"))))</f>
        <v/>
      </c>
    </row>
    <row r="320">
      <c r="A320" s="39">
        <f>IF('13 - Dressers &amp; Chests'!B320 = "", "", IF('13 - Dressers &amp; Chests-WUO_ERR'!A320 = "", "Validated", HYPERLINK("#" &amp; ADDRESS(320, '13 - Dressers &amp; Chests-WUO_TRK'!A320),_xlfn.TEXTAFTER('13 - Dressers &amp; Chests-WUO_ERR'!A320, ":"))))</f>
        <v/>
      </c>
    </row>
    <row r="321">
      <c r="A321" s="39">
        <f>IF('13 - Dressers &amp; Chests'!B321 = "", "", IF('13 - Dressers &amp; Chests-WUO_ERR'!A321 = "", "Validated", HYPERLINK("#" &amp; ADDRESS(321, '13 - Dressers &amp; Chests-WUO_TRK'!A321),_xlfn.TEXTAFTER('13 - Dressers &amp; Chests-WUO_ERR'!A321, ":"))))</f>
        <v/>
      </c>
    </row>
    <row r="322">
      <c r="A322" s="39">
        <f>IF('13 - Dressers &amp; Chests'!B322 = "", "", IF('13 - Dressers &amp; Chests-WUO_ERR'!A322 = "", "Validated", HYPERLINK("#" &amp; ADDRESS(322, '13 - Dressers &amp; Chests-WUO_TRK'!A322),_xlfn.TEXTAFTER('13 - Dressers &amp; Chests-WUO_ERR'!A322, ":"))))</f>
        <v/>
      </c>
    </row>
    <row r="323">
      <c r="A323" s="39">
        <f>IF('13 - Dressers &amp; Chests'!B323 = "", "", IF('13 - Dressers &amp; Chests-WUO_ERR'!A323 = "", "Validated", HYPERLINK("#" &amp; ADDRESS(323, '13 - Dressers &amp; Chests-WUO_TRK'!A323),_xlfn.TEXTAFTER('13 - Dressers &amp; Chests-WUO_ERR'!A323, ":"))))</f>
        <v/>
      </c>
    </row>
    <row r="324">
      <c r="A324" s="39">
        <f>IF('13 - Dressers &amp; Chests'!B324 = "", "", IF('13 - Dressers &amp; Chests-WUO_ERR'!A324 = "", "Validated", HYPERLINK("#" &amp; ADDRESS(324, '13 - Dressers &amp; Chests-WUO_TRK'!A324),_xlfn.TEXTAFTER('13 - Dressers &amp; Chests-WUO_ERR'!A324, ":"))))</f>
        <v/>
      </c>
    </row>
    <row r="325">
      <c r="A325" s="39">
        <f>IF('13 - Dressers &amp; Chests'!B325 = "", "", IF('13 - Dressers &amp; Chests-WUO_ERR'!A325 = "", "Validated", HYPERLINK("#" &amp; ADDRESS(325, '13 - Dressers &amp; Chests-WUO_TRK'!A325),_xlfn.TEXTAFTER('13 - Dressers &amp; Chests-WUO_ERR'!A325, ":"))))</f>
        <v/>
      </c>
    </row>
    <row r="326">
      <c r="A326" s="39">
        <f>IF('13 - Dressers &amp; Chests'!B326 = "", "", IF('13 - Dressers &amp; Chests-WUO_ERR'!A326 = "", "Validated", HYPERLINK("#" &amp; ADDRESS(326, '13 - Dressers &amp; Chests-WUO_TRK'!A326),_xlfn.TEXTAFTER('13 - Dressers &amp; Chests-WUO_ERR'!A326, ":"))))</f>
        <v/>
      </c>
    </row>
    <row r="327">
      <c r="A327" s="39">
        <f>IF('13 - Dressers &amp; Chests'!B327 = "", "", IF('13 - Dressers &amp; Chests-WUO_ERR'!A327 = "", "Validated", HYPERLINK("#" &amp; ADDRESS(327, '13 - Dressers &amp; Chests-WUO_TRK'!A327),_xlfn.TEXTAFTER('13 - Dressers &amp; Chests-WUO_ERR'!A327, ":"))))</f>
        <v/>
      </c>
    </row>
    <row r="328">
      <c r="A328" s="39">
        <f>IF('13 - Dressers &amp; Chests'!B328 = "", "", IF('13 - Dressers &amp; Chests-WUO_ERR'!A328 = "", "Validated", HYPERLINK("#" &amp; ADDRESS(328, '13 - Dressers &amp; Chests-WUO_TRK'!A328),_xlfn.TEXTAFTER('13 - Dressers &amp; Chests-WUO_ERR'!A328, ":"))))</f>
        <v/>
      </c>
    </row>
    <row r="329">
      <c r="A329" s="39">
        <f>IF('13 - Dressers &amp; Chests'!B329 = "", "", IF('13 - Dressers &amp; Chests-WUO_ERR'!A329 = "", "Validated", HYPERLINK("#" &amp; ADDRESS(329, '13 - Dressers &amp; Chests-WUO_TRK'!A329),_xlfn.TEXTAFTER('13 - Dressers &amp; Chests-WUO_ERR'!A329, ":"))))</f>
        <v/>
      </c>
    </row>
    <row r="330">
      <c r="A330" s="39">
        <f>IF('13 - Dressers &amp; Chests'!B330 = "", "", IF('13 - Dressers &amp; Chests-WUO_ERR'!A330 = "", "Validated", HYPERLINK("#" &amp; ADDRESS(330, '13 - Dressers &amp; Chests-WUO_TRK'!A330),_xlfn.TEXTAFTER('13 - Dressers &amp; Chests-WUO_ERR'!A330, ":"))))</f>
        <v/>
      </c>
    </row>
    <row r="331">
      <c r="A331" s="39">
        <f>IF('13 - Dressers &amp; Chests'!B331 = "", "", IF('13 - Dressers &amp; Chests-WUO_ERR'!A331 = "", "Validated", HYPERLINK("#" &amp; ADDRESS(331, '13 - Dressers &amp; Chests-WUO_TRK'!A331),_xlfn.TEXTAFTER('13 - Dressers &amp; Chests-WUO_ERR'!A331, ":"))))</f>
        <v/>
      </c>
    </row>
    <row r="332">
      <c r="A332" s="39">
        <f>IF('13 - Dressers &amp; Chests'!B332 = "", "", IF('13 - Dressers &amp; Chests-WUO_ERR'!A332 = "", "Validated", HYPERLINK("#" &amp; ADDRESS(332, '13 - Dressers &amp; Chests-WUO_TRK'!A332),_xlfn.TEXTAFTER('13 - Dressers &amp; Chests-WUO_ERR'!A332, ":"))))</f>
        <v/>
      </c>
    </row>
    <row r="333">
      <c r="A333" s="39">
        <f>IF('13 - Dressers &amp; Chests'!B333 = "", "", IF('13 - Dressers &amp; Chests-WUO_ERR'!A333 = "", "Validated", HYPERLINK("#" &amp; ADDRESS(333, '13 - Dressers &amp; Chests-WUO_TRK'!A333),_xlfn.TEXTAFTER('13 - Dressers &amp; Chests-WUO_ERR'!A333, ":"))))</f>
        <v/>
      </c>
    </row>
    <row r="334">
      <c r="A334" s="39">
        <f>IF('13 - Dressers &amp; Chests'!B334 = "", "", IF('13 - Dressers &amp; Chests-WUO_ERR'!A334 = "", "Validated", HYPERLINK("#" &amp; ADDRESS(334, '13 - Dressers &amp; Chests-WUO_TRK'!A334),_xlfn.TEXTAFTER('13 - Dressers &amp; Chests-WUO_ERR'!A334, ":"))))</f>
        <v/>
      </c>
    </row>
    <row r="335">
      <c r="A335" s="39">
        <f>IF('13 - Dressers &amp; Chests'!B335 = "", "", IF('13 - Dressers &amp; Chests-WUO_ERR'!A335 = "", "Validated", HYPERLINK("#" &amp; ADDRESS(335, '13 - Dressers &amp; Chests-WUO_TRK'!A335),_xlfn.TEXTAFTER('13 - Dressers &amp; Chests-WUO_ERR'!A335, ":"))))</f>
        <v/>
      </c>
    </row>
    <row r="336">
      <c r="A336" s="39">
        <f>IF('13 - Dressers &amp; Chests'!B336 = "", "", IF('13 - Dressers &amp; Chests-WUO_ERR'!A336 = "", "Validated", HYPERLINK("#" &amp; ADDRESS(336, '13 - Dressers &amp; Chests-WUO_TRK'!A336),_xlfn.TEXTAFTER('13 - Dressers &amp; Chests-WUO_ERR'!A336, ":"))))</f>
        <v/>
      </c>
    </row>
    <row r="337">
      <c r="A337" s="39">
        <f>IF('13 - Dressers &amp; Chests'!B337 = "", "", IF('13 - Dressers &amp; Chests-WUO_ERR'!A337 = "", "Validated", HYPERLINK("#" &amp; ADDRESS(337, '13 - Dressers &amp; Chests-WUO_TRK'!A337),_xlfn.TEXTAFTER('13 - Dressers &amp; Chests-WUO_ERR'!A337, ":"))))</f>
        <v/>
      </c>
    </row>
    <row r="338">
      <c r="A338" s="39">
        <f>IF('13 - Dressers &amp; Chests'!B338 = "", "", IF('13 - Dressers &amp; Chests-WUO_ERR'!A338 = "", "Validated", HYPERLINK("#" &amp; ADDRESS(338, '13 - Dressers &amp; Chests-WUO_TRK'!A338),_xlfn.TEXTAFTER('13 - Dressers &amp; Chests-WUO_ERR'!A338, ":"))))</f>
        <v/>
      </c>
    </row>
    <row r="339">
      <c r="A339" s="39">
        <f>IF('13 - Dressers &amp; Chests'!B339 = "", "", IF('13 - Dressers &amp; Chests-WUO_ERR'!A339 = "", "Validated", HYPERLINK("#" &amp; ADDRESS(339, '13 - Dressers &amp; Chests-WUO_TRK'!A339),_xlfn.TEXTAFTER('13 - Dressers &amp; Chests-WUO_ERR'!A339, ":"))))</f>
        <v/>
      </c>
    </row>
    <row r="340">
      <c r="A340" s="39">
        <f>IF('13 - Dressers &amp; Chests'!B340 = "", "", IF('13 - Dressers &amp; Chests-WUO_ERR'!A340 = "", "Validated", HYPERLINK("#" &amp; ADDRESS(340, '13 - Dressers &amp; Chests-WUO_TRK'!A340),_xlfn.TEXTAFTER('13 - Dressers &amp; Chests-WUO_ERR'!A340, ":"))))</f>
        <v/>
      </c>
    </row>
    <row r="341">
      <c r="A341" s="39">
        <f>IF('13 - Dressers &amp; Chests'!B341 = "", "", IF('13 - Dressers &amp; Chests-WUO_ERR'!A341 = "", "Validated", HYPERLINK("#" &amp; ADDRESS(341, '13 - Dressers &amp; Chests-WUO_TRK'!A341),_xlfn.TEXTAFTER('13 - Dressers &amp; Chests-WUO_ERR'!A341, ":"))))</f>
        <v/>
      </c>
    </row>
    <row r="342">
      <c r="A342" s="39">
        <f>IF('13 - Dressers &amp; Chests'!B342 = "", "", IF('13 - Dressers &amp; Chests-WUO_ERR'!A342 = "", "Validated", HYPERLINK("#" &amp; ADDRESS(342, '13 - Dressers &amp; Chests-WUO_TRK'!A342),_xlfn.TEXTAFTER('13 - Dressers &amp; Chests-WUO_ERR'!A342, ":"))))</f>
        <v/>
      </c>
    </row>
    <row r="343">
      <c r="A343" s="39">
        <f>IF('13 - Dressers &amp; Chests'!B343 = "", "", IF('13 - Dressers &amp; Chests-WUO_ERR'!A343 = "", "Validated", HYPERLINK("#" &amp; ADDRESS(343, '13 - Dressers &amp; Chests-WUO_TRK'!A343),_xlfn.TEXTAFTER('13 - Dressers &amp; Chests-WUO_ERR'!A343, ":"))))</f>
        <v/>
      </c>
    </row>
    <row r="344">
      <c r="A344" s="39">
        <f>IF('13 - Dressers &amp; Chests'!B344 = "", "", IF('13 - Dressers &amp; Chests-WUO_ERR'!A344 = "", "Validated", HYPERLINK("#" &amp; ADDRESS(344, '13 - Dressers &amp; Chests-WUO_TRK'!A344),_xlfn.TEXTAFTER('13 - Dressers &amp; Chests-WUO_ERR'!A344, ":"))))</f>
        <v/>
      </c>
    </row>
    <row r="345">
      <c r="A345" s="39">
        <f>IF('13 - Dressers &amp; Chests'!B345 = "", "", IF('13 - Dressers &amp; Chests-WUO_ERR'!A345 = "", "Validated", HYPERLINK("#" &amp; ADDRESS(345, '13 - Dressers &amp; Chests-WUO_TRK'!A345),_xlfn.TEXTAFTER('13 - Dressers &amp; Chests-WUO_ERR'!A345, ":"))))</f>
        <v/>
      </c>
    </row>
    <row r="346">
      <c r="A346" s="39">
        <f>IF('13 - Dressers &amp; Chests'!B346 = "", "", IF('13 - Dressers &amp; Chests-WUO_ERR'!A346 = "", "Validated", HYPERLINK("#" &amp; ADDRESS(346, '13 - Dressers &amp; Chests-WUO_TRK'!A346),_xlfn.TEXTAFTER('13 - Dressers &amp; Chests-WUO_ERR'!A346, ":"))))</f>
        <v/>
      </c>
    </row>
    <row r="347">
      <c r="A347" s="39">
        <f>IF('13 - Dressers &amp; Chests'!B347 = "", "", IF('13 - Dressers &amp; Chests-WUO_ERR'!A347 = "", "Validated", HYPERLINK("#" &amp; ADDRESS(347, '13 - Dressers &amp; Chests-WUO_TRK'!A347),_xlfn.TEXTAFTER('13 - Dressers &amp; Chests-WUO_ERR'!A347, ":"))))</f>
        <v/>
      </c>
    </row>
    <row r="348">
      <c r="A348" s="39">
        <f>IF('13 - Dressers &amp; Chests'!B348 = "", "", IF('13 - Dressers &amp; Chests-WUO_ERR'!A348 = "", "Validated", HYPERLINK("#" &amp; ADDRESS(348, '13 - Dressers &amp; Chests-WUO_TRK'!A348),_xlfn.TEXTAFTER('13 - Dressers &amp; Chests-WUO_ERR'!A348, ":"))))</f>
        <v/>
      </c>
    </row>
    <row r="349">
      <c r="A349" s="39">
        <f>IF('13 - Dressers &amp; Chests'!B349 = "", "", IF('13 - Dressers &amp; Chests-WUO_ERR'!A349 = "", "Validated", HYPERLINK("#" &amp; ADDRESS(349, '13 - Dressers &amp; Chests-WUO_TRK'!A349),_xlfn.TEXTAFTER('13 - Dressers &amp; Chests-WUO_ERR'!A349, ":"))))</f>
        <v/>
      </c>
    </row>
    <row r="350">
      <c r="A350" s="39">
        <f>IF('13 - Dressers &amp; Chests'!B350 = "", "", IF('13 - Dressers &amp; Chests-WUO_ERR'!A350 = "", "Validated", HYPERLINK("#" &amp; ADDRESS(350, '13 - Dressers &amp; Chests-WUO_TRK'!A350),_xlfn.TEXTAFTER('13 - Dressers &amp; Chests-WUO_ERR'!A350, ":"))))</f>
        <v/>
      </c>
    </row>
    <row r="351">
      <c r="A351" s="39">
        <f>IF('13 - Dressers &amp; Chests'!B351 = "", "", IF('13 - Dressers &amp; Chests-WUO_ERR'!A351 = "", "Validated", HYPERLINK("#" &amp; ADDRESS(351, '13 - Dressers &amp; Chests-WUO_TRK'!A351),_xlfn.TEXTAFTER('13 - Dressers &amp; Chests-WUO_ERR'!A351, ":"))))</f>
        <v/>
      </c>
    </row>
    <row r="352">
      <c r="A352" s="39">
        <f>IF('13 - Dressers &amp; Chests'!B352 = "", "", IF('13 - Dressers &amp; Chests-WUO_ERR'!A352 = "", "Validated", HYPERLINK("#" &amp; ADDRESS(352, '13 - Dressers &amp; Chests-WUO_TRK'!A352),_xlfn.TEXTAFTER('13 - Dressers &amp; Chests-WUO_ERR'!A352, ":"))))</f>
        <v/>
      </c>
    </row>
    <row r="353">
      <c r="A353" s="39">
        <f>IF('13 - Dressers &amp; Chests'!B353 = "", "", IF('13 - Dressers &amp; Chests-WUO_ERR'!A353 = "", "Validated", HYPERLINK("#" &amp; ADDRESS(353, '13 - Dressers &amp; Chests-WUO_TRK'!A353),_xlfn.TEXTAFTER('13 - Dressers &amp; Chests-WUO_ERR'!A353, ":"))))</f>
        <v/>
      </c>
    </row>
    <row r="354">
      <c r="A354" s="39">
        <f>IF('13 - Dressers &amp; Chests'!B354 = "", "", IF('13 - Dressers &amp; Chests-WUO_ERR'!A354 = "", "Validated", HYPERLINK("#" &amp; ADDRESS(354, '13 - Dressers &amp; Chests-WUO_TRK'!A354),_xlfn.TEXTAFTER('13 - Dressers &amp; Chests-WUO_ERR'!A354, ":"))))</f>
        <v/>
      </c>
    </row>
    <row r="355">
      <c r="A355" s="39">
        <f>IF('13 - Dressers &amp; Chests'!B355 = "", "", IF('13 - Dressers &amp; Chests-WUO_ERR'!A355 = "", "Validated", HYPERLINK("#" &amp; ADDRESS(355, '13 - Dressers &amp; Chests-WUO_TRK'!A355),_xlfn.TEXTAFTER('13 - Dressers &amp; Chests-WUO_ERR'!A355, ":"))))</f>
        <v/>
      </c>
    </row>
    <row r="356">
      <c r="A356" s="39">
        <f>IF('13 - Dressers &amp; Chests'!B356 = "", "", IF('13 - Dressers &amp; Chests-WUO_ERR'!A356 = "", "Validated", HYPERLINK("#" &amp; ADDRESS(356, '13 - Dressers &amp; Chests-WUO_TRK'!A356),_xlfn.TEXTAFTER('13 - Dressers &amp; Chests-WUO_ERR'!A356, ":"))))</f>
        <v/>
      </c>
    </row>
    <row r="357">
      <c r="A357" s="39">
        <f>IF('13 - Dressers &amp; Chests'!B357 = "", "", IF('13 - Dressers &amp; Chests-WUO_ERR'!A357 = "", "Validated", HYPERLINK("#" &amp; ADDRESS(357, '13 - Dressers &amp; Chests-WUO_TRK'!A357),_xlfn.TEXTAFTER('13 - Dressers &amp; Chests-WUO_ERR'!A357, ":"))))</f>
        <v/>
      </c>
    </row>
    <row r="358">
      <c r="A358" s="39">
        <f>IF('13 - Dressers &amp; Chests'!B358 = "", "", IF('13 - Dressers &amp; Chests-WUO_ERR'!A358 = "", "Validated", HYPERLINK("#" &amp; ADDRESS(358, '13 - Dressers &amp; Chests-WUO_TRK'!A358),_xlfn.TEXTAFTER('13 - Dressers &amp; Chests-WUO_ERR'!A358, ":"))))</f>
        <v/>
      </c>
    </row>
    <row r="359">
      <c r="A359" s="39">
        <f>IF('13 - Dressers &amp; Chests'!B359 = "", "", IF('13 - Dressers &amp; Chests-WUO_ERR'!A359 = "", "Validated", HYPERLINK("#" &amp; ADDRESS(359, '13 - Dressers &amp; Chests-WUO_TRK'!A359),_xlfn.TEXTAFTER('13 - Dressers &amp; Chests-WUO_ERR'!A359, ":"))))</f>
        <v/>
      </c>
    </row>
    <row r="360">
      <c r="A360" s="39">
        <f>IF('13 - Dressers &amp; Chests'!B360 = "", "", IF('13 - Dressers &amp; Chests-WUO_ERR'!A360 = "", "Validated", HYPERLINK("#" &amp; ADDRESS(360, '13 - Dressers &amp; Chests-WUO_TRK'!A360),_xlfn.TEXTAFTER('13 - Dressers &amp; Chests-WUO_ERR'!A360, ":"))))</f>
        <v/>
      </c>
    </row>
    <row r="361">
      <c r="A361" s="39">
        <f>IF('13 - Dressers &amp; Chests'!B361 = "", "", IF('13 - Dressers &amp; Chests-WUO_ERR'!A361 = "", "Validated", HYPERLINK("#" &amp; ADDRESS(361, '13 - Dressers &amp; Chests-WUO_TRK'!A361),_xlfn.TEXTAFTER('13 - Dressers &amp; Chests-WUO_ERR'!A361, ":"))))</f>
        <v/>
      </c>
    </row>
    <row r="362">
      <c r="A362" s="39">
        <f>IF('13 - Dressers &amp; Chests'!B362 = "", "", IF('13 - Dressers &amp; Chests-WUO_ERR'!A362 = "", "Validated", HYPERLINK("#" &amp; ADDRESS(362, '13 - Dressers &amp; Chests-WUO_TRK'!A362),_xlfn.TEXTAFTER('13 - Dressers &amp; Chests-WUO_ERR'!A362, ":"))))</f>
        <v/>
      </c>
    </row>
    <row r="363">
      <c r="A363" s="39">
        <f>IF('13 - Dressers &amp; Chests'!B363 = "", "", IF('13 - Dressers &amp; Chests-WUO_ERR'!A363 = "", "Validated", HYPERLINK("#" &amp; ADDRESS(363, '13 - Dressers &amp; Chests-WUO_TRK'!A363),_xlfn.TEXTAFTER('13 - Dressers &amp; Chests-WUO_ERR'!A363, ":"))))</f>
        <v/>
      </c>
    </row>
    <row r="364">
      <c r="A364" s="39">
        <f>IF('13 - Dressers &amp; Chests'!B364 = "", "", IF('13 - Dressers &amp; Chests-WUO_ERR'!A364 = "", "Validated", HYPERLINK("#" &amp; ADDRESS(364, '13 - Dressers &amp; Chests-WUO_TRK'!A364),_xlfn.TEXTAFTER('13 - Dressers &amp; Chests-WUO_ERR'!A364, ":"))))</f>
        <v/>
      </c>
    </row>
    <row r="365">
      <c r="A365" s="39">
        <f>IF('13 - Dressers &amp; Chests'!B365 = "", "", IF('13 - Dressers &amp; Chests-WUO_ERR'!A365 = "", "Validated", HYPERLINK("#" &amp; ADDRESS(365, '13 - Dressers &amp; Chests-WUO_TRK'!A365),_xlfn.TEXTAFTER('13 - Dressers &amp; Chests-WUO_ERR'!A365, ":"))))</f>
        <v/>
      </c>
    </row>
    <row r="366">
      <c r="A366" s="39">
        <f>IF('13 - Dressers &amp; Chests'!B366 = "", "", IF('13 - Dressers &amp; Chests-WUO_ERR'!A366 = "", "Validated", HYPERLINK("#" &amp; ADDRESS(366, '13 - Dressers &amp; Chests-WUO_TRK'!A366),_xlfn.TEXTAFTER('13 - Dressers &amp; Chests-WUO_ERR'!A366, ":"))))</f>
        <v/>
      </c>
    </row>
    <row r="367">
      <c r="A367" s="39">
        <f>IF('13 - Dressers &amp; Chests'!B367 = "", "", IF('13 - Dressers &amp; Chests-WUO_ERR'!A367 = "", "Validated", HYPERLINK("#" &amp; ADDRESS(367, '13 - Dressers &amp; Chests-WUO_TRK'!A367),_xlfn.TEXTAFTER('13 - Dressers &amp; Chests-WUO_ERR'!A367, ":"))))</f>
        <v/>
      </c>
    </row>
    <row r="368">
      <c r="A368" s="39">
        <f>IF('13 - Dressers &amp; Chests'!B368 = "", "", IF('13 - Dressers &amp; Chests-WUO_ERR'!A368 = "", "Validated", HYPERLINK("#" &amp; ADDRESS(368, '13 - Dressers &amp; Chests-WUO_TRK'!A368),_xlfn.TEXTAFTER('13 - Dressers &amp; Chests-WUO_ERR'!A368, ":"))))</f>
        <v/>
      </c>
    </row>
    <row r="369">
      <c r="A369" s="39">
        <f>IF('13 - Dressers &amp; Chests'!B369 = "", "", IF('13 - Dressers &amp; Chests-WUO_ERR'!A369 = "", "Validated", HYPERLINK("#" &amp; ADDRESS(369, '13 - Dressers &amp; Chests-WUO_TRK'!A369),_xlfn.TEXTAFTER('13 - Dressers &amp; Chests-WUO_ERR'!A369, ":"))))</f>
        <v/>
      </c>
    </row>
    <row r="370">
      <c r="A370" s="39">
        <f>IF('13 - Dressers &amp; Chests'!B370 = "", "", IF('13 - Dressers &amp; Chests-WUO_ERR'!A370 = "", "Validated", HYPERLINK("#" &amp; ADDRESS(370, '13 - Dressers &amp; Chests-WUO_TRK'!A370),_xlfn.TEXTAFTER('13 - Dressers &amp; Chests-WUO_ERR'!A370, ":"))))</f>
        <v/>
      </c>
    </row>
    <row r="371">
      <c r="A371" s="39">
        <f>IF('13 - Dressers &amp; Chests'!B371 = "", "", IF('13 - Dressers &amp; Chests-WUO_ERR'!A371 = "", "Validated", HYPERLINK("#" &amp; ADDRESS(371, '13 - Dressers &amp; Chests-WUO_TRK'!A371),_xlfn.TEXTAFTER('13 - Dressers &amp; Chests-WUO_ERR'!A371, ":"))))</f>
        <v/>
      </c>
    </row>
    <row r="372">
      <c r="A372" s="39">
        <f>IF('13 - Dressers &amp; Chests'!B372 = "", "", IF('13 - Dressers &amp; Chests-WUO_ERR'!A372 = "", "Validated", HYPERLINK("#" &amp; ADDRESS(372, '13 - Dressers &amp; Chests-WUO_TRK'!A372),_xlfn.TEXTAFTER('13 - Dressers &amp; Chests-WUO_ERR'!A372, ":"))))</f>
        <v/>
      </c>
    </row>
    <row r="373">
      <c r="A373" s="39">
        <f>IF('13 - Dressers &amp; Chests'!B373 = "", "", IF('13 - Dressers &amp; Chests-WUO_ERR'!A373 = "", "Validated", HYPERLINK("#" &amp; ADDRESS(373, '13 - Dressers &amp; Chests-WUO_TRK'!A373),_xlfn.TEXTAFTER('13 - Dressers &amp; Chests-WUO_ERR'!A373, ":"))))</f>
        <v/>
      </c>
    </row>
    <row r="374">
      <c r="A374" s="39">
        <f>IF('13 - Dressers &amp; Chests'!B374 = "", "", IF('13 - Dressers &amp; Chests-WUO_ERR'!A374 = "", "Validated", HYPERLINK("#" &amp; ADDRESS(374, '13 - Dressers &amp; Chests-WUO_TRK'!A374),_xlfn.TEXTAFTER('13 - Dressers &amp; Chests-WUO_ERR'!A374, ":"))))</f>
        <v/>
      </c>
    </row>
    <row r="375">
      <c r="A375" s="39">
        <f>IF('13 - Dressers &amp; Chests'!B375 = "", "", IF('13 - Dressers &amp; Chests-WUO_ERR'!A375 = "", "Validated", HYPERLINK("#" &amp; ADDRESS(375, '13 - Dressers &amp; Chests-WUO_TRK'!A375),_xlfn.TEXTAFTER('13 - Dressers &amp; Chests-WUO_ERR'!A375, ":"))))</f>
        <v/>
      </c>
    </row>
    <row r="376">
      <c r="A376" s="39">
        <f>IF('13 - Dressers &amp; Chests'!B376 = "", "", IF('13 - Dressers &amp; Chests-WUO_ERR'!A376 = "", "Validated", HYPERLINK("#" &amp; ADDRESS(376, '13 - Dressers &amp; Chests-WUO_TRK'!A376),_xlfn.TEXTAFTER('13 - Dressers &amp; Chests-WUO_ERR'!A376, ":"))))</f>
        <v/>
      </c>
    </row>
    <row r="377">
      <c r="A377" s="39">
        <f>IF('13 - Dressers &amp; Chests'!B377 = "", "", IF('13 - Dressers &amp; Chests-WUO_ERR'!A377 = "", "Validated", HYPERLINK("#" &amp; ADDRESS(377, '13 - Dressers &amp; Chests-WUO_TRK'!A377),_xlfn.TEXTAFTER('13 - Dressers &amp; Chests-WUO_ERR'!A377, ":"))))</f>
        <v/>
      </c>
    </row>
    <row r="378">
      <c r="A378" s="39">
        <f>IF('13 - Dressers &amp; Chests'!B378 = "", "", IF('13 - Dressers &amp; Chests-WUO_ERR'!A378 = "", "Validated", HYPERLINK("#" &amp; ADDRESS(378, '13 - Dressers &amp; Chests-WUO_TRK'!A378),_xlfn.TEXTAFTER('13 - Dressers &amp; Chests-WUO_ERR'!A378, ":"))))</f>
        <v/>
      </c>
    </row>
    <row r="379">
      <c r="A379" s="39">
        <f>IF('13 - Dressers &amp; Chests'!B379 = "", "", IF('13 - Dressers &amp; Chests-WUO_ERR'!A379 = "", "Validated", HYPERLINK("#" &amp; ADDRESS(379, '13 - Dressers &amp; Chests-WUO_TRK'!A379),_xlfn.TEXTAFTER('13 - Dressers &amp; Chests-WUO_ERR'!A379, ":"))))</f>
        <v/>
      </c>
    </row>
    <row r="380">
      <c r="A380" s="39">
        <f>IF('13 - Dressers &amp; Chests'!B380 = "", "", IF('13 - Dressers &amp; Chests-WUO_ERR'!A380 = "", "Validated", HYPERLINK("#" &amp; ADDRESS(380, '13 - Dressers &amp; Chests-WUO_TRK'!A380),_xlfn.TEXTAFTER('13 - Dressers &amp; Chests-WUO_ERR'!A380, ":"))))</f>
        <v/>
      </c>
    </row>
    <row r="381">
      <c r="A381" s="39">
        <f>IF('13 - Dressers &amp; Chests'!B381 = "", "", IF('13 - Dressers &amp; Chests-WUO_ERR'!A381 = "", "Validated", HYPERLINK("#" &amp; ADDRESS(381, '13 - Dressers &amp; Chests-WUO_TRK'!A381),_xlfn.TEXTAFTER('13 - Dressers &amp; Chests-WUO_ERR'!A381, ":"))))</f>
        <v/>
      </c>
    </row>
    <row r="382">
      <c r="A382" s="39">
        <f>IF('13 - Dressers &amp; Chests'!B382 = "", "", IF('13 - Dressers &amp; Chests-WUO_ERR'!A382 = "", "Validated", HYPERLINK("#" &amp; ADDRESS(382, '13 - Dressers &amp; Chests-WUO_TRK'!A382),_xlfn.TEXTAFTER('13 - Dressers &amp; Chests-WUO_ERR'!A382, ":"))))</f>
        <v/>
      </c>
    </row>
    <row r="383">
      <c r="A383" s="39">
        <f>IF('13 - Dressers &amp; Chests'!B383 = "", "", IF('13 - Dressers &amp; Chests-WUO_ERR'!A383 = "", "Validated", HYPERLINK("#" &amp; ADDRESS(383, '13 - Dressers &amp; Chests-WUO_TRK'!A383),_xlfn.TEXTAFTER('13 - Dressers &amp; Chests-WUO_ERR'!A383, ":"))))</f>
        <v/>
      </c>
    </row>
    <row r="384">
      <c r="A384" s="39">
        <f>IF('13 - Dressers &amp; Chests'!B384 = "", "", IF('13 - Dressers &amp; Chests-WUO_ERR'!A384 = "", "Validated", HYPERLINK("#" &amp; ADDRESS(384, '13 - Dressers &amp; Chests-WUO_TRK'!A384),_xlfn.TEXTAFTER('13 - Dressers &amp; Chests-WUO_ERR'!A384, ":"))))</f>
        <v/>
      </c>
    </row>
    <row r="385">
      <c r="A385" s="39">
        <f>IF('13 - Dressers &amp; Chests'!B385 = "", "", IF('13 - Dressers &amp; Chests-WUO_ERR'!A385 = "", "Validated", HYPERLINK("#" &amp; ADDRESS(385, '13 - Dressers &amp; Chests-WUO_TRK'!A385),_xlfn.TEXTAFTER('13 - Dressers &amp; Chests-WUO_ERR'!A385, ":"))))</f>
        <v/>
      </c>
    </row>
    <row r="386">
      <c r="A386" s="39">
        <f>IF('13 - Dressers &amp; Chests'!B386 = "", "", IF('13 - Dressers &amp; Chests-WUO_ERR'!A386 = "", "Validated", HYPERLINK("#" &amp; ADDRESS(386, '13 - Dressers &amp; Chests-WUO_TRK'!A386),_xlfn.TEXTAFTER('13 - Dressers &amp; Chests-WUO_ERR'!A386, ":"))))</f>
        <v/>
      </c>
    </row>
    <row r="387">
      <c r="A387" s="39">
        <f>IF('13 - Dressers &amp; Chests'!B387 = "", "", IF('13 - Dressers &amp; Chests-WUO_ERR'!A387 = "", "Validated", HYPERLINK("#" &amp; ADDRESS(387, '13 - Dressers &amp; Chests-WUO_TRK'!A387),_xlfn.TEXTAFTER('13 - Dressers &amp; Chests-WUO_ERR'!A387, ":"))))</f>
        <v/>
      </c>
    </row>
    <row r="388">
      <c r="A388" s="39">
        <f>IF('13 - Dressers &amp; Chests'!B388 = "", "", IF('13 - Dressers &amp; Chests-WUO_ERR'!A388 = "", "Validated", HYPERLINK("#" &amp; ADDRESS(388, '13 - Dressers &amp; Chests-WUO_TRK'!A388),_xlfn.TEXTAFTER('13 - Dressers &amp; Chests-WUO_ERR'!A388, ":"))))</f>
        <v/>
      </c>
    </row>
    <row r="389">
      <c r="A389" s="39">
        <f>IF('13 - Dressers &amp; Chests'!B389 = "", "", IF('13 - Dressers &amp; Chests-WUO_ERR'!A389 = "", "Validated", HYPERLINK("#" &amp; ADDRESS(389, '13 - Dressers &amp; Chests-WUO_TRK'!A389),_xlfn.TEXTAFTER('13 - Dressers &amp; Chests-WUO_ERR'!A389, ":"))))</f>
        <v/>
      </c>
    </row>
    <row r="390">
      <c r="A390" s="39">
        <f>IF('13 - Dressers &amp; Chests'!B390 = "", "", IF('13 - Dressers &amp; Chests-WUO_ERR'!A390 = "", "Validated", HYPERLINK("#" &amp; ADDRESS(390, '13 - Dressers &amp; Chests-WUO_TRK'!A390),_xlfn.TEXTAFTER('13 - Dressers &amp; Chests-WUO_ERR'!A390, ":"))))</f>
        <v/>
      </c>
    </row>
    <row r="391">
      <c r="A391" s="39">
        <f>IF('13 - Dressers &amp; Chests'!B391 = "", "", IF('13 - Dressers &amp; Chests-WUO_ERR'!A391 = "", "Validated", HYPERLINK("#" &amp; ADDRESS(391, '13 - Dressers &amp; Chests-WUO_TRK'!A391),_xlfn.TEXTAFTER('13 - Dressers &amp; Chests-WUO_ERR'!A391, ":"))))</f>
        <v/>
      </c>
    </row>
    <row r="392">
      <c r="A392" s="39">
        <f>IF('13 - Dressers &amp; Chests'!B392 = "", "", IF('13 - Dressers &amp; Chests-WUO_ERR'!A392 = "", "Validated", HYPERLINK("#" &amp; ADDRESS(392, '13 - Dressers &amp; Chests-WUO_TRK'!A392),_xlfn.TEXTAFTER('13 - Dressers &amp; Chests-WUO_ERR'!A392, ":"))))</f>
        <v/>
      </c>
    </row>
    <row r="393">
      <c r="A393" s="39">
        <f>IF('13 - Dressers &amp; Chests'!B393 = "", "", IF('13 - Dressers &amp; Chests-WUO_ERR'!A393 = "", "Validated", HYPERLINK("#" &amp; ADDRESS(393, '13 - Dressers &amp; Chests-WUO_TRK'!A393),_xlfn.TEXTAFTER('13 - Dressers &amp; Chests-WUO_ERR'!A393, ":"))))</f>
        <v/>
      </c>
    </row>
    <row r="394">
      <c r="A394" s="39">
        <f>IF('13 - Dressers &amp; Chests'!B394 = "", "", IF('13 - Dressers &amp; Chests-WUO_ERR'!A394 = "", "Validated", HYPERLINK("#" &amp; ADDRESS(394, '13 - Dressers &amp; Chests-WUO_TRK'!A394),_xlfn.TEXTAFTER('13 - Dressers &amp; Chests-WUO_ERR'!A394, ":"))))</f>
        <v/>
      </c>
    </row>
    <row r="395">
      <c r="A395" s="39">
        <f>IF('13 - Dressers &amp; Chests'!B395 = "", "", IF('13 - Dressers &amp; Chests-WUO_ERR'!A395 = "", "Validated", HYPERLINK("#" &amp; ADDRESS(395, '13 - Dressers &amp; Chests-WUO_TRK'!A395),_xlfn.TEXTAFTER('13 - Dressers &amp; Chests-WUO_ERR'!A395, ":"))))</f>
        <v/>
      </c>
    </row>
    <row r="396">
      <c r="A396" s="39">
        <f>IF('13 - Dressers &amp; Chests'!B396 = "", "", IF('13 - Dressers &amp; Chests-WUO_ERR'!A396 = "", "Validated", HYPERLINK("#" &amp; ADDRESS(396, '13 - Dressers &amp; Chests-WUO_TRK'!A396),_xlfn.TEXTAFTER('13 - Dressers &amp; Chests-WUO_ERR'!A396, ":"))))</f>
        <v/>
      </c>
    </row>
    <row r="397">
      <c r="A397" s="39">
        <f>IF('13 - Dressers &amp; Chests'!B397 = "", "", IF('13 - Dressers &amp; Chests-WUO_ERR'!A397 = "", "Validated", HYPERLINK("#" &amp; ADDRESS(397, '13 - Dressers &amp; Chests-WUO_TRK'!A397),_xlfn.TEXTAFTER('13 - Dressers &amp; Chests-WUO_ERR'!A397, ":"))))</f>
        <v/>
      </c>
    </row>
    <row r="398">
      <c r="A398" s="39">
        <f>IF('13 - Dressers &amp; Chests'!B398 = "", "", IF('13 - Dressers &amp; Chests-WUO_ERR'!A398 = "", "Validated", HYPERLINK("#" &amp; ADDRESS(398, '13 - Dressers &amp; Chests-WUO_TRK'!A398),_xlfn.TEXTAFTER('13 - Dressers &amp; Chests-WUO_ERR'!A398, ":"))))</f>
        <v/>
      </c>
    </row>
    <row r="399">
      <c r="A399" s="39">
        <f>IF('13 - Dressers &amp; Chests'!B399 = "", "", IF('13 - Dressers &amp; Chests-WUO_ERR'!A399 = "", "Validated", HYPERLINK("#" &amp; ADDRESS(399, '13 - Dressers &amp; Chests-WUO_TRK'!A399),_xlfn.TEXTAFTER('13 - Dressers &amp; Chests-WUO_ERR'!A399, ":"))))</f>
        <v/>
      </c>
    </row>
    <row r="400">
      <c r="A400" s="39">
        <f>IF('13 - Dressers &amp; Chests'!B400 = "", "", IF('13 - Dressers &amp; Chests-WUO_ERR'!A400 = "", "Validated", HYPERLINK("#" &amp; ADDRESS(400, '13 - Dressers &amp; Chests-WUO_TRK'!A400),_xlfn.TEXTAFTER('13 - Dressers &amp; Chests-WUO_ERR'!A400, ":"))))</f>
        <v/>
      </c>
    </row>
    <row r="401">
      <c r="A401" s="39">
        <f>IF('13 - Dressers &amp; Chests'!B401 = "", "", IF('13 - Dressers &amp; Chests-WUO_ERR'!A401 = "", "Validated", HYPERLINK("#" &amp; ADDRESS(401, '13 - Dressers &amp; Chests-WUO_TRK'!A401),_xlfn.TEXTAFTER('13 - Dressers &amp; Chests-WUO_ERR'!A401, ":"))))</f>
        <v/>
      </c>
    </row>
    <row r="402">
      <c r="A402" s="39">
        <f>IF('13 - Dressers &amp; Chests'!B402 = "", "", IF('13 - Dressers &amp; Chests-WUO_ERR'!A402 = "", "Validated", HYPERLINK("#" &amp; ADDRESS(402, '13 - Dressers &amp; Chests-WUO_TRK'!A402),_xlfn.TEXTAFTER('13 - Dressers &amp; Chests-WUO_ERR'!A402, ":"))))</f>
        <v/>
      </c>
    </row>
    <row r="403">
      <c r="A403" s="39">
        <f>IF('13 - Dressers &amp; Chests'!B403 = "", "", IF('13 - Dressers &amp; Chests-WUO_ERR'!A403 = "", "Validated", HYPERLINK("#" &amp; ADDRESS(403, '13 - Dressers &amp; Chests-WUO_TRK'!A403),_xlfn.TEXTAFTER('13 - Dressers &amp; Chests-WUO_ERR'!A403, ":"))))</f>
        <v/>
      </c>
    </row>
    <row r="404">
      <c r="A404" s="39">
        <f>IF('13 - Dressers &amp; Chests'!B404 = "", "", IF('13 - Dressers &amp; Chests-WUO_ERR'!A404 = "", "Validated", HYPERLINK("#" &amp; ADDRESS(404, '13 - Dressers &amp; Chests-WUO_TRK'!A404),_xlfn.TEXTAFTER('13 - Dressers &amp; Chests-WUO_ERR'!A404, ":"))))</f>
        <v/>
      </c>
    </row>
    <row r="405">
      <c r="A405" s="39">
        <f>IF('13 - Dressers &amp; Chests'!B405 = "", "", IF('13 - Dressers &amp; Chests-WUO_ERR'!A405 = "", "Validated", HYPERLINK("#" &amp; ADDRESS(405, '13 - Dressers &amp; Chests-WUO_TRK'!A405),_xlfn.TEXTAFTER('13 - Dressers &amp; Chests-WUO_ERR'!A405, ":"))))</f>
        <v/>
      </c>
    </row>
    <row r="406">
      <c r="A406" s="39">
        <f>IF('13 - Dressers &amp; Chests'!B406 = "", "", IF('13 - Dressers &amp; Chests-WUO_ERR'!A406 = "", "Validated", HYPERLINK("#" &amp; ADDRESS(406, '13 - Dressers &amp; Chests-WUO_TRK'!A406),_xlfn.TEXTAFTER('13 - Dressers &amp; Chests-WUO_ERR'!A406, ":"))))</f>
        <v/>
      </c>
    </row>
    <row r="407">
      <c r="A407" s="39">
        <f>IF('13 - Dressers &amp; Chests'!B407 = "", "", IF('13 - Dressers &amp; Chests-WUO_ERR'!A407 = "", "Validated", HYPERLINK("#" &amp; ADDRESS(407, '13 - Dressers &amp; Chests-WUO_TRK'!A407),_xlfn.TEXTAFTER('13 - Dressers &amp; Chests-WUO_ERR'!A407, ":"))))</f>
        <v/>
      </c>
    </row>
    <row r="408">
      <c r="A408" s="39">
        <f>IF('13 - Dressers &amp; Chests'!B408 = "", "", IF('13 - Dressers &amp; Chests-WUO_ERR'!A408 = "", "Validated", HYPERLINK("#" &amp; ADDRESS(408, '13 - Dressers &amp; Chests-WUO_TRK'!A408),_xlfn.TEXTAFTER('13 - Dressers &amp; Chests-WUO_ERR'!A408, ":"))))</f>
        <v/>
      </c>
    </row>
    <row r="409">
      <c r="A409" s="39">
        <f>IF('13 - Dressers &amp; Chests'!B409 = "", "", IF('13 - Dressers &amp; Chests-WUO_ERR'!A409 = "", "Validated", HYPERLINK("#" &amp; ADDRESS(409, '13 - Dressers &amp; Chests-WUO_TRK'!A409),_xlfn.TEXTAFTER('13 - Dressers &amp; Chests-WUO_ERR'!A409, ":"))))</f>
        <v/>
      </c>
    </row>
    <row r="410">
      <c r="A410" s="39">
        <f>IF('13 - Dressers &amp; Chests'!B410 = "", "", IF('13 - Dressers &amp; Chests-WUO_ERR'!A410 = "", "Validated", HYPERLINK("#" &amp; ADDRESS(410, '13 - Dressers &amp; Chests-WUO_TRK'!A410),_xlfn.TEXTAFTER('13 - Dressers &amp; Chests-WUO_ERR'!A410, ":"))))</f>
        <v/>
      </c>
    </row>
    <row r="411">
      <c r="A411" s="39">
        <f>IF('13 - Dressers &amp; Chests'!B411 = "", "", IF('13 - Dressers &amp; Chests-WUO_ERR'!A411 = "", "Validated", HYPERLINK("#" &amp; ADDRESS(411, '13 - Dressers &amp; Chests-WUO_TRK'!A411),_xlfn.TEXTAFTER('13 - Dressers &amp; Chests-WUO_ERR'!A411, ":"))))</f>
        <v/>
      </c>
    </row>
    <row r="412">
      <c r="A412" s="39">
        <f>IF('13 - Dressers &amp; Chests'!B412 = "", "", IF('13 - Dressers &amp; Chests-WUO_ERR'!A412 = "", "Validated", HYPERLINK("#" &amp; ADDRESS(412, '13 - Dressers &amp; Chests-WUO_TRK'!A412),_xlfn.TEXTAFTER('13 - Dressers &amp; Chests-WUO_ERR'!A412, ":"))))</f>
        <v/>
      </c>
    </row>
    <row r="413">
      <c r="A413" s="39">
        <f>IF('13 - Dressers &amp; Chests'!B413 = "", "", IF('13 - Dressers &amp; Chests-WUO_ERR'!A413 = "", "Validated", HYPERLINK("#" &amp; ADDRESS(413, '13 - Dressers &amp; Chests-WUO_TRK'!A413),_xlfn.TEXTAFTER('13 - Dressers &amp; Chests-WUO_ERR'!A413, ":"))))</f>
        <v/>
      </c>
    </row>
    <row r="414">
      <c r="A414" s="39">
        <f>IF('13 - Dressers &amp; Chests'!B414 = "", "", IF('13 - Dressers &amp; Chests-WUO_ERR'!A414 = "", "Validated", HYPERLINK("#" &amp; ADDRESS(414, '13 - Dressers &amp; Chests-WUO_TRK'!A414),_xlfn.TEXTAFTER('13 - Dressers &amp; Chests-WUO_ERR'!A414, ":"))))</f>
        <v/>
      </c>
    </row>
    <row r="415">
      <c r="A415" s="39">
        <f>IF('13 - Dressers &amp; Chests'!B415 = "", "", IF('13 - Dressers &amp; Chests-WUO_ERR'!A415 = "", "Validated", HYPERLINK("#" &amp; ADDRESS(415, '13 - Dressers &amp; Chests-WUO_TRK'!A415),_xlfn.TEXTAFTER('13 - Dressers &amp; Chests-WUO_ERR'!A415, ":"))))</f>
        <v/>
      </c>
    </row>
    <row r="416">
      <c r="A416" s="39">
        <f>IF('13 - Dressers &amp; Chests'!B416 = "", "", IF('13 - Dressers &amp; Chests-WUO_ERR'!A416 = "", "Validated", HYPERLINK("#" &amp; ADDRESS(416, '13 - Dressers &amp; Chests-WUO_TRK'!A416),_xlfn.TEXTAFTER('13 - Dressers &amp; Chests-WUO_ERR'!A416, ":"))))</f>
        <v/>
      </c>
    </row>
    <row r="417">
      <c r="A417" s="39">
        <f>IF('13 - Dressers &amp; Chests'!B417 = "", "", IF('13 - Dressers &amp; Chests-WUO_ERR'!A417 = "", "Validated", HYPERLINK("#" &amp; ADDRESS(417, '13 - Dressers &amp; Chests-WUO_TRK'!A417),_xlfn.TEXTAFTER('13 - Dressers &amp; Chests-WUO_ERR'!A417, ":"))))</f>
        <v/>
      </c>
    </row>
    <row r="418">
      <c r="A418" s="39">
        <f>IF('13 - Dressers &amp; Chests'!B418 = "", "", IF('13 - Dressers &amp; Chests-WUO_ERR'!A418 = "", "Validated", HYPERLINK("#" &amp; ADDRESS(418, '13 - Dressers &amp; Chests-WUO_TRK'!A418),_xlfn.TEXTAFTER('13 - Dressers &amp; Chests-WUO_ERR'!A418, ":"))))</f>
        <v/>
      </c>
    </row>
    <row r="419">
      <c r="A419" s="39">
        <f>IF('13 - Dressers &amp; Chests'!B419 = "", "", IF('13 - Dressers &amp; Chests-WUO_ERR'!A419 = "", "Validated", HYPERLINK("#" &amp; ADDRESS(419, '13 - Dressers &amp; Chests-WUO_TRK'!A419),_xlfn.TEXTAFTER('13 - Dressers &amp; Chests-WUO_ERR'!A419, ":"))))</f>
        <v/>
      </c>
    </row>
    <row r="420">
      <c r="A420" s="39">
        <f>IF('13 - Dressers &amp; Chests'!B420 = "", "", IF('13 - Dressers &amp; Chests-WUO_ERR'!A420 = "", "Validated", HYPERLINK("#" &amp; ADDRESS(420, '13 - Dressers &amp; Chests-WUO_TRK'!A420),_xlfn.TEXTAFTER('13 - Dressers &amp; Chests-WUO_ERR'!A420, ":"))))</f>
        <v/>
      </c>
    </row>
    <row r="421">
      <c r="A421" s="39">
        <f>IF('13 - Dressers &amp; Chests'!B421 = "", "", IF('13 - Dressers &amp; Chests-WUO_ERR'!A421 = "", "Validated", HYPERLINK("#" &amp; ADDRESS(421, '13 - Dressers &amp; Chests-WUO_TRK'!A421),_xlfn.TEXTAFTER('13 - Dressers &amp; Chests-WUO_ERR'!A421, ":"))))</f>
        <v/>
      </c>
    </row>
    <row r="422">
      <c r="A422" s="39">
        <f>IF('13 - Dressers &amp; Chests'!B422 = "", "", IF('13 - Dressers &amp; Chests-WUO_ERR'!A422 = "", "Validated", HYPERLINK("#" &amp; ADDRESS(422, '13 - Dressers &amp; Chests-WUO_TRK'!A422),_xlfn.TEXTAFTER('13 - Dressers &amp; Chests-WUO_ERR'!A422, ":"))))</f>
        <v/>
      </c>
    </row>
    <row r="423">
      <c r="A423" s="39">
        <f>IF('13 - Dressers &amp; Chests'!B423 = "", "", IF('13 - Dressers &amp; Chests-WUO_ERR'!A423 = "", "Validated", HYPERLINK("#" &amp; ADDRESS(423, '13 - Dressers &amp; Chests-WUO_TRK'!A423),_xlfn.TEXTAFTER('13 - Dressers &amp; Chests-WUO_ERR'!A423, ":"))))</f>
        <v/>
      </c>
    </row>
    <row r="424">
      <c r="A424" s="39">
        <f>IF('13 - Dressers &amp; Chests'!B424 = "", "", IF('13 - Dressers &amp; Chests-WUO_ERR'!A424 = "", "Validated", HYPERLINK("#" &amp; ADDRESS(424, '13 - Dressers &amp; Chests-WUO_TRK'!A424),_xlfn.TEXTAFTER('13 - Dressers &amp; Chests-WUO_ERR'!A424, ":"))))</f>
        <v/>
      </c>
    </row>
    <row r="425">
      <c r="A425" s="39">
        <f>IF('13 - Dressers &amp; Chests'!B425 = "", "", IF('13 - Dressers &amp; Chests-WUO_ERR'!A425 = "", "Validated", HYPERLINK("#" &amp; ADDRESS(425, '13 - Dressers &amp; Chests-WUO_TRK'!A425),_xlfn.TEXTAFTER('13 - Dressers &amp; Chests-WUO_ERR'!A425, ":"))))</f>
        <v/>
      </c>
    </row>
    <row r="426">
      <c r="A426" s="39">
        <f>IF('13 - Dressers &amp; Chests'!B426 = "", "", IF('13 - Dressers &amp; Chests-WUO_ERR'!A426 = "", "Validated", HYPERLINK("#" &amp; ADDRESS(426, '13 - Dressers &amp; Chests-WUO_TRK'!A426),_xlfn.TEXTAFTER('13 - Dressers &amp; Chests-WUO_ERR'!A426, ":"))))</f>
        <v/>
      </c>
    </row>
    <row r="427">
      <c r="A427" s="39">
        <f>IF('13 - Dressers &amp; Chests'!B427 = "", "", IF('13 - Dressers &amp; Chests-WUO_ERR'!A427 = "", "Validated", HYPERLINK("#" &amp; ADDRESS(427, '13 - Dressers &amp; Chests-WUO_TRK'!A427),_xlfn.TEXTAFTER('13 - Dressers &amp; Chests-WUO_ERR'!A427, ":"))))</f>
        <v/>
      </c>
    </row>
    <row r="428">
      <c r="A428" s="39">
        <f>IF('13 - Dressers &amp; Chests'!B428 = "", "", IF('13 - Dressers &amp; Chests-WUO_ERR'!A428 = "", "Validated", HYPERLINK("#" &amp; ADDRESS(428, '13 - Dressers &amp; Chests-WUO_TRK'!A428),_xlfn.TEXTAFTER('13 - Dressers &amp; Chests-WUO_ERR'!A428, ":"))))</f>
        <v/>
      </c>
    </row>
    <row r="429">
      <c r="A429" s="39">
        <f>IF('13 - Dressers &amp; Chests'!B429 = "", "", IF('13 - Dressers &amp; Chests-WUO_ERR'!A429 = "", "Validated", HYPERLINK("#" &amp; ADDRESS(429, '13 - Dressers &amp; Chests-WUO_TRK'!A429),_xlfn.TEXTAFTER('13 - Dressers &amp; Chests-WUO_ERR'!A429, ":"))))</f>
        <v/>
      </c>
    </row>
    <row r="430">
      <c r="A430" s="39">
        <f>IF('13 - Dressers &amp; Chests'!B430 = "", "", IF('13 - Dressers &amp; Chests-WUO_ERR'!A430 = "", "Validated", HYPERLINK("#" &amp; ADDRESS(430, '13 - Dressers &amp; Chests-WUO_TRK'!A430),_xlfn.TEXTAFTER('13 - Dressers &amp; Chests-WUO_ERR'!A430, ":"))))</f>
        <v/>
      </c>
    </row>
    <row r="431">
      <c r="A431" s="39">
        <f>IF('13 - Dressers &amp; Chests'!B431 = "", "", IF('13 - Dressers &amp; Chests-WUO_ERR'!A431 = "", "Validated", HYPERLINK("#" &amp; ADDRESS(431, '13 - Dressers &amp; Chests-WUO_TRK'!A431),_xlfn.TEXTAFTER('13 - Dressers &amp; Chests-WUO_ERR'!A431, ":"))))</f>
        <v/>
      </c>
    </row>
    <row r="432">
      <c r="A432" s="39">
        <f>IF('13 - Dressers &amp; Chests'!B432 = "", "", IF('13 - Dressers &amp; Chests-WUO_ERR'!A432 = "", "Validated", HYPERLINK("#" &amp; ADDRESS(432, '13 - Dressers &amp; Chests-WUO_TRK'!A432),_xlfn.TEXTAFTER('13 - Dressers &amp; Chests-WUO_ERR'!A432, ":"))))</f>
        <v/>
      </c>
    </row>
    <row r="433">
      <c r="A433" s="39">
        <f>IF('13 - Dressers &amp; Chests'!B433 = "", "", IF('13 - Dressers &amp; Chests-WUO_ERR'!A433 = "", "Validated", HYPERLINK("#" &amp; ADDRESS(433, '13 - Dressers &amp; Chests-WUO_TRK'!A433),_xlfn.TEXTAFTER('13 - Dressers &amp; Chests-WUO_ERR'!A433, ":"))))</f>
        <v/>
      </c>
    </row>
    <row r="434">
      <c r="A434" s="39">
        <f>IF('13 - Dressers &amp; Chests'!B434 = "", "", IF('13 - Dressers &amp; Chests-WUO_ERR'!A434 = "", "Validated", HYPERLINK("#" &amp; ADDRESS(434, '13 - Dressers &amp; Chests-WUO_TRK'!A434),_xlfn.TEXTAFTER('13 - Dressers &amp; Chests-WUO_ERR'!A434, ":"))))</f>
        <v/>
      </c>
    </row>
    <row r="435">
      <c r="A435" s="39">
        <f>IF('13 - Dressers &amp; Chests'!B435 = "", "", IF('13 - Dressers &amp; Chests-WUO_ERR'!A435 = "", "Validated", HYPERLINK("#" &amp; ADDRESS(435, '13 - Dressers &amp; Chests-WUO_TRK'!A435),_xlfn.TEXTAFTER('13 - Dressers &amp; Chests-WUO_ERR'!A435, ":"))))</f>
        <v/>
      </c>
    </row>
    <row r="436">
      <c r="A436" s="39">
        <f>IF('13 - Dressers &amp; Chests'!B436 = "", "", IF('13 - Dressers &amp; Chests-WUO_ERR'!A436 = "", "Validated", HYPERLINK("#" &amp; ADDRESS(436, '13 - Dressers &amp; Chests-WUO_TRK'!A436),_xlfn.TEXTAFTER('13 - Dressers &amp; Chests-WUO_ERR'!A436, ":"))))</f>
        <v/>
      </c>
    </row>
    <row r="437">
      <c r="A437" s="39">
        <f>IF('13 - Dressers &amp; Chests'!B437 = "", "", IF('13 - Dressers &amp; Chests-WUO_ERR'!A437 = "", "Validated", HYPERLINK("#" &amp; ADDRESS(437, '13 - Dressers &amp; Chests-WUO_TRK'!A437),_xlfn.TEXTAFTER('13 - Dressers &amp; Chests-WUO_ERR'!A437, ":"))))</f>
        <v/>
      </c>
    </row>
    <row r="438">
      <c r="A438" s="39">
        <f>IF('13 - Dressers &amp; Chests'!B438 = "", "", IF('13 - Dressers &amp; Chests-WUO_ERR'!A438 = "", "Validated", HYPERLINK("#" &amp; ADDRESS(438, '13 - Dressers &amp; Chests-WUO_TRK'!A438),_xlfn.TEXTAFTER('13 - Dressers &amp; Chests-WUO_ERR'!A438, ":"))))</f>
        <v/>
      </c>
    </row>
    <row r="439">
      <c r="A439" s="39">
        <f>IF('13 - Dressers &amp; Chests'!B439 = "", "", IF('13 - Dressers &amp; Chests-WUO_ERR'!A439 = "", "Validated", HYPERLINK("#" &amp; ADDRESS(439, '13 - Dressers &amp; Chests-WUO_TRK'!A439),_xlfn.TEXTAFTER('13 - Dressers &amp; Chests-WUO_ERR'!A439, ":"))))</f>
        <v/>
      </c>
    </row>
    <row r="440">
      <c r="A440" s="39">
        <f>IF('13 - Dressers &amp; Chests'!B440 = "", "", IF('13 - Dressers &amp; Chests-WUO_ERR'!A440 = "", "Validated", HYPERLINK("#" &amp; ADDRESS(440, '13 - Dressers &amp; Chests-WUO_TRK'!A440),_xlfn.TEXTAFTER('13 - Dressers &amp; Chests-WUO_ERR'!A440, ":"))))</f>
        <v/>
      </c>
    </row>
    <row r="441">
      <c r="A441" s="39">
        <f>IF('13 - Dressers &amp; Chests'!B441 = "", "", IF('13 - Dressers &amp; Chests-WUO_ERR'!A441 = "", "Validated", HYPERLINK("#" &amp; ADDRESS(441, '13 - Dressers &amp; Chests-WUO_TRK'!A441),_xlfn.TEXTAFTER('13 - Dressers &amp; Chests-WUO_ERR'!A441, ":"))))</f>
        <v/>
      </c>
    </row>
    <row r="442">
      <c r="A442" s="39">
        <f>IF('13 - Dressers &amp; Chests'!B442 = "", "", IF('13 - Dressers &amp; Chests-WUO_ERR'!A442 = "", "Validated", HYPERLINK("#" &amp; ADDRESS(442, '13 - Dressers &amp; Chests-WUO_TRK'!A442),_xlfn.TEXTAFTER('13 - Dressers &amp; Chests-WUO_ERR'!A442, ":"))))</f>
        <v/>
      </c>
    </row>
    <row r="443">
      <c r="A443" s="39">
        <f>IF('13 - Dressers &amp; Chests'!B443 = "", "", IF('13 - Dressers &amp; Chests-WUO_ERR'!A443 = "", "Validated", HYPERLINK("#" &amp; ADDRESS(443, '13 - Dressers &amp; Chests-WUO_TRK'!A443),_xlfn.TEXTAFTER('13 - Dressers &amp; Chests-WUO_ERR'!A443, ":"))))</f>
        <v/>
      </c>
    </row>
    <row r="444">
      <c r="A444" s="39">
        <f>IF('13 - Dressers &amp; Chests'!B444 = "", "", IF('13 - Dressers &amp; Chests-WUO_ERR'!A444 = "", "Validated", HYPERLINK("#" &amp; ADDRESS(444, '13 - Dressers &amp; Chests-WUO_TRK'!A444),_xlfn.TEXTAFTER('13 - Dressers &amp; Chests-WUO_ERR'!A444, ":"))))</f>
        <v/>
      </c>
    </row>
    <row r="445">
      <c r="A445" s="39">
        <f>IF('13 - Dressers &amp; Chests'!B445 = "", "", IF('13 - Dressers &amp; Chests-WUO_ERR'!A445 = "", "Validated", HYPERLINK("#" &amp; ADDRESS(445, '13 - Dressers &amp; Chests-WUO_TRK'!A445),_xlfn.TEXTAFTER('13 - Dressers &amp; Chests-WUO_ERR'!A445, ":"))))</f>
        <v/>
      </c>
    </row>
    <row r="446">
      <c r="A446" s="39">
        <f>IF('13 - Dressers &amp; Chests'!B446 = "", "", IF('13 - Dressers &amp; Chests-WUO_ERR'!A446 = "", "Validated", HYPERLINK("#" &amp; ADDRESS(446, '13 - Dressers &amp; Chests-WUO_TRK'!A446),_xlfn.TEXTAFTER('13 - Dressers &amp; Chests-WUO_ERR'!A446, ":"))))</f>
        <v/>
      </c>
    </row>
    <row r="447">
      <c r="A447" s="39">
        <f>IF('13 - Dressers &amp; Chests'!B447 = "", "", IF('13 - Dressers &amp; Chests-WUO_ERR'!A447 = "", "Validated", HYPERLINK("#" &amp; ADDRESS(447, '13 - Dressers &amp; Chests-WUO_TRK'!A447),_xlfn.TEXTAFTER('13 - Dressers &amp; Chests-WUO_ERR'!A447, ":"))))</f>
        <v/>
      </c>
    </row>
    <row r="448">
      <c r="A448" s="39">
        <f>IF('13 - Dressers &amp; Chests'!B448 = "", "", IF('13 - Dressers &amp; Chests-WUO_ERR'!A448 = "", "Validated", HYPERLINK("#" &amp; ADDRESS(448, '13 - Dressers &amp; Chests-WUO_TRK'!A448),_xlfn.TEXTAFTER('13 - Dressers &amp; Chests-WUO_ERR'!A448, ":"))))</f>
        <v/>
      </c>
    </row>
    <row r="449">
      <c r="A449" s="39">
        <f>IF('13 - Dressers &amp; Chests'!B449 = "", "", IF('13 - Dressers &amp; Chests-WUO_ERR'!A449 = "", "Validated", HYPERLINK("#" &amp; ADDRESS(449, '13 - Dressers &amp; Chests-WUO_TRK'!A449),_xlfn.TEXTAFTER('13 - Dressers &amp; Chests-WUO_ERR'!A449, ":"))))</f>
        <v/>
      </c>
    </row>
    <row r="450">
      <c r="A450" s="39">
        <f>IF('13 - Dressers &amp; Chests'!B450 = "", "", IF('13 - Dressers &amp; Chests-WUO_ERR'!A450 = "", "Validated", HYPERLINK("#" &amp; ADDRESS(450, '13 - Dressers &amp; Chests-WUO_TRK'!A450),_xlfn.TEXTAFTER('13 - Dressers &amp; Chests-WUO_ERR'!A450, ":"))))</f>
        <v/>
      </c>
    </row>
    <row r="451">
      <c r="A451" s="39">
        <f>IF('13 - Dressers &amp; Chests'!B451 = "", "", IF('13 - Dressers &amp; Chests-WUO_ERR'!A451 = "", "Validated", HYPERLINK("#" &amp; ADDRESS(451, '13 - Dressers &amp; Chests-WUO_TRK'!A451),_xlfn.TEXTAFTER('13 - Dressers &amp; Chests-WUO_ERR'!A451, ":"))))</f>
        <v/>
      </c>
    </row>
    <row r="452">
      <c r="A452" s="39">
        <f>IF('13 - Dressers &amp; Chests'!B452 = "", "", IF('13 - Dressers &amp; Chests-WUO_ERR'!A452 = "", "Validated", HYPERLINK("#" &amp; ADDRESS(452, '13 - Dressers &amp; Chests-WUO_TRK'!A452),_xlfn.TEXTAFTER('13 - Dressers &amp; Chests-WUO_ERR'!A452, ":"))))</f>
        <v/>
      </c>
    </row>
    <row r="453">
      <c r="A453" s="39">
        <f>IF('13 - Dressers &amp; Chests'!B453 = "", "", IF('13 - Dressers &amp; Chests-WUO_ERR'!A453 = "", "Validated", HYPERLINK("#" &amp; ADDRESS(453, '13 - Dressers &amp; Chests-WUO_TRK'!A453),_xlfn.TEXTAFTER('13 - Dressers &amp; Chests-WUO_ERR'!A453, ":"))))</f>
        <v/>
      </c>
    </row>
    <row r="454">
      <c r="A454" s="39">
        <f>IF('13 - Dressers &amp; Chests'!B454 = "", "", IF('13 - Dressers &amp; Chests-WUO_ERR'!A454 = "", "Validated", HYPERLINK("#" &amp; ADDRESS(454, '13 - Dressers &amp; Chests-WUO_TRK'!A454),_xlfn.TEXTAFTER('13 - Dressers &amp; Chests-WUO_ERR'!A454, ":"))))</f>
        <v/>
      </c>
    </row>
    <row r="455">
      <c r="A455" s="39">
        <f>IF('13 - Dressers &amp; Chests'!B455 = "", "", IF('13 - Dressers &amp; Chests-WUO_ERR'!A455 = "", "Validated", HYPERLINK("#" &amp; ADDRESS(455, '13 - Dressers &amp; Chests-WUO_TRK'!A455),_xlfn.TEXTAFTER('13 - Dressers &amp; Chests-WUO_ERR'!A455, ":"))))</f>
        <v/>
      </c>
    </row>
    <row r="456">
      <c r="A456" s="39">
        <f>IF('13 - Dressers &amp; Chests'!B456 = "", "", IF('13 - Dressers &amp; Chests-WUO_ERR'!A456 = "", "Validated", HYPERLINK("#" &amp; ADDRESS(456, '13 - Dressers &amp; Chests-WUO_TRK'!A456),_xlfn.TEXTAFTER('13 - Dressers &amp; Chests-WUO_ERR'!A456, ":"))))</f>
        <v/>
      </c>
    </row>
    <row r="457">
      <c r="A457" s="39">
        <f>IF('13 - Dressers &amp; Chests'!B457 = "", "", IF('13 - Dressers &amp; Chests-WUO_ERR'!A457 = "", "Validated", HYPERLINK("#" &amp; ADDRESS(457, '13 - Dressers &amp; Chests-WUO_TRK'!A457),_xlfn.TEXTAFTER('13 - Dressers &amp; Chests-WUO_ERR'!A457, ":"))))</f>
        <v/>
      </c>
    </row>
    <row r="458">
      <c r="A458" s="39">
        <f>IF('13 - Dressers &amp; Chests'!B458 = "", "", IF('13 - Dressers &amp; Chests-WUO_ERR'!A458 = "", "Validated", HYPERLINK("#" &amp; ADDRESS(458, '13 - Dressers &amp; Chests-WUO_TRK'!A458),_xlfn.TEXTAFTER('13 - Dressers &amp; Chests-WUO_ERR'!A458, ":"))))</f>
        <v/>
      </c>
    </row>
    <row r="459">
      <c r="A459" s="39">
        <f>IF('13 - Dressers &amp; Chests'!B459 = "", "", IF('13 - Dressers &amp; Chests-WUO_ERR'!A459 = "", "Validated", HYPERLINK("#" &amp; ADDRESS(459, '13 - Dressers &amp; Chests-WUO_TRK'!A459),_xlfn.TEXTAFTER('13 - Dressers &amp; Chests-WUO_ERR'!A459, ":"))))</f>
        <v/>
      </c>
    </row>
    <row r="460">
      <c r="A460" s="39">
        <f>IF('13 - Dressers &amp; Chests'!B460 = "", "", IF('13 - Dressers &amp; Chests-WUO_ERR'!A460 = "", "Validated", HYPERLINK("#" &amp; ADDRESS(460, '13 - Dressers &amp; Chests-WUO_TRK'!A460),_xlfn.TEXTAFTER('13 - Dressers &amp; Chests-WUO_ERR'!A460, ":"))))</f>
        <v/>
      </c>
    </row>
    <row r="461">
      <c r="A461" s="39">
        <f>IF('13 - Dressers &amp; Chests'!B461 = "", "", IF('13 - Dressers &amp; Chests-WUO_ERR'!A461 = "", "Validated", HYPERLINK("#" &amp; ADDRESS(461, '13 - Dressers &amp; Chests-WUO_TRK'!A461),_xlfn.TEXTAFTER('13 - Dressers &amp; Chests-WUO_ERR'!A461, ":"))))</f>
        <v/>
      </c>
    </row>
    <row r="462">
      <c r="A462" s="39">
        <f>IF('13 - Dressers &amp; Chests'!B462 = "", "", IF('13 - Dressers &amp; Chests-WUO_ERR'!A462 = "", "Validated", HYPERLINK("#" &amp; ADDRESS(462, '13 - Dressers &amp; Chests-WUO_TRK'!A462),_xlfn.TEXTAFTER('13 - Dressers &amp; Chests-WUO_ERR'!A462, ":"))))</f>
        <v/>
      </c>
    </row>
    <row r="463">
      <c r="A463" s="39">
        <f>IF('13 - Dressers &amp; Chests'!B463 = "", "", IF('13 - Dressers &amp; Chests-WUO_ERR'!A463 = "", "Validated", HYPERLINK("#" &amp; ADDRESS(463, '13 - Dressers &amp; Chests-WUO_TRK'!A463),_xlfn.TEXTAFTER('13 - Dressers &amp; Chests-WUO_ERR'!A463, ":"))))</f>
        <v/>
      </c>
    </row>
    <row r="464">
      <c r="A464" s="39">
        <f>IF('13 - Dressers &amp; Chests'!B464 = "", "", IF('13 - Dressers &amp; Chests-WUO_ERR'!A464 = "", "Validated", HYPERLINK("#" &amp; ADDRESS(464, '13 - Dressers &amp; Chests-WUO_TRK'!A464),_xlfn.TEXTAFTER('13 - Dressers &amp; Chests-WUO_ERR'!A464, ":"))))</f>
        <v/>
      </c>
    </row>
    <row r="465">
      <c r="A465" s="39">
        <f>IF('13 - Dressers &amp; Chests'!B465 = "", "", IF('13 - Dressers &amp; Chests-WUO_ERR'!A465 = "", "Validated", HYPERLINK("#" &amp; ADDRESS(465, '13 - Dressers &amp; Chests-WUO_TRK'!A465),_xlfn.TEXTAFTER('13 - Dressers &amp; Chests-WUO_ERR'!A465, ":"))))</f>
        <v/>
      </c>
    </row>
    <row r="466">
      <c r="A466" s="39">
        <f>IF('13 - Dressers &amp; Chests'!B466 = "", "", IF('13 - Dressers &amp; Chests-WUO_ERR'!A466 = "", "Validated", HYPERLINK("#" &amp; ADDRESS(466, '13 - Dressers &amp; Chests-WUO_TRK'!A466),_xlfn.TEXTAFTER('13 - Dressers &amp; Chests-WUO_ERR'!A466, ":"))))</f>
        <v/>
      </c>
    </row>
    <row r="467">
      <c r="A467" s="39">
        <f>IF('13 - Dressers &amp; Chests'!B467 = "", "", IF('13 - Dressers &amp; Chests-WUO_ERR'!A467 = "", "Validated", HYPERLINK("#" &amp; ADDRESS(467, '13 - Dressers &amp; Chests-WUO_TRK'!A467),_xlfn.TEXTAFTER('13 - Dressers &amp; Chests-WUO_ERR'!A467, ":"))))</f>
        <v/>
      </c>
    </row>
    <row r="468">
      <c r="A468" s="39">
        <f>IF('13 - Dressers &amp; Chests'!B468 = "", "", IF('13 - Dressers &amp; Chests-WUO_ERR'!A468 = "", "Validated", HYPERLINK("#" &amp; ADDRESS(468, '13 - Dressers &amp; Chests-WUO_TRK'!A468),_xlfn.TEXTAFTER('13 - Dressers &amp; Chests-WUO_ERR'!A468, ":"))))</f>
        <v/>
      </c>
    </row>
    <row r="469">
      <c r="A469" s="39">
        <f>IF('13 - Dressers &amp; Chests'!B469 = "", "", IF('13 - Dressers &amp; Chests-WUO_ERR'!A469 = "", "Validated", HYPERLINK("#" &amp; ADDRESS(469, '13 - Dressers &amp; Chests-WUO_TRK'!A469),_xlfn.TEXTAFTER('13 - Dressers &amp; Chests-WUO_ERR'!A469, ":"))))</f>
        <v/>
      </c>
    </row>
    <row r="470">
      <c r="A470" s="39">
        <f>IF('13 - Dressers &amp; Chests'!B470 = "", "", IF('13 - Dressers &amp; Chests-WUO_ERR'!A470 = "", "Validated", HYPERLINK("#" &amp; ADDRESS(470, '13 - Dressers &amp; Chests-WUO_TRK'!A470),_xlfn.TEXTAFTER('13 - Dressers &amp; Chests-WUO_ERR'!A470, ":"))))</f>
        <v/>
      </c>
    </row>
    <row r="471">
      <c r="A471" s="39">
        <f>IF('13 - Dressers &amp; Chests'!B471 = "", "", IF('13 - Dressers &amp; Chests-WUO_ERR'!A471 = "", "Validated", HYPERLINK("#" &amp; ADDRESS(471, '13 - Dressers &amp; Chests-WUO_TRK'!A471),_xlfn.TEXTAFTER('13 - Dressers &amp; Chests-WUO_ERR'!A471, ":"))))</f>
        <v/>
      </c>
    </row>
    <row r="472">
      <c r="A472" s="39">
        <f>IF('13 - Dressers &amp; Chests'!B472 = "", "", IF('13 - Dressers &amp; Chests-WUO_ERR'!A472 = "", "Validated", HYPERLINK("#" &amp; ADDRESS(472, '13 - Dressers &amp; Chests-WUO_TRK'!A472),_xlfn.TEXTAFTER('13 - Dressers &amp; Chests-WUO_ERR'!A472, ":"))))</f>
        <v/>
      </c>
    </row>
    <row r="473">
      <c r="A473" s="39">
        <f>IF('13 - Dressers &amp; Chests'!B473 = "", "", IF('13 - Dressers &amp; Chests-WUO_ERR'!A473 = "", "Validated", HYPERLINK("#" &amp; ADDRESS(473, '13 - Dressers &amp; Chests-WUO_TRK'!A473),_xlfn.TEXTAFTER('13 - Dressers &amp; Chests-WUO_ERR'!A473, ":"))))</f>
        <v/>
      </c>
    </row>
    <row r="474">
      <c r="A474" s="39">
        <f>IF('13 - Dressers &amp; Chests'!B474 = "", "", IF('13 - Dressers &amp; Chests-WUO_ERR'!A474 = "", "Validated", HYPERLINK("#" &amp; ADDRESS(474, '13 - Dressers &amp; Chests-WUO_TRK'!A474),_xlfn.TEXTAFTER('13 - Dressers &amp; Chests-WUO_ERR'!A474, ":"))))</f>
        <v/>
      </c>
    </row>
    <row r="475">
      <c r="A475" s="39">
        <f>IF('13 - Dressers &amp; Chests'!B475 = "", "", IF('13 - Dressers &amp; Chests-WUO_ERR'!A475 = "", "Validated", HYPERLINK("#" &amp; ADDRESS(475, '13 - Dressers &amp; Chests-WUO_TRK'!A475),_xlfn.TEXTAFTER('13 - Dressers &amp; Chests-WUO_ERR'!A475, ":"))))</f>
        <v/>
      </c>
    </row>
    <row r="476">
      <c r="A476" s="39">
        <f>IF('13 - Dressers &amp; Chests'!B476 = "", "", IF('13 - Dressers &amp; Chests-WUO_ERR'!A476 = "", "Validated", HYPERLINK("#" &amp; ADDRESS(476, '13 - Dressers &amp; Chests-WUO_TRK'!A476),_xlfn.TEXTAFTER('13 - Dressers &amp; Chests-WUO_ERR'!A476, ":"))))</f>
        <v/>
      </c>
    </row>
    <row r="477">
      <c r="A477" s="39">
        <f>IF('13 - Dressers &amp; Chests'!B477 = "", "", IF('13 - Dressers &amp; Chests-WUO_ERR'!A477 = "", "Validated", HYPERLINK("#" &amp; ADDRESS(477, '13 - Dressers &amp; Chests-WUO_TRK'!A477),_xlfn.TEXTAFTER('13 - Dressers &amp; Chests-WUO_ERR'!A477, ":"))))</f>
        <v/>
      </c>
    </row>
    <row r="478">
      <c r="A478" s="39">
        <f>IF('13 - Dressers &amp; Chests'!B478 = "", "", IF('13 - Dressers &amp; Chests-WUO_ERR'!A478 = "", "Validated", HYPERLINK("#" &amp; ADDRESS(478, '13 - Dressers &amp; Chests-WUO_TRK'!A478),_xlfn.TEXTAFTER('13 - Dressers &amp; Chests-WUO_ERR'!A478, ":"))))</f>
        <v/>
      </c>
    </row>
    <row r="479">
      <c r="A479" s="39">
        <f>IF('13 - Dressers &amp; Chests'!B479 = "", "", IF('13 - Dressers &amp; Chests-WUO_ERR'!A479 = "", "Validated", HYPERLINK("#" &amp; ADDRESS(479, '13 - Dressers &amp; Chests-WUO_TRK'!A479),_xlfn.TEXTAFTER('13 - Dressers &amp; Chests-WUO_ERR'!A479, ":"))))</f>
        <v/>
      </c>
    </row>
    <row r="480">
      <c r="A480" s="39">
        <f>IF('13 - Dressers &amp; Chests'!B480 = "", "", IF('13 - Dressers &amp; Chests-WUO_ERR'!A480 = "", "Validated", HYPERLINK("#" &amp; ADDRESS(480, '13 - Dressers &amp; Chests-WUO_TRK'!A480),_xlfn.TEXTAFTER('13 - Dressers &amp; Chests-WUO_ERR'!A480, ":"))))</f>
        <v/>
      </c>
    </row>
    <row r="481">
      <c r="A481" s="39">
        <f>IF('13 - Dressers &amp; Chests'!B481 = "", "", IF('13 - Dressers &amp; Chests-WUO_ERR'!A481 = "", "Validated", HYPERLINK("#" &amp; ADDRESS(481, '13 - Dressers &amp; Chests-WUO_TRK'!A481),_xlfn.TEXTAFTER('13 - Dressers &amp; Chests-WUO_ERR'!A481, ":"))))</f>
        <v/>
      </c>
    </row>
    <row r="482">
      <c r="A482" s="39">
        <f>IF('13 - Dressers &amp; Chests'!B482 = "", "", IF('13 - Dressers &amp; Chests-WUO_ERR'!A482 = "", "Validated", HYPERLINK("#" &amp; ADDRESS(482, '13 - Dressers &amp; Chests-WUO_TRK'!A482),_xlfn.TEXTAFTER('13 - Dressers &amp; Chests-WUO_ERR'!A482, ":"))))</f>
        <v/>
      </c>
    </row>
    <row r="483">
      <c r="A483" s="39">
        <f>IF('13 - Dressers &amp; Chests'!B483 = "", "", IF('13 - Dressers &amp; Chests-WUO_ERR'!A483 = "", "Validated", HYPERLINK("#" &amp; ADDRESS(483, '13 - Dressers &amp; Chests-WUO_TRK'!A483),_xlfn.TEXTAFTER('13 - Dressers &amp; Chests-WUO_ERR'!A483, ":"))))</f>
        <v/>
      </c>
    </row>
    <row r="484">
      <c r="A484" s="39">
        <f>IF('13 - Dressers &amp; Chests'!B484 = "", "", IF('13 - Dressers &amp; Chests-WUO_ERR'!A484 = "", "Validated", HYPERLINK("#" &amp; ADDRESS(484, '13 - Dressers &amp; Chests-WUO_TRK'!A484),_xlfn.TEXTAFTER('13 - Dressers &amp; Chests-WUO_ERR'!A484, ":"))))</f>
        <v/>
      </c>
    </row>
    <row r="485">
      <c r="A485" s="39">
        <f>IF('13 - Dressers &amp; Chests'!B485 = "", "", IF('13 - Dressers &amp; Chests-WUO_ERR'!A485 = "", "Validated", HYPERLINK("#" &amp; ADDRESS(485, '13 - Dressers &amp; Chests-WUO_TRK'!A485),_xlfn.TEXTAFTER('13 - Dressers &amp; Chests-WUO_ERR'!A485, ":"))))</f>
        <v/>
      </c>
    </row>
    <row r="486">
      <c r="A486" s="39">
        <f>IF('13 - Dressers &amp; Chests'!B486 = "", "", IF('13 - Dressers &amp; Chests-WUO_ERR'!A486 = "", "Validated", HYPERLINK("#" &amp; ADDRESS(486, '13 - Dressers &amp; Chests-WUO_TRK'!A486),_xlfn.TEXTAFTER('13 - Dressers &amp; Chests-WUO_ERR'!A486, ":"))))</f>
        <v/>
      </c>
    </row>
    <row r="487">
      <c r="A487" s="39">
        <f>IF('13 - Dressers &amp; Chests'!B487 = "", "", IF('13 - Dressers &amp; Chests-WUO_ERR'!A487 = "", "Validated", HYPERLINK("#" &amp; ADDRESS(487, '13 - Dressers &amp; Chests-WUO_TRK'!A487),_xlfn.TEXTAFTER('13 - Dressers &amp; Chests-WUO_ERR'!A487, ":"))))</f>
        <v/>
      </c>
    </row>
    <row r="488">
      <c r="A488" s="39">
        <f>IF('13 - Dressers &amp; Chests'!B488 = "", "", IF('13 - Dressers &amp; Chests-WUO_ERR'!A488 = "", "Validated", HYPERLINK("#" &amp; ADDRESS(488, '13 - Dressers &amp; Chests-WUO_TRK'!A488),_xlfn.TEXTAFTER('13 - Dressers &amp; Chests-WUO_ERR'!A488, ":"))))</f>
        <v/>
      </c>
    </row>
    <row r="489">
      <c r="A489" s="39">
        <f>IF('13 - Dressers &amp; Chests'!B489 = "", "", IF('13 - Dressers &amp; Chests-WUO_ERR'!A489 = "", "Validated", HYPERLINK("#" &amp; ADDRESS(489, '13 - Dressers &amp; Chests-WUO_TRK'!A489),_xlfn.TEXTAFTER('13 - Dressers &amp; Chests-WUO_ERR'!A489, ":"))))</f>
        <v/>
      </c>
    </row>
    <row r="490">
      <c r="A490" s="39">
        <f>IF('13 - Dressers &amp; Chests'!B490 = "", "", IF('13 - Dressers &amp; Chests-WUO_ERR'!A490 = "", "Validated", HYPERLINK("#" &amp; ADDRESS(490, '13 - Dressers &amp; Chests-WUO_TRK'!A490),_xlfn.TEXTAFTER('13 - Dressers &amp; Chests-WUO_ERR'!A490, ":"))))</f>
        <v/>
      </c>
    </row>
    <row r="491">
      <c r="A491" s="39">
        <f>IF('13 - Dressers &amp; Chests'!B491 = "", "", IF('13 - Dressers &amp; Chests-WUO_ERR'!A491 = "", "Validated", HYPERLINK("#" &amp; ADDRESS(491, '13 - Dressers &amp; Chests-WUO_TRK'!A491),_xlfn.TEXTAFTER('13 - Dressers &amp; Chests-WUO_ERR'!A491, ":"))))</f>
        <v/>
      </c>
    </row>
    <row r="492">
      <c r="A492" s="39">
        <f>IF('13 - Dressers &amp; Chests'!B492 = "", "", IF('13 - Dressers &amp; Chests-WUO_ERR'!A492 = "", "Validated", HYPERLINK("#" &amp; ADDRESS(492, '13 - Dressers &amp; Chests-WUO_TRK'!A492),_xlfn.TEXTAFTER('13 - Dressers &amp; Chests-WUO_ERR'!A492, ":"))))</f>
        <v/>
      </c>
    </row>
    <row r="493">
      <c r="A493" s="39">
        <f>IF('13 - Dressers &amp; Chests'!B493 = "", "", IF('13 - Dressers &amp; Chests-WUO_ERR'!A493 = "", "Validated", HYPERLINK("#" &amp; ADDRESS(493, '13 - Dressers &amp; Chests-WUO_TRK'!A493),_xlfn.TEXTAFTER('13 - Dressers &amp; Chests-WUO_ERR'!A493, ":"))))</f>
        <v/>
      </c>
    </row>
    <row r="494">
      <c r="A494" s="39">
        <f>IF('13 - Dressers &amp; Chests'!B494 = "", "", IF('13 - Dressers &amp; Chests-WUO_ERR'!A494 = "", "Validated", HYPERLINK("#" &amp; ADDRESS(494, '13 - Dressers &amp; Chests-WUO_TRK'!A494),_xlfn.TEXTAFTER('13 - Dressers &amp; Chests-WUO_ERR'!A494, ":"))))</f>
        <v/>
      </c>
    </row>
    <row r="495">
      <c r="A495" s="39">
        <f>IF('13 - Dressers &amp; Chests'!B495 = "", "", IF('13 - Dressers &amp; Chests-WUO_ERR'!A495 = "", "Validated", HYPERLINK("#" &amp; ADDRESS(495, '13 - Dressers &amp; Chests-WUO_TRK'!A495),_xlfn.TEXTAFTER('13 - Dressers &amp; Chests-WUO_ERR'!A495, ":"))))</f>
        <v/>
      </c>
    </row>
    <row r="496">
      <c r="A496" s="39">
        <f>IF('13 - Dressers &amp; Chests'!B496 = "", "", IF('13 - Dressers &amp; Chests-WUO_ERR'!A496 = "", "Validated", HYPERLINK("#" &amp; ADDRESS(496, '13 - Dressers &amp; Chests-WUO_TRK'!A496),_xlfn.TEXTAFTER('13 - Dressers &amp; Chests-WUO_ERR'!A496, ":"))))</f>
        <v/>
      </c>
    </row>
    <row r="497">
      <c r="A497" s="39">
        <f>IF('13 - Dressers &amp; Chests'!B497 = "", "", IF('13 - Dressers &amp; Chests-WUO_ERR'!A497 = "", "Validated", HYPERLINK("#" &amp; ADDRESS(497, '13 - Dressers &amp; Chests-WUO_TRK'!A497),_xlfn.TEXTAFTER('13 - Dressers &amp; Chests-WUO_ERR'!A497, ":"))))</f>
        <v/>
      </c>
    </row>
    <row r="498">
      <c r="A498" s="39">
        <f>IF('13 - Dressers &amp; Chests'!B498 = "", "", IF('13 - Dressers &amp; Chests-WUO_ERR'!A498 = "", "Validated", HYPERLINK("#" &amp; ADDRESS(498, '13 - Dressers &amp; Chests-WUO_TRK'!A498),_xlfn.TEXTAFTER('13 - Dressers &amp; Chests-WUO_ERR'!A498, ":"))))</f>
        <v/>
      </c>
    </row>
    <row r="499">
      <c r="A499" s="39">
        <f>IF('13 - Dressers &amp; Chests'!B499 = "", "", IF('13 - Dressers &amp; Chests-WUO_ERR'!A499 = "", "Validated", HYPERLINK("#" &amp; ADDRESS(499, '13 - Dressers &amp; Chests-WUO_TRK'!A499),_xlfn.TEXTAFTER('13 - Dressers &amp; Chests-WUO_ERR'!A499, ":"))))</f>
        <v/>
      </c>
    </row>
    <row r="500">
      <c r="A500" s="39">
        <f>IF('13 - Dressers &amp; Chests'!B500 = "", "", IF('13 - Dressers &amp; Chests-WUO_ERR'!A500 = "", "Validated", HYPERLINK("#" &amp; ADDRESS(500, '13 - Dressers &amp; Chests-WUO_TRK'!A500),_xlfn.TEXTAFTER('13 - Dressers &amp; Chests-WUO_ERR'!A500, ":"))))</f>
        <v/>
      </c>
    </row>
    <row r="501">
      <c r="A501" s="39">
        <f>IF('13 - Dressers &amp; Chests'!B501 = "", "", IF('13 - Dressers &amp; Chests-WUO_ERR'!A501 = "", "Validated", HYPERLINK("#" &amp; ADDRESS(501, '13 - Dressers &amp; Chests-WUO_TRK'!A501),_xlfn.TEXTAFTER('13 - Dressers &amp; Chests-WUO_ERR'!A501, ":"))))</f>
        <v/>
      </c>
    </row>
    <row r="502">
      <c r="A502" s="39">
        <f>IF('13 - Dressers &amp; Chests'!B502 = "", "", IF('13 - Dressers &amp; Chests-WUO_ERR'!A502 = "", "Validated", HYPERLINK("#" &amp; ADDRESS(502, '13 - Dressers &amp; Chests-WUO_TRK'!A502),_xlfn.TEXTAFTER('13 - Dressers &amp; Chests-WUO_ERR'!A502, ":"))))</f>
        <v/>
      </c>
    </row>
    <row r="503">
      <c r="A503" s="39">
        <f>IF('13 - Dressers &amp; Chests'!B503 = "", "", IF('13 - Dressers &amp; Chests-WUO_ERR'!A503 = "", "Validated", HYPERLINK("#" &amp; ADDRESS(503, '13 - Dressers &amp; Chests-WUO_TRK'!A503),_xlfn.TEXTAFTER('13 - Dressers &amp; Chests-WUO_ERR'!A503, ":"))))</f>
        <v/>
      </c>
    </row>
    <row r="504">
      <c r="A504" s="39">
        <f>IF('13 - Dressers &amp; Chests'!B504 = "", "", IF('13 - Dressers &amp; Chests-WUO_ERR'!A504 = "", "Validated", HYPERLINK("#" &amp; ADDRESS(504, '13 - Dressers &amp; Chests-WUO_TRK'!A504),_xlfn.TEXTAFTER('13 - Dressers &amp; Chests-WUO_ERR'!A504, ":"))))</f>
        <v/>
      </c>
    </row>
    <row r="505">
      <c r="A505" s="39">
        <f>IF('13 - Dressers &amp; Chests'!B505 = "", "", IF('13 - Dressers &amp; Chests-WUO_ERR'!A505 = "", "Validated", HYPERLINK("#" &amp; ADDRESS(505, '13 - Dressers &amp; Chests-WUO_TRK'!A505),_xlfn.TEXTAFTER('13 - Dressers &amp; Chests-WUO_ERR'!A505, ":"))))</f>
        <v/>
      </c>
    </row>
    <row r="506">
      <c r="A506" s="39">
        <f>IF('13 - Dressers &amp; Chests'!B506 = "", "", IF('13 - Dressers &amp; Chests-WUO_ERR'!A506 = "", "Validated", HYPERLINK("#" &amp; ADDRESS(506, '13 - Dressers &amp; Chests-WUO_TRK'!A506),_xlfn.TEXTAFTER('13 - Dressers &amp; Chests-WUO_ERR'!A506, ":"))))</f>
        <v/>
      </c>
    </row>
    <row r="507">
      <c r="A507" s="39">
        <f>IF('13 - Dressers &amp; Chests'!B507 = "", "", IF('13 - Dressers &amp; Chests-WUO_ERR'!A507 = "", "Validated", HYPERLINK("#" &amp; ADDRESS(507, '13 - Dressers &amp; Chests-WUO_TRK'!A507),_xlfn.TEXTAFTER('13 - Dressers &amp; Chests-WUO_ERR'!A507, ":"))))</f>
        <v/>
      </c>
    </row>
  </sheetData>
  <sheetProtection selectLockedCells="0" selectUnlockedCells="0" sheet="1" objects="1" insertRows="1" insertHyperlinks="1" autoFilter="1" scenarios="1" formatColumns="0" deleteColumns="1" insertColumns="1" pivotTables="1" deleteRows="1" formatCells="1" formatRows="0" sort="1" password="E8BF"/>
  <mergeCells count="9">
    <mergeCell ref="AL2:AO2"/>
    <mergeCell ref="AP2:AS2"/>
    <mergeCell ref="U2:Z2"/>
    <mergeCell ref="R2:T2"/>
    <mergeCell ref="B2:I2"/>
    <mergeCell ref="BO2:DY2"/>
    <mergeCell ref="AA2:AK2"/>
    <mergeCell ref="AT2:BN2"/>
    <mergeCell ref="J2:Q2"/>
  </mergeCells>
  <conditionalFormatting sqref="A8:A507">
    <cfRule type="expression" priority="5" dxfId="4">
      <formula>A8="Validated"</formula>
    </cfRule>
    <cfRule type="expression" priority="6" dxfId="5">
      <formula>OR(COUNTIF('13 - Dressers &amp; Chests-WUO_TRK'!B8:DZ8,"Error"),COUNTIF('13 - Dressers &amp; Chests-WUO_TRK'!B8:DZ8,"Required"))</formula>
    </cfRule>
    <cfRule type="expression" priority="7" dxfId="6">
      <formula>COUNTIF('13 - Dressers &amp; Chests-WUO_TRK'!B8:DZ8,"Warning")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DZ507">
    <cfRule type="expression" priority="1" dxfId="0">
      <formula>'13 - Dressers &amp; Chests-WUO_TRK'!B8="Error"</formula>
    </cfRule>
    <cfRule type="expression" priority="2" dxfId="1">
      <formula>'13 - Dressers &amp; Chests-WUO_TRK'!B8="Required"</formula>
    </cfRule>
    <cfRule type="expression" priority="3" dxfId="2">
      <formula>'13 - Dressers &amp; Chests-WUO_TRK'!B8="Warning"</formula>
    </cfRule>
    <cfRule type="expression" priority="4" dxfId="3">
      <formula>'13 - Dressers &amp; Chests-WUO_TRK'!B8="Disabled"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21">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'WAYFAIR_USE_ONLY'!$GF$7:$GF14</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Gloss Finish" error="The value provided is not a valid Gloss Finish." promptTitle="Gloss Finish" prompt="Please select a valid Gloss Finish" type="list">
      <formula1>'WAYFAIR_USE_ONLY'!$GG$7:$GG10</formula1>
    </dataValidation>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8:BR2500" showDropDown="0" showInputMessage="1" showErrorMessage="1" allowBlank="1" errorTitle="Invalid Cabinets Included" error="The value provided is not a valid Cabinets Included." promptTitle="Cabinets Included" prompt="Please select a valid Cabinets Included" type="list">
      <formula1>'WAYFAIR_USE_ONLY'!$GH$7:$GH9</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8:BS250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8:BU2500" showDropDown="0" showInputMessage="1" showErrorMessage="1" allowBlank="1" errorTitle="Invalid Interlocking Drawers" error="The value provided is not a valid Interlocking Drawers." promptTitle="Interlocking Drawers" prompt="Please select a valid Interlocking Drawers" type="list">
      <formula1>'WAYFAIR_USE_ONLY'!$GI$7:$GI11</formula1>
    </dataValidation>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8:BV2500" showDropDown="0" showInputMessage="1" showErrorMessage="1" allowBlank="1" errorTitle="Invalid Finished Back" error="The value provided is not a valid Finished Back." promptTitle="Finished Back" prompt="Please select a valid Finished Back" type="list">
      <formula1>'WAYFAIR_USE_ONLY'!$GJ$7:$GJ10</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8:BW2500" showDropDown="0" showInputMessage="1" showErrorMessage="1" allowBlank="1" errorTitle="Invalid Tipover Restraint Device" error="The value provided is not a valid Tipover Restraint Device Included." promptTitle="Tipover Restraint Device Include" prompt="Please select a valid Tipover Restraint Device Included" type="list">
      <formula1>'WAYFAIR_USE_ONLY'!$GK$7:$GK9</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8:BX2500" showDropDown="0" showInputMessage="1" showErrorMessage="1" allowBlank="1" errorTitle="Invalid Lighting Included" error="The value provided is not a valid Lighting Included." promptTitle="Lighting Included" prompt="Please select a valid Lighting Included" type="list">
      <formula1>'WAYFAIR_USE_ONLY'!$GL$7:$GL9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8:BY2500" showDropDown="0" showInputMessage="1" showErrorMessage="1" allowBlank="1" errorTitle="Invalid Plug-In" error="The value provided is not a valid Plug-In." promptTitle="Plug-In" prompt="Please select a valid Plug-In" type="list">
      <formula1>'WAYFAIR_USE_ONLY'!$GM$7:$GM9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8:CC2500" showDropDown="0" showInputMessage="1" showErrorMessage="1" allowBlank="1" errorTitle="Invalid Handle Material" error="The value provided is not a valid Handle Material. Would you like to provide a custom answer?" promptTitle="Handle Material" prompt="Please select a valid Handle Material" type="list" errorStyle="warning">
      <formula1>'WAYFAIR_USE_ONLY'!$GN$7:$GN32</formula1>
    </dataValidation>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8:CD2500" showDropDown="0" showInputMessage="1" showErrorMessage="1" allowBlank="1" errorTitle="Invalid Removable Handle" error="The value provided is not a valid Removable Handle." promptTitle="Removable Handle" prompt="Please select a valid Removable Handle" type="list">
      <formula1>'WAYFAIR_USE_ONLY'!$GO$7:$GO11</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8:CF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'WAYFAIR_USE_ONLY'!$GP$7:$GP26</formula1>
    </dataValidation>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8:CG2500" showDropDown="0" showInputMessage="1" showErrorMessage="1" allowBlank="1" errorTitle="Invalid Kiln-Dried Wood" error="The value provided is not a valid Kiln-Dried Wood." promptTitle="Kiln-Dried Wood" prompt="Please select a valid Kiln-Dried Wood" type="list">
      <formula1>'WAYFAIR_USE_ONLY'!$GQ$7:$GQ11</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8:CJ2500" showDropDown="0" showInputMessage="1" showErrorMessage="1" allowBlank="1" errorTitle="Invalid Removable Drawers" error="The value provided is not a valid Removable Drawers." promptTitle="Removable Drawers" prompt="Please select a valid Removable Drawers" type="list">
      <formula1>'WAYFAIR_USE_ONLY'!$GR$7:$GR11</formula1>
    </dataValidation>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8:CK2500" showDropDown="0" showInputMessage="1" showErrorMessage="1" allowBlank="1" errorTitle="Invalid Unfinished" error="The value provided is not a valid Unfinished." promptTitle="Unfinished" prompt="Please select a valid Unfinished" type="list">
      <formula1>'WAYFAIR_USE_ONLY'!$GS$7:$GS10</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8:CL2500" showDropDown="0" showInputMessage="1" showErrorMessage="1" allowBlank="1" errorTitle="Invalid Lined Interior" error="The value provided is not a valid Lined Interior." promptTitle="Lined Interior" prompt="Please select a valid Lined Interior" type="list">
      <formula1>'WAYFAIR_USE_ONLY'!$GT$7:$GT11</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8:CN2500" showDropDown="0" showInputMessage="1" showErrorMessage="1" allowBlank="1" errorTitle="Invalid Manufactured Wood Type" error="The value provided is not a valid Manufactured Wood Type." promptTitle="Manufactured Wood Type" prompt="Please select a valid Manufactured Wood Type" type="list">
      <formula1>'WAYFAIR_USE_ONLY'!$GU$7:$GU12</formula1>
    </dataValidation>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8:CO2500" showDropDown="0" showInputMessage="1" showErrorMessage="1" allowBlank="1" errorTitle="Invalid Scalloped Edges" error="The value provided is not a valid Scalloped Edges." promptTitle="Scalloped Edges" prompt="Please select a valid Scalloped Edges" type="list">
      <formula1>'WAYFAIR_USE_ONLY'!$GV$7:$GV10</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8:CP2500" showDropDown="0" showInputMessage="1" showErrorMessage="1" allowBlank="1" errorTitle="Invalid Fluted Detailing" error="The value provided is not a valid Fluted Detailing." promptTitle="Fluted Detailing" prompt="Please select a valid Fluted Detailing" type="list">
      <formula1>'WAYFAIR_USE_ONLY'!$GW$7:$GW11</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8:CQ2500" showDropDown="0" showInputMessage="1" showErrorMessage="1" allowBlank="1" errorTitle="Invalid Ribbed Detailing" error="The value provided is not a valid Ribbed Detailing." promptTitle="Ribbed Detailing" prompt="Please select a valid Ribbed Detailing" type="list">
      <formula1>'WAYFAIR_USE_ONLY'!$GX$7:$GX11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Drawer Safety Stop" error="The value provided is not a valid Drawer Safety Stop." promptTitle="Drawer Safety Stop" prompt="Please select a valid Drawer Safety Stop" type="list">
      <formula1>'WAYFAIR_USE_ONLY'!$GY$7:$GY11</formula1>
    </dataValidation>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8:CT2500" showDropDown="0" showInputMessage="1" showErrorMessage="1" allowBlank="1" errorTitle="Invalid Additional Intended Use " error="The value provided is not a valid Additional Intended Use For Child." promptTitle="Additional Intended Use For Chil" prompt="Please select a valid Additional Intended Use For Child" type="list">
      <formula1>'WAYFAIR_USE_ONLY'!$GZ$7:$GZ9</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8:CU2500" showDropDown="0" showInputMessage="1" showErrorMessage="1" allowBlank="1" errorTitle="Invalid Consumer Product Safety " error="The value provided is not a valid Consumer Product Safety Improvement Act (CPSIA) Compliant." promptTitle="Consumer Product Safety Improvem" prompt="Please select a valid Consumer Product Safety Improvement Act (CPSIA) Compliant" type="list">
      <formula1>'WAYFAIR_USE_ONLY'!$HA$7:$HA10</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8:CV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'WAYFAIR_USE_ONLY'!$HB$7:$HB9</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8:CW2500" showDropDown="0" showInputMessage="1" showErrorMessage="1" allowBlank="1" errorTitle="Invalid Children’s Product Certi" error="The value provided is not a valid Children’s Product Certificate (CPC)." promptTitle="Children’s Product Certificate (" prompt="Please select a valid Children’s Product Certificate (CPC)" type="list">
      <formula1>'WAYFAIR_USE_ONLY'!$HC$7:$HC10</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8:CX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'WAYFAIR_USE_ONLY'!$HD$7:$HD10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8:CY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'WAYFAIR_USE_ONLY'!$HH$7:$HH10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8:CZ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'WAYFAIR_USE_ONLY'!$HE$7:$HE10</formula1>
    </dataValidation>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8:DA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'WAYFAIR_USE_ONLY'!$HF$7:$HF10</formula1>
    </dataValidation>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8:DB2500" showDropDown="0" showInputMessage="1" showErrorMessage="1" allowBlank="1" errorTitle="Invalid CANFER Compliant" error="The value provided is not a valid CANFER Compliant." promptTitle="CANFER Compliant" prompt="Please select a valid CANFER Compliant" type="list">
      <formula1>'WAYFAIR_USE_ONLY'!$HG$7:$HG11</formula1>
    </dataValidation>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8:DC2500" showDropDown="0" showInputMessage="1" showErrorMessage="1" allowBlank="1" errorTitle="Invalid Product Stability UL Ver" error="The value provided is not a valid Product Stability UL Verified." promptTitle="Product Stability UL Verified" prompt="Please select a valid Product Stability UL Verified" type="list">
      <formula1>'WAYFAIR_USE_ONLY'!$HI$7:$HI10</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8:DD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'WAYFAIR_USE_ONLY'!$HJ$7:$HJ9</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8:DE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'WAYFAIR_USE_ONLY'!$HK$7:$HK9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8:DG2500" showDropDown="0" showInputMessage="1" showErrorMessage="1" allowBlank="1" errorTitle="Invalid ASTM F2057-23 (STURDY)" error="The value provided is not a valid ASTM F2057-23 (STURDY)." promptTitle="ASTM F2057-23 (STURDY)" prompt="Please select a valid ASTM F2057-23 (STURDY)" type="list">
      <formula1>'WAYFAIR_USE_ONLY'!$HL$7:$HL10</formula1>
    </dataValidation>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8:DH2500" showDropDown="0" showInputMessage="1" showErrorMessage="1" allowBlank="1" errorTitle="Invalid ISTA Certified" error="The value provided is not a valid ISTA Certified." promptTitle="ISTA Certified" prompt="Please select a valid ISTA Certified" type="list">
      <formula1>'WAYFAIR_USE_ONLY'!$HM$7:$HM10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8:DI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'WAYFAIR_USE_ONLY'!$HN$7:$HN11</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8:DJ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'WAYFAIR_USE_ONLY'!$HO$7:$HO10</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8:DK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'WAYFAIR_USE_ONLY'!$HP$7:$HP12</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8:DL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8:DM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8:DN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8:DO2500" showDropDown="0" showInputMessage="1" showErrorMessage="1" allowBlank="0" errorTitle="Invalid Number" error="The value provided is not a valid Number." promptTitle="Drawer Interior Height - Top to " prompt="Please enter Number"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8:DP2500" showDropDown="0" showInputMessage="1" showErrorMessage="1" allowBlank="0" errorTitle="Invalid Number" error="The value provided is not a valid Number." promptTitle="Interior Drawer Depth - Front to" prompt="Please enter Number"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8:DQ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8:DR2500" showDropDown="0" showInputMessage="1" showErrorMessage="1" allowBlank="0" errorTitle="Invalid Number" error="The value provided is not a valid Number." promptTitle="Interior Drawer Width - Side to " prompt="Please enter Number"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8:DS2500" showDropDown="0" showInputMessage="1" showErrorMessage="1" allowBlank="1" errorTitle="Invalid Assembly Required" error="The value provided is not a valid Assembly Required." promptTitle="Assembly Required" prompt="Please select a valid Assembly Required" type="list">
      <formula1>'WAYFAIR_USE_ONLY'!$HQ$7:$HQ9</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8:DT2500" showDropDown="0" showInputMessage="1" showErrorMessage="1" allowBlank="1" errorTitle="Invalid Level of Assembly" error="The value provided is not a valid Level of Assembly." promptTitle="Level of Assembly" prompt="Please select a valid Level of Assembly" type="list">
      <formula1>'WAYFAIR_USE_ONLY'!$HR$7:$HR11</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8:DV2500" showDropDown="0" showInputMessage="1" showErrorMessage="1" allowBlank="1" errorTitle="Invalid Commercial Warranty" error="The value provided is not a valid Commercial Warranty." promptTitle="Commercial Warranty" prompt="Please select a valid Commercial Warranty" type="list">
      <formula1>'WAYFAIR_USE_ONLY'!$HT$7:$HT10</formula1>
    </dataValidation>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8:DW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'WAYFAIR_USE_ONLY'!$HS$7:$HS32</formula1>
    </dataValidation>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8:DX2500" showDropDown="0" showInputMessage="1" showErrorMessage="1" allowBlank="1" errorTitle="Invalid Product Warranty" error="The value provided is not a valid Product Warranty." promptTitle="Product Warranty" prompt="Please select a valid Product Warranty" type="list">
      <formula1>'WAYFAIR_USE_ONLY'!$HU$7:$HU9</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8:DY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'WAYFAIR_USE_ONLY'!$HV$7:$HV11</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DY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f t="array" ref="A8">_xlfn.BYROW(B8:DZ507,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_xlfn.MAP('13 - Dressers &amp; Chests'!B8:B507, '13 - Dressers &amp; Chests'!B8:B507,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IF(OR('13 - Dressers &amp; Chests'!B$7 = "", '13 - Dressers &amp; Chests'!B$7 = "N/A"), "3:Supplier Part Number - Value is required", ""), ""))))))))</f>
        <v/>
      </c>
      <c r="C8" s="22">
        <f t="array" ref="C8">_xlfn.MAP('13 - Dressers &amp; Chests'!B8:B507, '13 - Dressers &amp; Chests'!C8:C507, _xlfn.LAMBDA(_xlpm.part, _xlpm.val, IF(_xlpm.part = "", "", IF(AND(_xlpm.val = "", C$3="Required"), IF(OR('13 - Dressers &amp; Chests'!C$7 = "", '13 - Dressers &amp; Chests'!C$7 = "N/A"), "3:ASIN or Amazon Seller SKU - Value is required", ""), ""))))</f>
        <v/>
      </c>
      <c r="D8" s="22">
        <f t="array" ref="D8">_xlfn.MAP('13 - Dressers &amp; Chests'!B8:B507, '13 - Dressers &amp; Chests'!D8:D507, '13 - Dressers &amp; Chests'!J8:J507, _xlfn.LAMBDA(_xlpm.part, _xlpm.val, _xlpm.dep1, IF(_xlpm.part = "", "", _xlfn.LET(_xlpm.check1, IF(AND(_xlpm.val = "", _xlpm.dep1 = "NON-PRIMARY VARIANT"), "2:Autofill", ""), IF(LEN(_xlpm.check1) &gt; 0, _xlpm.check1, IF(AND(_xlpm.val = "", D$3="Required"), IF(OR('13 - Dressers &amp; Chests'!D$7 = "", '13 - Dressers &amp; Chests'!D$7 = "N/A"), "3:Brand - Value is required", ""), ""))))))</f>
        <v/>
      </c>
      <c r="E8" s="22">
        <f t="array" ref="E8">_xlfn.MAP('13 - Dressers &amp; Chests'!B8:B507, '13 - Dressers &amp; Chests'!E8:E507,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IF(OR('13 - Dressers &amp; Chests'!E$7 = "", '13 - Dressers &amp; Chests'!E$7 = "N/A"), "3:Manufacturer Part Number - Value is required", ""), ""))))))))))</f>
        <v/>
      </c>
      <c r="F8" s="22">
        <f t="array" ref="F8">_xlfn.MAP('13 - Dressers &amp; Chests'!B8:B507, '13 - Dressers &amp; Chests'!F8:F507,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IF(OR('13 - Dressers &amp; Chests'!F$7 = "", '13 - Dressers &amp; Chests'!F$7 = "N/A"), "3:Universal Product Code - Value is required", ""), ""))))))))</f>
        <v/>
      </c>
      <c r="G8" s="22">
        <f t="array" ref="G8">_xlfn.MAP('13 - Dressers &amp; Chests'!B8:B507, '13 - Dressers &amp; Chests'!G8:G507, _xlfn.LAMBDA(_xlpm.part, _xlpm.val, IF(_xlpm.part = "", "", _xlfn.LET(_xlpm.check1, IF(OR(ISNUMBER(SEARCH({"&lt;","&gt;","^","Ø","•","‣","⁃","⁌","™","∙","⌀","◦"}, _xlpm.val))), "1:Product name cannot contain special characters ([™Ø⌀•‣◦⁃⁌⁍∙&lt;&gt;])", ""), IF(LEN(_xlpm.check1) &gt; 0, _xlpm.check1, IF(AND(_xlpm.val = "", G$3="Required"), IF(OR('13 - Dressers &amp; Chests'!G$7 = "", '13 - Dressers &amp; Chests'!G$7 = "N/A"), "3:Product Name - Value is required", ""), ""))))))</f>
        <v/>
      </c>
      <c r="H8" s="22">
        <f t="array" ref="H8">_xlfn.MAP('13 - Dressers &amp; Chests'!B8:B507, '13 - Dressers &amp; Chests'!H8:H507, '13 - Dressers &amp; Chests'!J8:J507, _xlfn.LAMBDA(_xlpm.part, _xlpm.val, _xlpm.dep1, IF(_xlpm.part = "", "", _xlfn.LET(_xlpm.check1, IF(AND(_xlpm.val = "", _xlpm.dep1 = "NON-PRIMARY VARIANT"), "2:Autofill", ""), IF(LEN(_xlpm.check1) &gt; 0, _xlpm.check1, IF(AND(_xlpm.val = "", H$3="Required"), IF(OR('13 - Dressers &amp; Chests'!H$7 = "", '13 - Dressers &amp; Chests'!H$7 = "N/A"), "3:Collection Name - Value is required", ""), ""))))))</f>
        <v/>
      </c>
      <c r="I8" s="22">
        <f t="array" ref="I8">_xlfn.MAP('13 - Dressers &amp; Chests'!B8:B507, '13 - Dressers &amp; Chests'!I8:I507, _xlfn.LAMBDA(_xlpm.part, _xlpm.val, IF(_xlpm.part = "", "", IF(AND(_xlpm.val = "", I$3="Required"), IF(OR('13 - Dressers &amp; Chests'!I$7 = "", '13 - Dressers &amp; Chests'!I$7 = "N/A"), "3:Manufacturer Product URL - Value is required", ""), ""))))</f>
        <v/>
      </c>
      <c r="J8" s="22">
        <f t="array" ref="J8">_xlfn.MAP('13 - Dressers &amp; Chests'!B8:B507, '13 - Dressers &amp; Chests'!J8:J507, _xlfn.LAMBDA(_xlpm.part, _xlpm.val, IF(_xlpm.part = "", "", IF(AND(_xlpm.val = "", J$3="Required"), IF(OR('13 - Dressers &amp; Chests'!J$7 = "", '13 - Dressers &amp; Chests'!J$7 = "N/A"), "3:Variant Type - Value is required", ""), ""))))</f>
        <v/>
      </c>
      <c r="K8" s="22">
        <f t="array" ref="K8">_xlfn.MAP('13 - Dressers &amp; Chests'!B8:B507, '13 - Dressers &amp; Chests'!K8:K507, '13 - Dressers &amp; Chests'!J8:J507,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IF(OR('13 - Dressers &amp; Chests'!K$7 = "", '13 - Dressers &amp; Chests'!K$7 = "N/A"), "3:Group Reference ID - Value is required", ""), ""), IF(LEN(_xlpm.check2) &gt; 0, _xlpm.check2, _xlfn.LET(_xlpm.check3, IF(_xlpm.dep1 = "PRIMARY VARIANT", IF(_xlpm.val = "", IF(OR('13 - Dressers &amp; Chests'!K$7 = "", '13 - Dressers &amp; Chests'!K$7 = "N/A"), "3:Variant Group Reference Id is required for primary-variant", ""), ""), ""), IF(LEN(_xlpm.check3) &gt; 0, _xlpm.check3, IF(_xlpm.dep1 = "NON-PRIMARY VARIANT", IF(_xlpm.val = "", IF(OR('13 - Dressers &amp; Chests'!K$7 = "", '13 - Dressers &amp; Chests'!K$7 = "N/A"), "3:Variant Group Reference Id is required for non-primary variant", ""), ""), ""))))))))))</f>
        <v/>
      </c>
      <c r="L8" s="22">
        <f t="array" ref="L8">_xlfn.MAP('13 - Dressers &amp; Chests'!B8:B507, '13 - Dressers &amp; Chests'!L8:L507,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IF(OR('13 - Dressers &amp; Chests'!L$7 = "", '13 - Dressers &amp; Chests'!L$7 = "N/A"), "3:Variant Grouping - Value is required", ""), ""), IF(LEN(_xlpm.check5) &gt; 0, _xlpm.check5, IF(_xlpm.dep1 = "PRIMARY VARIANT", IF(_xlpm.val = "", IF(OR('13 - Dressers &amp; Chests'!L$7 = "", '13 - Dressers &amp; Chests'!L$7 = "N/A"), "3:Variant grouping value must be specified for primary variant", ""), ""), ""))))))))))))))</f>
        <v/>
      </c>
      <c r="M8" s="22">
        <f t="array" ref="M8">_xlfn.MAP('13 - Dressers &amp; Chests'!B8:B507, '13 - Dressers &amp; Chests'!M8:M507, '13 - Dressers &amp; Chests'!J8:J507, '13 - Dressers &amp; Chests'!L8:L507,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IF(OR('13 - Dressers &amp; Chests'!M$7 = "", '13 - Dressers &amp; Chests'!M$7 = "N/A"), "3:Variant Attribute Name On Site - Value is required", ""), ""), IF(LEN(_xlpm.check3) &gt; 0, _xlpm.check3, _xlfn.LET(_xlpm.check4, IF(AND(_xlpm.dep2 &lt;&gt; "", _xlpm.dep2 &lt;&gt; "Finish", _xlpm.dep2 &lt;&gt; "Assembly"), IF(_xlpm.val = "", IF(OR('13 - Dressers &amp; Chests'!M$7 = "", '13 - Dressers &amp; Chests'!M$7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Chests'!M$7 = "", '13 - Dressers &amp; Chests'!M$7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Chests'!M$7 = "", '13 - Dressers &amp; Chests'!M$7 = "N/A"), "3:Name on site is required when variant grouping value is provided", ""), ""), ""), IF(LEN(_xlpm.check6) &gt; 0, _xlpm.check6, _xlfn.LET(_xlpm.check7, IF(AND(_xlpm.dep2 &lt;&gt; "", _xlpm.dep2 &lt;&gt; "Color"), IF(_xlpm.val = "", IF(OR('13 - Dressers &amp; Chests'!M$7 = "", '13 - Dressers &amp; Chests'!M$7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Chests'!M$7 = "", '13 - Dressers &amp; Chests'!M$7 = "N/A"), "3:Name on site is required when variant grouping value is provided", ""), ""), ""))))))))))))))))))</f>
        <v/>
      </c>
      <c r="N8" s="22">
        <f t="array" ref="N8">_xlfn.MAP('13 - Dressers &amp; Chests'!B8:B507, '13 - Dressers &amp; Chests'!N8:N507,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IF(OR('13 - Dressers &amp; Chests'!N$7 = "", '13 - Dressers &amp; Chests'!N$7 = "N/A"), "3:Variant Grouping - Value is required", ""), ""))))))))))))</f>
        <v/>
      </c>
      <c r="O8" s="22">
        <f t="array" ref="O8">_xlfn.MAP('13 - Dressers &amp; Chests'!B8:B507, '13 - Dressers &amp; Chests'!O8:O507, '13 - Dressers &amp; Chests'!J8:J507, '13 - Dressers &amp; Chests'!N8:N507,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IF(OR('13 - Dressers &amp; Chests'!O$7 = "", '13 - Dressers &amp; Chests'!O$7 = "N/A"), "3:Variant Attribute Name On Site - Value is required", ""), ""), IF(LEN(_xlpm.check3) &gt; 0, _xlpm.check3, _xlfn.LET(_xlpm.check4, IF(AND(_xlpm.dep2 &lt;&gt; "", _xlpm.dep2 &lt;&gt; "Finish", _xlpm.dep2 &lt;&gt; "Assembly"), IF(_xlpm.val = "", IF(OR('13 - Dressers &amp; Chests'!O$7 = "", '13 - Dressers &amp; Chests'!O$7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Chests'!O$7 = "", '13 - Dressers &amp; Chests'!O$7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Chests'!O$7 = "", '13 - Dressers &amp; Chests'!O$7 = "N/A"), "3:Name on site is required when variant grouping value is provided", ""), ""), ""), IF(LEN(_xlpm.check6) &gt; 0, _xlpm.check6, _xlfn.LET(_xlpm.check7, IF(AND(_xlpm.dep2 &lt;&gt; "", _xlpm.dep2 &lt;&gt; "Color"), IF(_xlpm.val = "", IF(OR('13 - Dressers &amp; Chests'!O$7 = "", '13 - Dressers &amp; Chests'!O$7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Chests'!O$7 = "", '13 - Dressers &amp; Chests'!O$7 = "N/A"), "3:Name on site is required when variant grouping value is provided", ""), ""), ""))))))))))))))))))</f>
        <v/>
      </c>
      <c r="P8" s="22">
        <f t="array" ref="P8">_xlfn.MAP('13 - Dressers &amp; Chests'!B8:B507, '13 - Dressers &amp; Chests'!P8:P507,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IF(OR('13 - Dressers &amp; Chests'!P$7 = "", '13 - Dressers &amp; Chests'!P$7 = "N/A"), "3:Variant Grouping - Value is required", ""), ""))))))))))))</f>
        <v/>
      </c>
      <c r="Q8" s="22">
        <f t="array" ref="Q8">_xlfn.MAP('13 - Dressers &amp; Chests'!B8:B507, '13 - Dressers &amp; Chests'!Q8:Q507, '13 - Dressers &amp; Chests'!J8:J507, '13 - Dressers &amp; Chests'!P8:P507,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IF(OR('13 - Dressers &amp; Chests'!Q$7 = "", '13 - Dressers &amp; Chests'!Q$7 = "N/A"), "3:Variant Attribute Name On Site - Value is required", ""), ""), IF(LEN(_xlpm.check3) &gt; 0, _xlpm.check3, _xlfn.LET(_xlpm.check4, IF(AND(_xlpm.dep2 &lt;&gt; "", _xlpm.dep2 &lt;&gt; "Finish", _xlpm.dep2 &lt;&gt; "Assembly"), IF(_xlpm.val = "", IF(OR('13 - Dressers &amp; Chests'!Q$7 = "", '13 - Dressers &amp; Chests'!Q$7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Chests'!Q$7 = "", '13 - Dressers &amp; Chests'!Q$7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Chests'!Q$7 = "", '13 - Dressers &amp; Chests'!Q$7 = "N/A"), "3:Name on site is required when variant grouping value is provided", ""), ""), ""), IF(LEN(_xlpm.check6) &gt; 0, _xlpm.check6, _xlfn.LET(_xlpm.check7, IF(AND(_xlpm.dep2 &lt;&gt; "", _xlpm.dep2 &lt;&gt; "Color"), IF(_xlpm.val = "", IF(OR('13 - Dressers &amp; Chests'!Q$7 = "", '13 - Dressers &amp; Chests'!Q$7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Chests'!Q$7 = "", '13 - Dressers &amp; Chests'!Q$7 = "N/A"), "3:Name on site is required when variant grouping value is provided", ""), ""), ""))))))))))))))))))</f>
        <v/>
      </c>
      <c r="R8" s="22">
        <f t="array" ref="R8">_xlfn.MAP('13 - Dressers &amp; Chests'!B8:B507, '13 - Dressers &amp; Chests'!R8:R507, _xlfn.LAMBDA(_xlpm.part, _xlpm.val, IF(_xlpm.part = "", "", _xlfn.LET(_xlpm.check1, IF(AND(NOT(ISBLANK(_xlpm.val)),OR(NOT(ISNUMBER(IFERROR(VALUE(_xlpm.val), ""))), IFERROR(VALUE(_xlpm.val), -1) &lt; 0)), "1:Base Cost - Value should be numeric", ""), IF(LEN(_xlpm.check1) &gt; 0, _xlpm.check1, IF(AND(_xlpm.val = "", R$3="Required"), IF(OR('13 - Dressers &amp; Chests'!R$7 = "", '13 - Dressers &amp; Chests'!R$7 = "N/A"), "3:Base Cost - Value is required", ""), ""))))))</f>
        <v/>
      </c>
      <c r="S8" s="22">
        <f t="array" ref="S8">_xlfn.MAP('13 - Dressers &amp; Chests'!B8:B507, '13 - Dressers &amp; Chests'!S8:S507, _xlfn.LAMBDA(_xlpm.part, _xlpm.val, IF(_xlpm.part = "", "", _xlfn.LET(_xlpm.check1, IF(AND(NOT(ISBLANK(_xlpm.val)),OR(NOT(ISNUMBER(IFERROR(VALUE(_xlpm.val), ""))), IFERROR(VALUE(_xlpm.val), -1) &lt; 0)), "1:Minimum Advertised Price - Value should be numeric", ""), IF(LEN(_xlpm.check1) &gt; 0, _xlpm.check1, IF(AND(_xlpm.val = "", S$3="Required"), IF(OR('13 - Dressers &amp; Chests'!S$7 = "", '13 - Dressers &amp; Chests'!S$7 = "N/A"), "3:Minimum Advertised Price - Value is required", ""), ""))))))</f>
        <v/>
      </c>
      <c r="T8" s="22">
        <f t="array" ref="T8">_xlfn.MAP('13 - Dressers &amp; Chests'!B8:B507, '13 - Dressers &amp; Chests'!T8:T507,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IF(OR('13 - Dressers &amp; Chests'!T$7 = "", '13 - Dressers &amp; Chests'!T$7 = "N/A"), "3:Manufacturer Suggested Retail Price - Value is required", ""), ""))))))</f>
        <v/>
      </c>
      <c r="U8" s="22">
        <f t="array" ref="U8">_xlfn.MAP('13 - Dressers &amp; Chests'!B8:B507, '13 - Dressers &amp; Chests'!U8:U507, '13 - Dressers &amp; Chests'!J8:J507, '13 - Dressers &amp; Chests'!V8:V507, '13 - Dressers &amp; Chests'!W8:W507, '13 - Dressers &amp; Chests'!X8:X507,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IF(OR('13 - Dressers &amp; Chests'!U$7 = "", '13 - Dressers &amp; Chests'!U$7 = "N/A"), "3:Marketing Copy - Value is required", ""), ""), IF(LEN(_xlpm.check4) &gt; 0, _xlpm.check4, IF(OR(_xlpm.dep2 = "", _xlpm.dep3 = "", _xlpm.dep4 = ""), IF(_xlpm.val = "", IF(OR('13 - Dressers &amp; Chests'!U$7 = "", '13 - Dressers &amp; Chests'!U$7 = "N/A"), "3:Either the Marketing Copy or at least three Feature Bullets are required for this part.", ""), ""), ""))))))))))))</f>
        <v/>
      </c>
      <c r="V8" s="22">
        <f t="array" ref="V8">_xlfn.MAP('13 - Dressers &amp; Chests'!B8:B507, '13 - Dressers &amp; Chests'!V8:V507, '13 - Dressers &amp; Chests'!J8:J507, '13 - Dressers &amp; Chests'!W8:W507, '13 - Dressers &amp; Chests'!X8:X507,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IF(OR('13 - Dressers &amp; Chests'!V$7 = "", '13 - Dressers &amp; Chests'!V$7 = "N/A"), "3:Feature Bullet - Value is required", ""), ""), IF(LEN(_xlpm.check3) &gt; 0, _xlpm.check3, _xlfn.LET(_xlpm.check4, IF(AND(AND(_xlpm.dep2 = "", _xlpm.dep3 = ""), _xlpm.dep4 = ""), IF(_xlpm.val = "", IF(OR('13 - Dressers &amp; Chests'!V$7 = "", '13 - Dressers &amp; Chests'!V$7 = "N/A"), "3:Either the Marketing Copy or at least three Feature Bullets are required for this part.", ""), ""), ""), IF(LEN(_xlpm.check4) &gt; 0, _xlpm.check4, IF(_xlpm.dep4 = "", IF(_xlpm.val = "", IF(OR('13 - Dressers &amp; Chests'!V$7 = "", '13 - Dressers &amp; Chests'!V$7 = "N/A"), "3:Three feature bullets must be filled", ""), ""), ""))))))))))))</f>
        <v/>
      </c>
      <c r="W8" s="22">
        <f t="array" ref="W8">_xlfn.MAP('13 - Dressers &amp; Chests'!B8:B507, '13 - Dressers &amp; Chests'!W8:W507, '13 - Dressers &amp; Chests'!J8:J507, '13 - Dressers &amp; Chests'!V8:V507, '13 - Dressers &amp; Chests'!X8:X507,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IF(OR('13 - Dressers &amp; Chests'!W$7 = "", '13 - Dressers &amp; Chests'!W$7 = "N/A"), "3:Feature Bullet - Value is required", ""), ""), IF(LEN(_xlpm.check3) &gt; 0, _xlpm.check3, _xlfn.LET(_xlpm.check4, IF(AND(AND(_xlpm.dep2 = "", _xlpm.dep3 = ""), _xlpm.dep4 = ""), IF(_xlpm.val = "", IF(OR('13 - Dressers &amp; Chests'!W$7 = "", '13 - Dressers &amp; Chests'!W$7 = "N/A"), "3:Either the Marketing Copy or at least three Feature Bullets are required for this part.", ""), ""), ""), IF(LEN(_xlpm.check4) &gt; 0, _xlpm.check4, IF(_xlpm.dep4 = "", IF(_xlpm.val = "", IF(OR('13 - Dressers &amp; Chests'!W$7 = "", '13 - Dressers &amp; Chests'!W$7 = "N/A"), "3:Three feature bullets must be filled", ""), ""), ""))))))))))))</f>
        <v/>
      </c>
      <c r="X8" s="22">
        <f t="array" ref="X8">_xlfn.MAP('13 - Dressers &amp; Chests'!B8:B507, '13 - Dressers &amp; Chests'!X8:X507, '13 - Dressers &amp; Chests'!J8:J507, '13 - Dressers &amp; Chests'!V8:V507, '13 - Dressers &amp; Chests'!W8:W507,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IF(OR('13 - Dressers &amp; Chests'!X$7 = "", '13 - Dressers &amp; Chests'!X$7 = "N/A"), "3:Feature Bullet - Value is required", ""), ""), IF(LEN(_xlpm.check3) &gt; 0, _xlpm.check3, _xlfn.LET(_xlpm.check4, IF(AND(AND(_xlpm.dep2 = "", _xlpm.dep3 = ""), _xlpm.dep4 = ""), IF(_xlpm.val = "", IF(OR('13 - Dressers &amp; Chests'!X$7 = "", '13 - Dressers &amp; Chests'!X$7 = "N/A"), "3:Either the Marketing Copy or at least three Feature Bullets are required for this part.", ""), ""), ""), IF(LEN(_xlpm.check4) &gt; 0, _xlpm.check4, IF(_xlpm.dep4 = "", IF(_xlpm.val = "", IF(OR('13 - Dressers &amp; Chests'!X$7 = "", '13 - Dressers &amp; Chests'!X$7 = "N/A"), "3:Three feature bullets must be filled", ""), ""), ""))))))))))))</f>
        <v/>
      </c>
      <c r="Y8" s="22">
        <f t="array" ref="Y8">_xlfn.MAP('13 - Dressers &amp; Chests'!B8:B507, '13 - Dressers &amp; Chests'!Y8:Y507, '13 - Dressers &amp; Chests'!J8:J507,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IF(OR('13 - Dressers &amp; Chests'!Y$7 = "", '13 - Dressers &amp; Chests'!Y$7 = "N/A"), "3:Feature Bullet - Value is required", ""), ""))))))))</f>
        <v/>
      </c>
      <c r="Z8" s="22">
        <f t="array" ref="Z8">_xlfn.MAP('13 - Dressers &amp; Chests'!B8:B507, '13 - Dressers &amp; Chests'!Z8:Z507, '13 - Dressers &amp; Chests'!J8:J507,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IF(OR('13 - Dressers &amp; Chests'!Z$7 = "", '13 - Dressers &amp; Chests'!Z$7 = "N/A"), "3:Feature Bullet - Value is required", ""), ""))))))))</f>
        <v/>
      </c>
      <c r="AA8" s="22">
        <f t="array" ref="AA8">_xlfn.MAP('13 - Dressers &amp; Chests'!B8:B507, '13 - Dressers &amp; Chests'!AA8:AA507,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IF(OR('13 - Dressers &amp; Chests'!AA$7 = "", '13 - Dressers &amp; Chests'!AA$7 = "N/A"), "3:Minimum Order Quantity - Value is required", ""), ""))))))))))))</f>
        <v/>
      </c>
      <c r="AB8" s="22">
        <f t="array" ref="AB8">_xlfn.MAP('13 - Dressers &amp; Chests'!B8:B507, '13 - Dressers &amp; Chests'!AB8:AB507,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IF(OR('13 - Dressers &amp; Chests'!AB$7 = "", '13 - Dressers &amp; Chests'!AB$7 = "N/A"), "3:Force Quantity Multiplier - Value is required", ""), ""))))))))))))</f>
        <v/>
      </c>
      <c r="AC8" s="22">
        <f t="array" ref="AC8">_xlfn.MAP('13 - Dressers &amp; Chests'!B8:B507, '13 - Dressers &amp; Chests'!AC8:AC507,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IF(OR('13 - Dressers &amp; Chests'!AC$7 = "", '13 - Dressers &amp; Chests'!AC$7 = "N/A"), "3:Display Set Quantity - Value is required", ""), ""))))))))))))</f>
        <v/>
      </c>
      <c r="AD8" s="22">
        <f t="array" ref="AD8">_xlfn.MAP('13 - Dressers &amp; Chests'!B8:B507, '13 - Dressers &amp; Chests'!AD8:AD507,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IF(OR('13 - Dressers &amp; Chests'!AD$7 = "", '13 - Dressers &amp; Chests'!AD$7 = "N/A"), "3:Product Weight - Value is required", ""), ""))))))))))</f>
        <v/>
      </c>
      <c r="AE8" s="22">
        <f t="array" ref="AE8">_xlfn.MAP('13 - Dressers &amp; Chests'!B8:B507, '13 - Dressers &amp; Chests'!AE8:AE507, '13 - Dressers &amp; Chests'!J8:J507, _xlfn.LAMBDA(_xlpm.part, _xlpm.val, _xlpm.dep1, IF(_xlpm.part = "", "", _xlfn.LET(_xlpm.check1, IF(AND(_xlpm.val = "", _xlpm.dep1 = "NON-PRIMARY VARIANT"), "2:Autofill", ""), IF(LEN(_xlpm.check1) &gt; 0, _xlpm.check1, IF(AND(_xlpm.val = "", AE$3="Required"), IF(OR('13 - Dressers &amp; Chests'!AE$7 = "", '13 - Dressers &amp; Chests'!AE$7 = "N/A"), "3:Ship Type - Value is required", ""), ""))))))</f>
        <v/>
      </c>
      <c r="AF8" s="22">
        <f t="array" ref="AF8">_xlfn.MAP('13 - Dressers &amp; Chests'!B8:B507, '13 - Dressers &amp; Chests'!AF8:AF507, '13 - Dressers &amp; Chests'!J8:J507, _xlfn.LAMBDA(_xlpm.part, _xlpm.val, _xlpm.dep1, IF(_xlpm.part = "", "", _xlfn.LET(_xlpm.check1, IF(AND(_xlpm.val = "", _xlpm.dep1 = "NON-PRIMARY VARIANT"), "2:Autofill", ""), IF(LEN(_xlpm.check1) &gt; 0, _xlpm.check1, IF(AND(_xlpm.val = "", AF$3="Required"), IF(OR('13 - Dressers &amp; Chests'!AF$7 = "", '13 - Dressers &amp; Chests'!AF$7 = "N/A"), "3:Freight Class - Value is required", ""), ""))))))</f>
        <v/>
      </c>
      <c r="AG8" s="22">
        <f t="array" ref="AG8">_xlfn.MAP('13 - Dressers &amp; Chests'!B8:B507, '13 - Dressers &amp; Chests'!AG8:AG507, '13 - Dressers &amp; Chests'!J8:J507, _xlfn.LAMBDA(_xlpm.part, _xlpm.val, _xlpm.dep1, IF(_xlpm.part = "", "", _xlfn.LET(_xlpm.check1, IF(AND(_xlpm.val = "", _xlpm.dep1 = "NON-PRIMARY VARIANT"), "2:Autofill", ""), IF(LEN(_xlpm.check1) &gt; 0, _xlpm.check1, IF(AND(_xlpm.val = "", AG$3="Required"), IF(OR('13 - Dressers &amp; Chests'!AG$7 = "", '13 - Dressers &amp; Chests'!AG$7 = "N/A"), "3:Lead Time - Value is required", ""), ""))))))</f>
        <v/>
      </c>
      <c r="AH8" s="22">
        <f t="array" ref="AH8">_xlfn.MAP('13 - Dressers &amp; Chests'!B8:B507, '13 - Dressers &amp; Chests'!AH8:AH507, '13 - Dressers &amp; Chests'!J8:J507, _xlfn.LAMBDA(_xlpm.part, _xlpm.val, _xlpm.dep1, IF(_xlpm.part = "", "", _xlfn.LET(_xlpm.check1, IF(AND(_xlpm.val = "", _xlpm.dep1 = "NON-PRIMARY VARIANT"), "2:Autofill", ""), IF(LEN(_xlpm.check1) &gt; 0, _xlpm.check1, IF(AND(_xlpm.val = "", AH$3="Required"), IF(OR('13 - Dressers &amp; Chests'!AH$7 = "", '13 - Dressers &amp; Chests'!AH$7 = "N/A"), "3:Replacement Lead Time - Value is required", ""), ""))))))</f>
        <v/>
      </c>
      <c r="AI8" s="22">
        <f t="array" ref="AI8">_xlfn.MAP('13 - Dressers &amp; Chests'!B8:B507, '13 - Dressers &amp; Chests'!AI8:AI507, '13 - Dressers &amp; Chests'!J8:J507,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IF(OR('13 - Dressers &amp; Chests'!AI$7 = "", '13 - Dressers &amp; Chests'!AI$7 = "N/A"), "3:National Motor Freight Class - Value is required", ""), ""))))))))</f>
        <v/>
      </c>
      <c r="AJ8" s="22">
        <f t="array" ref="AJ8">_xlfn.MAP('13 - Dressers &amp; Chests'!B8:B507, '13 - Dressers &amp; Chests'!AJ8:AJ507, '13 - Dressers &amp; Chests'!J8:J507, _xlfn.LAMBDA(_xlpm.part, _xlpm.val, _xlpm.dep1, IF(_xlpm.part = "", "", _xlfn.LET(_xlpm.check1, IF(AND(_xlpm.val = "", _xlpm.dep1 = "NON-PRIMARY VARIANT"), "2:Autofill", ""), IF(LEN(_xlpm.check1) &gt; 0, _xlpm.check1, IF(AND(_xlpm.val = "", AJ$3="Required"), IF(OR('13 - Dressers &amp; Chests'!AJ$7 = "", '13 - Dressers &amp; Chests'!AJ$7 = "N/A"), "3:Flat Pack - Value is required", ""), ""))))))</f>
        <v/>
      </c>
      <c r="AK8" s="22">
        <f t="array" ref="AK8">_xlfn.MAP('13 - Dressers &amp; Chests'!B8:B507, '13 - Dressers &amp; Chests'!AK8:AK507, '13 - Dressers &amp; Chests'!J8:J507, _xlfn.LAMBDA(_xlpm.part, _xlpm.val, _xlpm.dep1, IF(_xlpm.part = "", "", _xlfn.LET(_xlpm.check1, IF(AND(_xlpm.val = "", _xlpm.dep1 = "NON-PRIMARY VARIANT"), "2:Autofill", ""), IF(LEN(_xlpm.check1) &gt; 0, _xlpm.check1, IF(AND(_xlpm.val = "", AK$3="Required"), IF(OR('13 - Dressers &amp; Chests'!AK$7 = "", '13 - Dressers &amp; Chests'!AK$7 = "N/A"), "3:Ship Palletized - Value is required", ""), ""))))))</f>
        <v/>
      </c>
      <c r="AL8" s="22">
        <f t="array" ref="AL8">_xlfn.MAP('13 - Dressers &amp; Chests'!B8:B507, '13 - Dressers &amp; Chests'!AL8:AL507, '13 - Dressers &amp; Chests'!AM8:AM507, '13 - Dressers &amp; Chests'!AN8:AN507, '13 - Dressers &amp; Chests'!AO8:AO507,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IF(OR('13 - Dressers &amp; Chests'!AL$7 = "", '13 - Dressers &amp; Chests'!AL$7 = "N/A"), "3:Carton Weight - Value is required", ""), ""), IF(LEN(_xlpm.check3) &gt; 0, _xlpm.check3, _xlfn.LET(_xlpm.check4, IF(OR(_xlpm.dep1 &lt;&gt; "", _xlpm.dep2 &lt;&gt; "", _xlpm.dep3 &lt;&gt; ""), IF(_xlpm.val = "", IF(OR('13 - Dressers &amp; Chests'!AL$7 = "", '13 - Dressers &amp; Chests'!AL$7 = "N/A"), "3:Shipping weight is required", ""), ""), ""), IF(LEN(_xlpm.check4) &gt; 0, _xlpm.check4, IF(AND(_xlpm.dep3 = "", _xlpm.dep1 = "", _xlpm.dep2 = ""), IF(_xlpm.val = "", IF(OR('13 - Dressers &amp; Chests'!AL$7 = "", '13 - Dressers &amp; Chests'!AL$7 = "N/A"), "3:Shipping weight is required", ""), ""), ""))))))))))))</f>
        <v/>
      </c>
      <c r="AM8" s="22">
        <f t="array" ref="AM8">_xlfn.MAP('13 - Dressers &amp; Chests'!B8:B507, '13 - Dressers &amp; Chests'!AM8:AM507, '13 - Dressers &amp; Chests'!AL8:AL507, '13 - Dressers &amp; Chests'!AN8:AN507, '13 - Dressers &amp; Chests'!AO8:AO507,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IF(OR('13 - Dressers &amp; Chests'!AM$7 = "", '13 - Dressers &amp; Chests'!AM$7 = "N/A"), "3:Carton Height - Value is required", ""), ""), IF(LEN(_xlpm.check3) &gt; 0, _xlpm.check3, _xlfn.LET(_xlpm.check4, IF(OR(_xlpm.dep1 &lt;&gt; "", _xlpm.dep2 &lt;&gt; "", _xlpm.dep3 &lt;&gt; ""), IF(_xlpm.val = "", IF(OR('13 - Dressers &amp; Chests'!AM$7 = "", '13 - Dressers &amp; Chests'!AM$7 = "N/A"), "3:Carton height is required", ""), ""), ""), IF(LEN(_xlpm.check4) &gt; 0, _xlpm.check4, IF(AND(_xlpm.dep1 = "", _xlpm.dep3 = "", _xlpm.dep2 = ""), IF(_xlpm.val = "", IF(OR('13 - Dressers &amp; Chests'!AM$7 = "", '13 - Dressers &amp; Chests'!AM$7 = "N/A"), "3:Carton height is required", ""), ""), ""))))))))))))</f>
        <v/>
      </c>
      <c r="AN8" s="22">
        <f t="array" ref="AN8">_xlfn.MAP('13 - Dressers &amp; Chests'!B8:B507, '13 - Dressers &amp; Chests'!AN8:AN507, '13 - Dressers &amp; Chests'!AL8:AL507, '13 - Dressers &amp; Chests'!AM8:AM507, '13 - Dressers &amp; Chests'!AO8:AO507,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IF(OR('13 - Dressers &amp; Chests'!AN$7 = "", '13 - Dressers &amp; Chests'!AN$7 = "N/A"), "3:Carton Width - Value is required", ""), ""), IF(LEN(_xlpm.check3) &gt; 0, _xlpm.check3, _xlfn.LET(_xlpm.check4, IF(OR(_xlpm.dep1 &lt;&gt; "", _xlpm.dep2 &lt;&gt; "", _xlpm.dep3 &lt;&gt; ""), IF(_xlpm.val = "", IF(OR('13 - Dressers &amp; Chests'!AN$7 = "", '13 - Dressers &amp; Chests'!AN$7 = "N/A"), "3:Carton width is required", ""), ""), ""), IF(LEN(_xlpm.check4) &gt; 0, _xlpm.check4, IF(AND(_xlpm.dep1 = "", _xlpm.dep2 = "", _xlpm.dep3 = ""), IF(_xlpm.val = "", IF(OR('13 - Dressers &amp; Chests'!AN$7 = "", '13 - Dressers &amp; Chests'!AN$7 = "N/A"), "3:Carton width is required", ""), ""), ""))))))))))))</f>
        <v/>
      </c>
      <c r="AO8" s="22">
        <f t="array" ref="AO8">_xlfn.MAP('13 - Dressers &amp; Chests'!B8:B507, '13 - Dressers &amp; Chests'!AO8:AO507, '13 - Dressers &amp; Chests'!AL8:AL507, '13 - Dressers &amp; Chests'!AM8:AM507, '13 - Dressers &amp; Chests'!AN8:AN507,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IF(OR('13 - Dressers &amp; Chests'!AO$7 = "", '13 - Dressers &amp; Chests'!AO$7 = "N/A"), "3:Carton Depth - Value is required", ""), ""), IF(LEN(_xlpm.check3) &gt; 0, _xlpm.check3, _xlfn.LET(_xlpm.check4, IF(OR(_xlpm.dep1 &lt;&gt; "", _xlpm.dep2 &lt;&gt; "", _xlpm.dep3 &lt;&gt; ""), IF(_xlpm.val = "", IF(OR('13 - Dressers &amp; Chests'!AO$7 = "", '13 - Dressers &amp; Chests'!AO$7 = "N/A"), "3:Carton depth is required", ""), ""), ""), IF(LEN(_xlpm.check4) &gt; 0, _xlpm.check4, IF(AND(_xlpm.dep1 = "", _xlpm.dep2 = "", _xlpm.dep3 = ""), IF(_xlpm.val = "", IF(OR('13 - Dressers &amp; Chests'!AO$7 = "", '13 - Dressers &amp; Chests'!AO$7 = "N/A"), "3:Carton depth is required", ""), ""), ""))))))))))))</f>
        <v/>
      </c>
      <c r="AP8" s="22">
        <f t="array" ref="AP8">_xlfn.MAP('13 - Dressers &amp; Chests'!B8:B507, '13 - Dressers &amp; Chests'!AP8:AP507, _xlfn.LAMBDA(_xlpm.part, _xlpm.val, IF(_xlpm.part = "", "", IF(AND(_xlpm.val = "", AP$3="Required"), IF(OR('13 - Dressers &amp; Chests'!AP$7 = "", '13 - Dressers &amp; Chests'!AP$7 = "N/A"), "3:Warning Required - Value is required", ""), ""))))</f>
        <v/>
      </c>
      <c r="AQ8" s="22">
        <f t="array" ref="AQ8">_xlfn.MAP('13 - Dressers &amp; Chests'!B8:B507, '13 - Dressers &amp; Chests'!AQ8:AQ507, '13 - Dressers &amp; Chests'!AR8:AR507, '13 - Dressers &amp; Chests'!AP8:AP507, _xlfn.LAMBDA(_xlpm.part, _xlpm.val, _xlpm.dep1, _xlpm.dep2, IF(_xlpm.part = "", "", _xlfn.LET(_xlpm.check1, IF(AND(_xlpm.val = "", AQ$3="Required"), IF(OR('13 - Dressers &amp; Chests'!AQ$7 = "", '13 - Dressers &amp; Chests'!AQ$7 = "N/A"), "3:Chemical - Value is required", ""), ""), IF(LEN(_xlpm.check1) &gt; 0, _xlpm.check1, _xlfn.LET(_xlpm.check2, IF(_xlpm.dep1 &lt;&gt; "", IF(_xlpm.val = "", IF(OR('13 - Dressers &amp; Chests'!AQ$7 = "", '13 - Dressers &amp; Chests'!AQ$7 = "N/A"), "3:Please provide a chemical", ""), ""), ""), IF(LEN(_xlpm.check2) &gt; 0, _xlpm.check2, IF(_xlpm.dep2 = "Yes", IF(_xlpm.val = "", IF(OR('13 - Dressers &amp; Chests'!AQ$7 = "", '13 - Dressers &amp; Chests'!AQ$7 = "N/A"), "3:If a warning is required, then a chemical must also be provided", ""), ""), ""))))))))</f>
        <v/>
      </c>
      <c r="AR8" s="22">
        <f t="array" ref="AR8">_xlfn.MAP('13 - Dressers &amp; Chests'!B8:B507, '13 - Dressers &amp; Chests'!AR8:AR507, '13 - Dressers &amp; Chests'!AQ8:AQ507, '13 - Dressers &amp; Chests'!AP8:AP507,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IF(OR('13 - Dressers &amp; Chests'!AR$7 = "", '13 - Dressers &amp; Chests'!AR$7 = "N/A"), "3:Toxicity - Value is required", ""), ""), IF(LEN(_xlpm.check2) &gt; 0, _xlpm.check2, _xlfn.LET(_xlpm.check3, IF(_xlpm.dep1 &lt;&gt; "", IF(_xlpm.val = "", IF(OR('13 - Dressers &amp; Chests'!AR$7 = "", '13 - Dressers &amp; Chests'!AR$7 = "N/A"), "3:Please select a toxicity from the provided dropdown", ""), ""), ""), IF(LEN(_xlpm.check3) &gt; 0, _xlpm.check3, IF(_xlpm.dep2 = "Yes", IF(_xlpm.val = "", IF(OR('13 - Dressers &amp; Chests'!AR$7 = "", '13 - Dressers &amp; Chests'!AR$7 = "N/A"), "3:If a warning is required, then a chemical must also be provided", ""), ""), ""))))))))))</f>
        <v/>
      </c>
      <c r="AS8" s="22">
        <f t="array" ref="AS8">_xlfn.MAP('13 - Dressers &amp; Chests'!B8:B507, '13 - Dressers &amp; Chests'!AS8:AS507, '13 - Dressers &amp; Chests'!J8:J507, _xlfn.LAMBDA(_xlpm.part, _xlpm.val, _xlpm.dep1, IF(_xlpm.part = "", "", _xlfn.LET(_xlpm.check1, IF(AND(_xlpm.val = "", _xlpm.dep1 = "NON-PRIMARY VARIANT"), "2:Autofill", ""), IF(LEN(_xlpm.check1) &gt; 0, _xlpm.check1, IF(AND(_xlpm.val = "", AS$3="Required"), IF(OR('13 - Dressers &amp; Chests'!AS$7 = "", '13 - Dressers &amp; Chests'!AS$7 = "N/A"), "3:Country Of Manufacturer - Value is required", ""), ""))))))</f>
        <v/>
      </c>
      <c r="AT8" s="22">
        <f t="array" ref="AT8">_xlfn.MAP('13 - Dressers &amp; Chests'!B8:B507, '13 - Dressers &amp; Chests'!AT8:AT507, _xlfn.LAMBDA(_xlpm.part, _xlpm.val, IF(_xlpm.part = "", "", IF(AND(_xlpm.val = "", AT$3="Required"), IF(OR('13 - Dressers &amp; Chests'!AT$7 = "", '13 - Dressers &amp; Chests'!AT$7 = "N/A"), "3:Image File Name or URL - Value is required", ""), ""))))</f>
        <v/>
      </c>
      <c r="AU8" s="22">
        <f t="array" ref="AU8">_xlfn.MAP('13 - Dressers &amp; Chests'!B8:B507, '13 - Dressers &amp; Chests'!AU8:AU507, _xlfn.LAMBDA(_xlpm.part, _xlpm.val, IF(_xlpm.part = "", "", IF(AND(_xlpm.val = "", AU$3="Required"), IF(OR('13 - Dressers &amp; Chests'!AU$7 = "", '13 - Dressers &amp; Chests'!AU$7 = "N/A"), "3:Image File Name or URL - Value is required", ""), ""))))</f>
        <v/>
      </c>
      <c r="AV8" s="22">
        <f t="array" ref="AV8">_xlfn.MAP('13 - Dressers &amp; Chests'!B8:B507, '13 - Dressers &amp; Chests'!AV8:AV507, _xlfn.LAMBDA(_xlpm.part, _xlpm.val, IF(_xlpm.part = "", "", IF(AND(_xlpm.val = "", AV$3="Required"), IF(OR('13 - Dressers &amp; Chests'!AV$7 = "", '13 - Dressers &amp; Chests'!AV$7 = "N/A"), "3:Image File Name or URL - Value is required", ""), ""))))</f>
        <v/>
      </c>
      <c r="AW8" s="22">
        <f t="array" ref="AW8">_xlfn.MAP('13 - Dressers &amp; Chests'!B8:B507, '13 - Dressers &amp; Chests'!AW8:AW507, _xlfn.LAMBDA(_xlpm.part, _xlpm.val, IF(_xlpm.part = "", "", IF(AND(_xlpm.val = "", AW$3="Required"), IF(OR('13 - Dressers &amp; Chests'!AW$7 = "", '13 - Dressers &amp; Chests'!AW$7 = "N/A"), "3:Image File Name or URL - Value is required", ""), ""))))</f>
        <v/>
      </c>
      <c r="AX8" s="22">
        <f t="array" ref="AX8">_xlfn.MAP('13 - Dressers &amp; Chests'!B8:B507, '13 - Dressers &amp; Chests'!AX8:AX507, _xlfn.LAMBDA(_xlpm.part, _xlpm.val, IF(_xlpm.part = "", "", IF(AND(_xlpm.val = "", AX$3="Required"), IF(OR('13 - Dressers &amp; Chests'!AX$7 = "", '13 - Dressers &amp; Chests'!AX$7 = "N/A"), "3:Image File Name or URL - Value is required", ""), ""))))</f>
        <v/>
      </c>
      <c r="AY8" s="22">
        <f t="array" ref="AY8">_xlfn.MAP('13 - Dressers &amp; Chests'!B8:B507, '13 - Dressers &amp; Chests'!AY8:AY507, _xlfn.LAMBDA(_xlpm.part, _xlpm.val, IF(_xlpm.part = "", "", IF(AND(_xlpm.val = "", AY$3="Required"), IF(OR('13 - Dressers &amp; Chests'!AY$7 = "", '13 - Dressers &amp; Chests'!AY$7 = "N/A"), "3:Video File Name or URL - Value is required", ""), ""))))</f>
        <v/>
      </c>
      <c r="AZ8" s="22">
        <f t="array" ref="AZ8">_xlfn.MAP('13 - Dressers &amp; Chests'!B8:B507, '13 - Dressers &amp; Chests'!AZ8:AZ507, '13 - Dressers &amp; Chests'!BA8:BA507, '13 - Dressers &amp; Chests'!BB8:BB507, '13 - Dressers &amp; Chests'!BC8:BC507, '13 - Dressers &amp; Chests'!BD8:BD507, _xlfn.LAMBDA(_xlpm.part, _xlpm.val, _xlpm.dep1, _xlpm.dep2, _xlpm.dep3, _xlpm.dep4, IF(_xlpm.part = "", "", _xlfn.LET(_xlpm.check1, IF(AND(_xlpm.val = "", AZ$3="Required"), IF(OR('13 - Dressers &amp; Chests'!AZ$7 = "", '13 - Dressers &amp; Chests'!AZ$7 = "N/A"), "3:Document File Name or URL - Value is required", ""), ""), IF(LEN(_xlpm.check1) &gt; 0, _xlpm.check1, IF(OR(_xlpm.dep1 &lt;&gt; "", _xlpm.dep2 &lt;&gt; "", _xlpm.dep3 &lt;&gt; "", _xlpm.dep4 &lt;&gt; ""), IF(_xlpm.val = "", IF(OR('13 - Dressers &amp; Chests'!AZ$7 = "", '13 - Dressers &amp; Chests'!AZ$7 = "N/A"), "3:Document value is required", ""), ""), ""))))))</f>
        <v/>
      </c>
      <c r="BA8" s="22">
        <f t="array" ref="BA8">_xlfn.MAP('13 - Dressers &amp; Chests'!B8:B507, '13 - Dressers &amp; Chests'!BA8:BA507,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IF(OR('13 - Dressers &amp; Chests'!BA$7 = "", '13 - Dressers &amp; Chests'!BA$7 = "N/A"), "3:Document Type - Value is required", ""), ""))))))</f>
        <v/>
      </c>
      <c r="BB8" s="22">
        <f t="array" ref="BB8">_xlfn.MAP('13 - Dressers &amp; Chests'!B8:B507, '13 - Dressers &amp; Chests'!BB8:BB507,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IF(OR('13 - Dressers &amp; Chests'!BB$7 = "", '13 - Dressers &amp; Chests'!BB$7 = "N/A"), "3:Legal Document Type - Value is required", ""), ""))))))</f>
        <v/>
      </c>
      <c r="BC8" s="22">
        <f t="array" ref="BC8">_xlfn.MAP('13 - Dressers &amp; Chests'!B8:B507, '13 - Dressers &amp; Chests'!BC8:BC507, _xlfn.LAMBDA(_xlpm.part, _xlpm.val, IF(_xlpm.part = "", "", IF(AND(_xlpm.val = "", BC$3="Required"), IF(OR('13 - Dressers &amp; Chests'!BC$7 = "", '13 - Dressers &amp; Chests'!BC$7 = "N/A"), "3:Document Region - Value is required", ""), ""))))</f>
        <v/>
      </c>
      <c r="BD8" s="22">
        <f t="array" ref="BD8">_xlfn.MAP('13 - Dressers &amp; Chests'!B8:B507, '13 - Dressers &amp; Chests'!BD8:BD507, _xlfn.LAMBDA(_xlpm.part, _xlpm.val, IF(_xlpm.part = "", "", IF(AND(_xlpm.val = "", BD$3="Required"), IF(OR('13 - Dressers &amp; Chests'!BD$7 = "", '13 - Dressers &amp; Chests'!BD$7 = "N/A"), "3:Document Language - Value is required", ""), ""))))</f>
        <v/>
      </c>
      <c r="BE8" s="22">
        <f t="array" ref="BE8">_xlfn.MAP('13 - Dressers &amp; Chests'!B8:B507, '13 - Dressers &amp; Chests'!BE8:BE507, '13 - Dressers &amp; Chests'!BF8:BF507, '13 - Dressers &amp; Chests'!BG8:BG507, '13 - Dressers &amp; Chests'!BH8:BH507, '13 - Dressers &amp; Chests'!BI8:BI507, _xlfn.LAMBDA(_xlpm.part, _xlpm.val, _xlpm.dep1, _xlpm.dep2, _xlpm.dep3, _xlpm.dep4, IF(_xlpm.part = "", "", _xlfn.LET(_xlpm.check1, IF(AND(_xlpm.val = "", BE$3="Required"), IF(OR('13 - Dressers &amp; Chests'!BE$7 = "", '13 - Dressers &amp; Chests'!BE$7 = "N/A"), "3:Document File Name or URL - Value is required", ""), ""), IF(LEN(_xlpm.check1) &gt; 0, _xlpm.check1, IF(OR(_xlpm.dep1 &lt;&gt; "", _xlpm.dep2 &lt;&gt; "", _xlpm.dep3 &lt;&gt; "", _xlpm.dep4 &lt;&gt; ""), IF(_xlpm.val = "", IF(OR('13 - Dressers &amp; Chests'!BE$7 = "", '13 - Dressers &amp; Chests'!BE$7 = "N/A"), "3:Document value is required", ""), ""), ""))))))</f>
        <v/>
      </c>
      <c r="BF8" s="22">
        <f t="array" ref="BF8">_xlfn.MAP('13 - Dressers &amp; Chests'!B8:B507, '13 - Dressers &amp; Chests'!BF8:BF507,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IF(OR('13 - Dressers &amp; Chests'!BF$7 = "", '13 - Dressers &amp; Chests'!BF$7 = "N/A"), "3:Document Type - Value is required", ""), ""))))))</f>
        <v/>
      </c>
      <c r="BG8" s="22">
        <f t="array" ref="BG8">_xlfn.MAP('13 - Dressers &amp; Chests'!B8:B507, '13 - Dressers &amp; Chests'!BG8:BG507,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IF(OR('13 - Dressers &amp; Chests'!BG$7 = "", '13 - Dressers &amp; Chests'!BG$7 = "N/A"), "3:Legal Document Type - Value is required", ""), ""))))))</f>
        <v/>
      </c>
      <c r="BH8" s="22">
        <f t="array" ref="BH8">_xlfn.MAP('13 - Dressers &amp; Chests'!B8:B507, '13 - Dressers &amp; Chests'!BH8:BH507, _xlfn.LAMBDA(_xlpm.part, _xlpm.val, IF(_xlpm.part = "", "", IF(AND(_xlpm.val = "", BH$3="Required"), IF(OR('13 - Dressers &amp; Chests'!BH$7 = "", '13 - Dressers &amp; Chests'!BH$7 = "N/A"), "3:Document Region - Value is required", ""), ""))))</f>
        <v/>
      </c>
      <c r="BI8" s="22">
        <f t="array" ref="BI8">_xlfn.MAP('13 - Dressers &amp; Chests'!B8:B507, '13 - Dressers &amp; Chests'!BI8:BI507, _xlfn.LAMBDA(_xlpm.part, _xlpm.val, IF(_xlpm.part = "", "", IF(AND(_xlpm.val = "", BI$3="Required"), IF(OR('13 - Dressers &amp; Chests'!BI$7 = "", '13 - Dressers &amp; Chests'!BI$7 = "N/A"), "3:Document Language - Value is required", ""), ""))))</f>
        <v/>
      </c>
      <c r="BJ8" s="22">
        <f t="array" ref="BJ8">_xlfn.MAP('13 - Dressers &amp; Chests'!B8:B507, '13 - Dressers &amp; Chests'!BJ8:BJ507, '13 - Dressers &amp; Chests'!BK8:BK507, '13 - Dressers &amp; Chests'!BL8:BL507, '13 - Dressers &amp; Chests'!BM8:BM507, '13 - Dressers &amp; Chests'!BN8:BN507, _xlfn.LAMBDA(_xlpm.part, _xlpm.val, _xlpm.dep1, _xlpm.dep2, _xlpm.dep3, _xlpm.dep4, IF(_xlpm.part = "", "", _xlfn.LET(_xlpm.check1, IF(AND(_xlpm.val = "", BJ$3="Required"), IF(OR('13 - Dressers &amp; Chests'!BJ$7 = "", '13 - Dressers &amp; Chests'!BJ$7 = "N/A"), "3:Document File Name or URL - Value is required", ""), ""), IF(LEN(_xlpm.check1) &gt; 0, _xlpm.check1, IF(OR(_xlpm.dep1 &lt;&gt; "", _xlpm.dep2 &lt;&gt; "", _xlpm.dep3 &lt;&gt; "", _xlpm.dep4 &lt;&gt; ""), IF(_xlpm.val = "", IF(OR('13 - Dressers &amp; Chests'!BJ$7 = "", '13 - Dressers &amp; Chests'!BJ$7 = "N/A"), "3:Document value is required", ""), ""), ""))))))</f>
        <v/>
      </c>
      <c r="BK8" s="22">
        <f t="array" ref="BK8">_xlfn.MAP('13 - Dressers &amp; Chests'!B8:B507, '13 - Dressers &amp; Chests'!BK8:BK507,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IF(OR('13 - Dressers &amp; Chests'!BK$7 = "", '13 - Dressers &amp; Chests'!BK$7 = "N/A"), "3:Document Type - Value is required", ""), ""))))))</f>
        <v/>
      </c>
      <c r="BL8" s="22">
        <f t="array" ref="BL8">_xlfn.MAP('13 - Dressers &amp; Chests'!B8:B507, '13 - Dressers &amp; Chests'!BL8:BL507,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IF(OR('13 - Dressers &amp; Chests'!BL$7 = "", '13 - Dressers &amp; Chests'!BL$7 = "N/A"), "3:Legal Document Type - Value is required", ""), ""))))))</f>
        <v/>
      </c>
      <c r="BM8" s="22">
        <f t="array" ref="BM8">_xlfn.MAP('13 - Dressers &amp; Chests'!B8:B507, '13 - Dressers &amp; Chests'!BM8:BM507, _xlfn.LAMBDA(_xlpm.part, _xlpm.val, IF(_xlpm.part = "", "", IF(AND(_xlpm.val = "", BM$3="Required"), IF(OR('13 - Dressers &amp; Chests'!BM$7 = "", '13 - Dressers &amp; Chests'!BM$7 = "N/A"), "3:Document Region - Value is required", ""), ""))))</f>
        <v/>
      </c>
      <c r="BN8" s="22">
        <f t="array" ref="BN8">_xlfn.MAP('13 - Dressers &amp; Chests'!B8:B507, '13 - Dressers &amp; Chests'!BN8:BN507, _xlfn.LAMBDA(_xlpm.part, _xlpm.val, IF(_xlpm.part = "", "", IF(AND(_xlpm.val = "", BN$3="Required"), IF(OR('13 - Dressers &amp; Chests'!BN$7 = "", '13 - Dressers &amp; Chests'!BN$7 = "N/A"), "3:Document Language - Value is required", ""), ""))))</f>
        <v/>
      </c>
      <c r="BO8" s="22">
        <f t="array" ref="BO8">_xlfn.MAP('13 - Dressers &amp; Chests'!B8:B507, '13 - Dressers &amp; Chests'!BO8:BO507, _xlfn.LAMBDA(_xlpm.part, _xlpm.val, IF(_xlpm.part = "", "", IF(AND(_xlpm.val = "", BO$3="Required"), IF(OR('13 - Dressers &amp; Chests'!BO$7 = "", '13 - Dressers &amp; Chests'!BO$7 = "N/A"), "3:Product Type - Value is required", ""), ""))))</f>
        <v/>
      </c>
      <c r="BP8" s="22">
        <f t="array" ref="BP8">_xlfn.MAP('13 - Dressers &amp; Chests'!B8:B507, '13 - Dressers &amp; Chests'!BP8:BP507, _xlfn.LAMBDA(_xlpm.part, _xlpm.val, IF(_xlpm.part = "", "", IF(AND(_xlpm.val = "", BP$3="Required"), IF(OR('13 - Dressers &amp; Chests'!BP$7 = "", '13 - Dressers &amp; Chests'!BP$7 = "N/A"), "3:Material - Value is required", ""), ""))))</f>
        <v/>
      </c>
      <c r="BQ8" s="22">
        <f t="array" ref="BQ8">_xlfn.MAP('13 - Dressers &amp; Chests'!B8:B507, '13 - Dressers &amp; Chests'!BQ8:BQ507, _xlfn.LAMBDA(_xlpm.part, _xlpm.val, IF(_xlpm.part = "", "", IF(AND(_xlpm.val = "", BQ$3="Required"), IF(OR('13 - Dressers &amp; Chests'!BQ$7 = "", '13 - Dressers &amp; Chests'!BQ$7 = "N/A"), "3:Gloss Finish - Value is required", ""), ""))))</f>
        <v/>
      </c>
      <c r="BR8" s="22">
        <f t="array" ref="BR8">_xlfn.MAP('13 - Dressers &amp; Chests'!B8:B507, '13 - Dressers &amp; Chests'!BR8:BR507, '13 - Dressers &amp; Chests'!BO8:BO507, _xlfn.LAMBDA(_xlpm.part, _xlpm.val, _xlpm.dep1, IF(_xlpm.part = "", "", _xlfn.LET(_xlpm.check1, IF(AND(_xlpm.val = "", ISNUMBER(SEARCH("Double Dresser", _xlpm.dep1))), "2:Autofill", ""), IF(LEN(_xlpm.check1) &gt; 0, _xlpm.check1, IF(AND(_xlpm.val = "", BR$3="Required"), IF(OR('13 - Dressers &amp; Chests'!BR$7 = "", '13 - Dressers &amp; Chests'!BR$7 = "N/A"), "3:Cabinets Included - Value is required", ""), ""))))))</f>
        <v/>
      </c>
      <c r="BS8" s="22">
        <f t="array" ref="BS8">_xlfn.MAP('13 - Dressers &amp; Chests'!B8:B507, '13 - Dressers &amp; Chests'!BS8:BS507, _xlfn.LAMBDA(_xlpm.part, _xlpm.val, IF(_xlpm.part = "", "", IF(AND(_xlpm.val = "", BS$3="Required"), IF(OR('13 - Dressers &amp; Chests'!BS$7 = "", '13 - Dressers &amp; Chests'!BS$7 = "N/A"), "3:Number of Drawers - Value is required", ""), ""))))</f>
        <v/>
      </c>
      <c r="BT8" s="22">
        <f t="array" ref="BT8">_xlfn.MAP('13 - Dressers &amp; Chests'!B8:B507, '13 - Dressers &amp; Chests'!BT8:BT507, _xlfn.LAMBDA(_xlpm.part, _xlpm.val, IF(_xlpm.part = "", "", IF(AND(_xlpm.val = "", BT$3="Required"), IF(OR('13 - Dressers &amp; Chests'!BT$7 = "", '13 - Dressers &amp; Chests'!BT$7 = "N/A"), "3:Drawer Glide Type &amp; Extension - Value is required", ""), ""))))</f>
        <v/>
      </c>
      <c r="BU8" s="22">
        <f t="array" ref="BU8">_xlfn.MAP('13 - Dressers &amp; Chests'!B8:B507, '13 - Dressers &amp; Chests'!BU8:BU507, _xlfn.LAMBDA(_xlpm.part, _xlpm.val, IF(_xlpm.part = "", "", IF(AND(_xlpm.val = "", BU$3="Required"), IF(OR('13 - Dressers &amp; Chests'!BU$7 = "", '13 - Dressers &amp; Chests'!BU$7 = "N/A"), "3:Interlocking Drawers - Value is required", ""), ""))))</f>
        <v/>
      </c>
      <c r="BV8" s="22">
        <f t="array" ref="BV8">_xlfn.MAP('13 - Dressers &amp; Chests'!B8:B507, '13 - Dressers &amp; Chests'!BV8:BV507, _xlfn.LAMBDA(_xlpm.part, _xlpm.val, IF(_xlpm.part = "", "", IF(AND(_xlpm.val = "", BV$3="Required"), IF(OR('13 - Dressers &amp; Chests'!BV$7 = "", '13 - Dressers &amp; Chests'!BV$7 = "N/A"), "3:Finished Back - Value is required", ""), ""))))</f>
        <v/>
      </c>
      <c r="BW8" s="22">
        <f t="array" ref="BW8">_xlfn.MAP('13 - Dressers &amp; Chests'!B8:B507, '13 - Dressers &amp; Chests'!BW8:BW507, _xlfn.LAMBDA(_xlpm.part, _xlpm.val, IF(_xlpm.part = "", "", IF(AND(_xlpm.val = "", BW$3="Required"), IF(OR('13 - Dressers &amp; Chests'!BW$7 = "", '13 - Dressers &amp; Chests'!BW$7 = "N/A"), "3:Tipover Restraint Device Included - Value is required", ""), ""))))</f>
        <v/>
      </c>
      <c r="BX8" s="22">
        <f t="array" ref="BX8">_xlfn.MAP('13 - Dressers &amp; Chests'!B8:B507, '13 - Dressers &amp; Chests'!BX8:BX507, _xlfn.LAMBDA(_xlpm.part, _xlpm.val, IF(_xlpm.part = "", "", IF(AND(_xlpm.val = "", BX$3="Required"), IF(OR('13 - Dressers &amp; Chests'!BX$7 = "", '13 - Dressers &amp; Chests'!BX$7 = "N/A"), "3:Lighting Included - Value is required", ""), ""))))</f>
        <v/>
      </c>
      <c r="BY8" s="22">
        <f t="array" ref="BY8">_xlfn.MAP('13 - Dressers &amp; Chests'!B8:B507, '13 - Dressers &amp; Chests'!BY8:BY507, _xlfn.LAMBDA(_xlpm.part, _xlpm.val, IF(_xlpm.part = "", "", IF(AND(_xlpm.val = "", BY$3="Required"), IF(OR('13 - Dressers &amp; Chests'!BY$7 = "", '13 - Dressers &amp; Chests'!BY$7 = "N/A"), "3:Plug-In - Value is required", ""), ""))))</f>
        <v/>
      </c>
      <c r="BZ8" s="22">
        <f t="array" ref="BZ8">_xlfn.MAP('13 - Dressers &amp; Chests'!B8:B507, '13 - Dressers &amp; Chests'!BZ8:BZ507, _xlfn.LAMBDA(_xlpm.part, _xlpm.val, IF(_xlpm.part = "", "", IF(AND(_xlpm.val = "", BZ$3="Required"), IF(OR('13 - Dressers &amp; Chests'!BZ$7 = "", '13 - Dressers &amp; Chests'!BZ$7 = "N/A"), "3:Purposeful Distressing Type - Value is required", ""), ""))))</f>
        <v/>
      </c>
      <c r="CA8" s="22">
        <f t="array" ref="CA8">_xlfn.MAP('13 - Dressers &amp; Chests'!B8:B507, '13 - Dressers &amp; Chests'!CA8:CA507, _xlfn.LAMBDA(_xlpm.part, _xlpm.val, IF(_xlpm.part = "", "", IF(AND(_xlpm.val = "", CA$3="Required"), IF(OR('13 - Dressers &amp; Chests'!CA$7 = "", '13 - Dressers &amp; Chests'!CA$7 = "N/A"), "3:Natural Variation Type - Value is required", ""), ""))))</f>
        <v/>
      </c>
      <c r="CB8" s="22">
        <f t="array" ref="CB8">_xlfn.MAP('13 - Dressers &amp; Chests'!B8:B507, '13 - Dressers &amp; Chests'!CB8:CB507, _xlfn.LAMBDA(_xlpm.part, _xlpm.val, IF(_xlpm.part = "", "", _xlfn.LET(_xlpm.check1, IF(NOT(ISBLANK(_xlpm.val)),_xlfn.LET(_xlpm.items, _xlfn.TEXTSPLIT(_xlpm.val, ";"),_xlpm.trimmed, _xlfn.MAP(_xlpm.items, _xlfn.LAMBDA(_xlpm.x, TRIM(_xlpm.x))),_xlpm.invalid, _xlfn._xlws.FILTER(_xlpm.trimmed, ISNA(MATCH(_xlpm.trimmed, allowed223515, 0)), ""),IF(AND(_xlpm.invalid&lt;&gt;"", COUNTA(_xlpm.invalid)&gt;0),"1:Please select valid values from the provided list. Answers are case-sensitive and must be separated by a semicolon.","")), ""), IF(LEN(_xlpm.check1) &gt; 0, _xlpm.check1, IF(AND(_xlpm.val = "", CB$3="Required"), IF(OR('13 - Dressers &amp; Chests'!CB$7 = "", '13 - Dressers &amp; Chests'!CB$7 = "N/A"), "3:Supplier Intended and Approved Use - Value is required", ""), ""))))))</f>
        <v/>
      </c>
      <c r="CC8" s="22">
        <f t="array" ref="CC8">_xlfn.MAP('13 - Dressers &amp; Chests'!B8:B507, '13 - Dressers &amp; Chests'!CC8:CC507, _xlfn.LAMBDA(_xlpm.part, _xlpm.val, IF(_xlpm.part = "", "", IF(AND(_xlpm.val = "", CC$3="Required"), IF(OR('13 - Dressers &amp; Chests'!CC$7 = "", '13 - Dressers &amp; Chests'!CC$7 = "N/A"), "3:Handle Material - Value is required", ""), ""))))</f>
        <v/>
      </c>
      <c r="CD8" s="22">
        <f t="array" ref="CD8">_xlfn.MAP('13 - Dressers &amp; Chests'!B8:B507, '13 - Dressers &amp; Chests'!CD8:CD507, _xlfn.LAMBDA(_xlpm.part, _xlpm.val, IF(_xlpm.part = "", "", IF(AND(_xlpm.val = "", CD$3="Required"), IF(OR('13 - Dressers &amp; Chests'!CD$7 = "", '13 - Dressers &amp; Chests'!CD$7 = "N/A"), "3:Removable Handle - Value is required", ""), ""))))</f>
        <v/>
      </c>
      <c r="CE8" s="22">
        <f t="array" ref="CE8">_xlfn.MAP('13 - Dressers &amp; Chests'!B8:B507, '13 - Dressers &amp; Chests'!CE8:CE507, _xlfn.LAMBDA(_xlpm.part, _xlpm.val, IF(_xlpm.part = "", "", IF(AND(_xlpm.val = "", CE$3="Required"), IF(OR('13 - Dressers &amp; Chests'!CE$7 = "", '13 - Dressers &amp; Chests'!CE$7 = "N/A"), "3:Country of Origin - Additional Details - Value is required", ""), ""))))</f>
        <v/>
      </c>
      <c r="CF8" s="22">
        <f t="array" ref="CF8">_xlfn.MAP('13 - Dressers &amp; Chests'!B8:B507, '13 - Dressers &amp; Chests'!CF8:CF507, _xlfn.LAMBDA(_xlpm.part, _xlpm.val, IF(_xlpm.part = "", "", IF(AND(_xlpm.val = "", CF$3="Required"), IF(OR('13 - Dressers &amp; Chests'!CF$7 = "", '13 - Dressers &amp; Chests'!CF$7 = "N/A"), "3:Main Wood Joinery Method - Value is required", ""), ""))))</f>
        <v/>
      </c>
      <c r="CG8" s="22">
        <f t="array" ref="CG8">_xlfn.MAP('13 - Dressers &amp; Chests'!B8:B507, '13 - Dressers &amp; Chests'!CG8:CG507, _xlfn.LAMBDA(_xlpm.part, _xlpm.val, IF(_xlpm.part = "", "", IF(AND(_xlpm.val = "", CG$3="Required"), IF(OR('13 - Dressers &amp; Chests'!CG$7 = "", '13 - Dressers &amp; Chests'!CG$7 = "N/A"), "3:Kiln-Dried Wood - Value is required", ""), ""))))</f>
        <v/>
      </c>
      <c r="CH8" s="22">
        <f t="array" ref="CH8">_xlfn.MAP('13 - Dressers &amp; Chests'!B8:B507, '13 - Dressers &amp; Chests'!CH8:CH507, _xlfn.LAMBDA(_xlpm.part, _xlpm.val, IF(_xlpm.part = "", "", _xlfn.LET(_xlpm.check1, IF(NOT(ISBLANK(_xlpm.val)),_xlfn.LET(_xlpm.items, _xlfn.TEXTSPLIT(_xlpm.val, ";"),_xlpm.trimmed, _xlfn.MAP(_xlpm.items, _xlfn.LAMBDA(_xlpm.x, TRIM(_xlpm.x))),_xlpm.invalid, _xlfn._xlws.FILTER(_xlpm.trimmed, ISNA(MATCH(_xlpm.trimmed, allowed185257, 0)), ""),IF(AND(_xlpm.invalid&lt;&gt;"", COUNTA(_xlpm.invalid)&gt;0),"1:Please select valid values from the provided list. Answers are case-sensitive and must be separated by a semicolon.","")), ""), IF(LEN(_xlpm.check1) &gt; 0, _xlpm.check1, IF(AND(_xlpm.val = "", CH$3="Required"), IF(OR('13 - Dressers &amp; Chests'!CH$7 = "", '13 - Dressers &amp; Chests'!CH$7 = "N/A"), "3:Wood Species - Value is required", ""), ""))))))</f>
        <v/>
      </c>
      <c r="CI8" s="22">
        <f t="array" ref="CI8">_xlfn.MAP('13 - Dressers &amp; Chests'!B8:B507, '13 - Dressers &amp; Chests'!CI8:CI507, _xlfn.LAMBDA(_xlpm.part, _xlpm.val, IF(_xlpm.part = "", "", IF(AND(_xlpm.val = "", CI$3="Required"), IF(OR('13 - Dressers &amp; Chests'!CI$7 = "", '13 - Dressers &amp; Chests'!CI$7 = "N/A"), "3:Product Care - Value is required", ""), ""))))</f>
        <v/>
      </c>
      <c r="CJ8" s="22">
        <f t="array" ref="CJ8">_xlfn.MAP('13 - Dressers &amp; Chests'!B8:B507, '13 - Dressers &amp; Chests'!CJ8:CJ507, _xlfn.LAMBDA(_xlpm.part, _xlpm.val, IF(_xlpm.part = "", "", IF(AND(_xlpm.val = "", CJ$3="Required"), IF(OR('13 - Dressers &amp; Chests'!CJ$7 = "", '13 - Dressers &amp; Chests'!CJ$7 = "N/A"), "3:Removable Drawers - Value is required", ""), ""))))</f>
        <v/>
      </c>
      <c r="CK8" s="22">
        <f t="array" ref="CK8">_xlfn.MAP('13 - Dressers &amp; Chests'!B8:B507, '13 - Dressers &amp; Chests'!CK8:CK507, _xlfn.LAMBDA(_xlpm.part, _xlpm.val, IF(_xlpm.part = "", "", IF(AND(_xlpm.val = "", CK$3="Required"), IF(OR('13 - Dressers &amp; Chests'!CK$7 = "", '13 - Dressers &amp; Chests'!CK$7 = "N/A"), "3:Unfinished - Value is required", ""), ""))))</f>
        <v/>
      </c>
      <c r="CL8" s="22">
        <f t="array" ref="CL8">_xlfn.MAP('13 - Dressers &amp; Chests'!B8:B507, '13 - Dressers &amp; Chests'!CL8:CL507, _xlfn.LAMBDA(_xlpm.part, _xlpm.val, IF(_xlpm.part = "", "", IF(AND(_xlpm.val = "", CL$3="Required"), IF(OR('13 - Dressers &amp; Chests'!CL$7 = "", '13 - Dressers &amp; Chests'!CL$7 = "N/A"), "3:Lined Interior - Value is required", ""), ""))))</f>
        <v/>
      </c>
      <c r="CM8" s="22">
        <f t="array" ref="CM8">_xlfn.MAP('13 - Dressers &amp; Chests'!B8:B507, '13 - Dressers &amp; Chests'!CM8:CM507, _xlfn.LAMBDA(_xlpm.part, _xlpm.val, IF(_xlpm.part = "", "", IF(AND(_xlpm.val = "", CM$3="Required"), IF(OR('13 - Dressers &amp; Chests'!CM$7 = "", '13 - Dressers &amp; Chests'!CM$7 = "N/A"), "3:Color - Value is required", ""), ""))))</f>
        <v/>
      </c>
      <c r="CN8" s="22">
        <f t="array" ref="CN8">_xlfn.MAP('13 - Dressers &amp; Chests'!B8:B507, '13 - Dressers &amp; Chests'!CN8:CN507, _xlfn.LAMBDA(_xlpm.part, _xlpm.val, IF(_xlpm.part = "", "", IF(AND(_xlpm.val = "", CN$3="Required"), IF(OR('13 - Dressers &amp; Chests'!CN$7 = "", '13 - Dressers &amp; Chests'!CN$7 = "N/A"), "3:Manufactured Wood Type - Value is required", ""), ""))))</f>
        <v/>
      </c>
      <c r="CO8" s="22">
        <f t="array" ref="CO8">_xlfn.MAP('13 - Dressers &amp; Chests'!B8:B507, '13 - Dressers &amp; Chests'!CO8:CO507, _xlfn.LAMBDA(_xlpm.part, _xlpm.val, IF(_xlpm.part = "", "", IF(AND(_xlpm.val = "", CO$3="Required"), IF(OR('13 - Dressers &amp; Chests'!CO$7 = "", '13 - Dressers &amp; Chests'!CO$7 = "N/A"), "3:Scalloped Edges - Value is required", ""), ""))))</f>
        <v/>
      </c>
      <c r="CP8" s="22">
        <f t="array" ref="CP8">_xlfn.MAP('13 - Dressers &amp; Chests'!B8:B507, '13 - Dressers &amp; Chests'!CP8:CP507, _xlfn.LAMBDA(_xlpm.part, _xlpm.val, IF(_xlpm.part = "", "", IF(AND(_xlpm.val = "", CP$3="Required"), IF(OR('13 - Dressers &amp; Chests'!CP$7 = "", '13 - Dressers &amp; Chests'!CP$7 = "N/A"), "3:Fluted Detailing - Value is required", ""), ""))))</f>
        <v/>
      </c>
      <c r="CQ8" s="22">
        <f t="array" ref="CQ8">_xlfn.MAP('13 - Dressers &amp; Chests'!B8:B507, '13 - Dressers &amp; Chests'!CQ8:CQ507, _xlfn.LAMBDA(_xlpm.part, _xlpm.val, IF(_xlpm.part = "", "", IF(AND(_xlpm.val = "", CQ$3="Required"), IF(OR('13 - Dressers &amp; Chests'!CQ$7 = "", '13 - Dressers &amp; Chests'!CQ$7 = "N/A"), "3:Ribbed Detailing - Value is required", ""), ""))))</f>
        <v/>
      </c>
      <c r="CR8" s="22">
        <f t="array" ref="CR8">_xlfn.MAP('13 - Dressers &amp; Chests'!B8:B507, '13 - Dressers &amp; Chests'!CR8:CR507, _xlfn.LAMBDA(_xlpm.part, _xlpm.val, IF(_xlpm.part = "", "", _xlfn.LET(_xlpm.check1, IF(NOT(ISBLANK(_xlpm.val)),_xlfn.LET(_xlpm.items, _xlfn.TEXTSPLIT(_xlpm.val, ";"),_xlpm.trimmed, _xlfn.MAP(_xlpm.items, _xlfn.LAMBDA(_xlpm.x, TRIM(_xlpm.x))),_xlpm.invalid, _xlfn._xlws.FILTER(_xlpm.trimmed, ISNA(MATCH(_xlpm.trimmed, allowed420142, 0)), ""),IF(AND(_xlpm.invalid&lt;&gt;"", COUNTA(_xlpm.invalid)&gt;0),"1:Please select valid values from the provided list. Answers are case-sensitive and must be separated by a semicolon.","")), ""), IF(LEN(_xlpm.check1) &gt; 0, _xlpm.check1, IF(AND(_xlpm.val = "", CR$3="Required"), IF(OR('13 - Dressers &amp; Chests'!CR$7 = "", '13 - Dressers &amp; Chests'!CR$7 = "N/A"), "3:Pieces Included - Value is required", ""), ""))))))</f>
        <v/>
      </c>
      <c r="CS8" s="22">
        <f t="array" ref="CS8">_xlfn.MAP('13 - Dressers &amp; Chests'!B8:B507, '13 - Dressers &amp; Chests'!CS8:CS507, _xlfn.LAMBDA(_xlpm.part, _xlpm.val, IF(_xlpm.part = "", "", IF(AND(_xlpm.val = "", CS$3="Required"), IF(OR('13 - Dressers &amp; Chests'!CS$7 = "", '13 - Dressers &amp; Chests'!CS$7 = "N/A"), "3:Drawer Safety Stop - Value is required", ""), ""))))</f>
        <v/>
      </c>
      <c r="CT8" s="22">
        <f t="array" ref="CT8">_xlfn.MAP('13 - Dressers &amp; Chests'!B8:B507, '13 - Dressers &amp; Chests'!CT8:CT507, _xlfn.LAMBDA(_xlpm.part, _xlpm.val, IF(_xlpm.part = "", "", IF(AND(_xlpm.val = "", CT$3="Required"), IF(OR('13 - Dressers &amp; Chests'!CT$7 = "", '13 - Dressers &amp; Chests'!CT$7 = "N/A"), "3:Additional Intended Use For Child - Value is required", ""), ""))))</f>
        <v/>
      </c>
      <c r="CU8" s="22">
        <f t="array" ref="CU8">_xlfn.MAP('13 - Dressers &amp; Chests'!B8:B507, '13 - Dressers &amp; Chests'!CU8:CU507, '13 - Dressers &amp; Chests'!CT8:CT507,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CU$3="Required"), IF(OR('13 - Dressers &amp; Chests'!CU$7 = "", '13 - Dressers &amp; Chests'!CU$7 = "N/A"), "3:Consumer Product Safety Improvement Act (CPSIA) Compliant - Value is required", ""), ""))))))))</f>
        <v/>
      </c>
      <c r="CV8" s="22">
        <f t="array" ref="CV8">_xlfn.MAP('13 - Dressers &amp; Chests'!B8:B507, '13 - Dressers &amp; Chests'!CV8:CV507, '13 - Dressers &amp; Chests'!CU8:CU507, _xlfn.LAMBDA(_xlpm.part, _xlpm.val, _xlpm.dep1, IF(_xlpm.part = "", "", _xlfn.LET(_xlpm.check1, IF(AND(_xlpm.val = "", _xlpm.dep1 = "Yes"), "2:Autofill", ""), IF(LEN(_xlpm.check1) &gt; 0, _xlpm.check1, _xlfn.LET(_xlpm.check2, IF(_xlpm.dep1 = "Yes", IF(_xlpm.val &lt;&gt; "Yes", "1:Based on Consumer Product Safety Improvement Act (CPSIA) Compliant, value should be Yes", ""), ""), IF(LEN(_xlpm.check2) &gt; 0, _xlpm.check2, IF(AND(_xlpm.val = "", CV$3="Required"), IF(OR('13 - Dressers &amp; Chests'!CV$7 = "", '13 - Dressers &amp; Chests'!CV$7 = "N/A"), "3:CPSC - 16 CFR 1303 Compliant - Value is required", ""), ""))))))))</f>
        <v/>
      </c>
      <c r="CW8" s="22">
        <f t="array" ref="CW8">_xlfn.MAP('13 - Dressers &amp; Chests'!B8:B507, '13 - Dressers &amp; Chests'!CW8:CW507, '13 - Dressers &amp; Chests'!CT8:CT507,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CW$3="Required"), IF(OR('13 - Dressers &amp; Chests'!CW$7 = "", '13 - Dressers &amp; Chests'!CW$7 = "N/A"), "3:Children’s Product Certificate (CPC) - Value is required", ""), ""))))))))</f>
        <v/>
      </c>
      <c r="CX8" s="22">
        <f t="array" ref="CX8">_xlfn.MAP('13 - Dressers &amp; Chests'!B8:B507, '13 - Dressers &amp; Chests'!CX8:CX507, '13 - Dressers &amp; Chests'!CW8:CW507, _xlfn.LAMBDA(_xlpm.part, _xlpm.val, _xlpm.dep1, IF(_xlpm.part = "", "", _xlfn.LET(_xlpm.check1, IF(AND(_xlpm.val = "", _xlpm.dep1 = "Yes"), "2:Autofill", ""), IF(LEN(_xlpm.check1) &gt; 0, _xlpm.check1, IF(AND(_xlpm.val = "", CX$3="Required"), IF(OR('13 - Dressers &amp; Chests'!CX$7 = "", '13 - Dressers &amp; Chests'!CX$7 = "N/A"), "3:General Certificate of Conformity (GCC) - Value is required", ""), ""))))))</f>
        <v/>
      </c>
      <c r="CY8" s="22">
        <f t="array" ref="CY8">_xlfn.MAP('13 - Dressers &amp; Chests'!B8:B507, '13 - Dressers &amp; Chests'!CY8:CY507, _xlfn.LAMBDA(_xlpm.part, _xlpm.val, IF(_xlpm.part = "", "", IF(AND(_xlpm.val = "", CY$3="Required"), IF(OR('13 - Dressers &amp; Chests'!CY$7 = "", '13 - Dressers &amp; Chests'!CY$7 = "N/A"), "3:Composite Wood Product (CWP) - Value is required", ""), ""))))</f>
        <v/>
      </c>
      <c r="CZ8" s="22">
        <f t="array" ref="CZ8">_xlfn.MAP('13 - Dressers &amp; Chests'!B8:B507, '13 - Dressers &amp; Chests'!CZ8:CZ507,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Chests'!CZ$7 = "", '13 - Dressers &amp; Chests'!CZ$7 = "N/A"), "3:Since Composite Wood Product (CWP) equals 'Yes', this field is required", ""), ""), ""), IF(LEN(_xlpm.check4) &gt; 0, _xlpm.check4, IF(AND(_xlpm.val = "", CZ$3="Required"), IF(OR('13 - Dressers &amp; Chests'!CZ$7 = "", '13 - Dressers &amp; Chests'!CZ$7 = "N/A"), "3:CARB Phase II Compliant (formaldehyde emissions) - Value is required", ""), ""))))))))))))</f>
        <v/>
      </c>
      <c r="DA8" s="22">
        <f t="array" ref="DA8">_xlfn.MAP('13 - Dressers &amp; Chests'!B8:B507, '13 - Dressers &amp; Chests'!DA8:DA507,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Chests'!DA$7 = "", '13 - Dressers &amp; Chests'!DA$7 = "N/A"), "3:Since Composite Wood Product (CWP) equals 'Yes', this field is required", ""), ""), ""), IF(LEN(_xlpm.check4) &gt; 0, _xlpm.check4, IF(AND(_xlpm.val = "", DA$3="Required"), IF(OR('13 - Dressers &amp; Chests'!DA$7 = "", '13 - Dressers &amp; Chests'!DA$7 = "N/A"), "3:TSCA Title VI Compliant (formaldehyde emissions) - Value is required", ""), ""))))))))))))</f>
        <v/>
      </c>
      <c r="DB8" s="22">
        <f t="array" ref="DB8">_xlfn.MAP('13 - Dressers &amp; Chests'!B8:B507, '13 - Dressers &amp; Chests'!DB8:DB507,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Chests'!DB$7 = "", '13 - Dressers &amp; Chests'!DB$7 = "N/A"), "3:Since Composite Wood Product (CWP) equals 'Yes', this field is required", ""), ""), ""), IF(LEN(_xlpm.check4) &gt; 0, _xlpm.check4, IF(AND(_xlpm.val = "", DB$3="Required"), IF(OR('13 - Dressers &amp; Chests'!DB$7 = "", '13 - Dressers &amp; Chests'!DB$7 = "N/A"), "3:CANFER Compliant - Value is required", ""), ""))))))))))))</f>
        <v/>
      </c>
      <c r="DC8" s="22">
        <f t="array" ref="DC8">_xlfn.MAP('13 - Dressers &amp; Chests'!B8:B507, '13 - Dressers &amp; Chests'!DC8:DC507, _xlfn.LAMBDA(_xlpm.part, _xlpm.val, IF(_xlpm.part = "", "", IF(AND(_xlpm.val = "", DC$3="Required"), IF(OR('13 - Dressers &amp; Chests'!DC$7 = "", '13 - Dressers &amp; Chests'!DC$7 = "N/A"), "3:Product Stability UL Verified - Value is required", ""), ""))))</f>
        <v/>
      </c>
      <c r="DD8" s="22">
        <f t="array" ref="DD8">_xlfn.MAP('13 - Dressers &amp; Chests'!B8:B507, '13 - Dressers &amp; Chests'!DD8:DD507, _xlfn.LAMBDA(_xlpm.part, _xlpm.val, IF(_xlpm.part = "", "", IF(AND(_xlpm.val = "", DD$3="Required"), IF(OR('13 - Dressers &amp; Chests'!DD$7 = "", '13 - Dressers &amp; Chests'!DD$7 = "N/A"), "3:Uniform Packaging and Labeling Regulations (UPLR) Compliant - Value is required", ""), ""))))</f>
        <v/>
      </c>
      <c r="DE8" s="22">
        <f t="array" ref="DE8">_xlfn.MAP('13 - Dressers &amp; Chests'!B8:B507, '13 - Dressers &amp; Chests'!DE8:DE507, _xlfn.LAMBDA(_xlpm.part, _xlpm.val, IF(_xlpm.part = "", "", IF(AND(_xlpm.val = "", DE$3="Required"), IF(OR('13 - Dressers &amp; Chests'!DE$7 = "", '13 - Dressers &amp; Chests'!DE$7 = "N/A"), "3:Canada Product Restriction - Value is required", ""), ""))))</f>
        <v/>
      </c>
      <c r="DF8" s="22">
        <f t="array" ref="DF8">_xlfn.MAP('13 - Dressers &amp; Chests'!B8:B507, '13 - Dressers &amp; Chests'!DF8:DF507, '13 - Dressers &amp; Chests'!DE8:DE507,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allowed251022, 0)), ""),IF(AND(_xlpm.invalid&lt;&gt;"", COUNTA(_xlpm.invalid)&gt;0),"1:Please select valid values from the provided list. Answers are case-sensitive and must be separated by a semicolon.","")), ""), IF(LEN(_xlpm.check3) &gt; 0, _xlpm.check3, _xlfn.LET(_xlpm.check4, IF(_xlpm.dep1 = "Yes", IF(_xlpm.val = "", IF(OR('13 - Dressers &amp; Chests'!DF$7 = "", '13 - Dressers &amp; Chests'!DF$7 = "N/A"), "3:Since Canada Product Restriction equals 'Yes', this field is required", ""), ""), ""), IF(LEN(_xlpm.check4) &gt; 0, _xlpm.check4, IF(AND(_xlpm.val = "", DF$3="Required"), IF(OR('13 - Dressers &amp; Chests'!DF$7 = "", '13 - Dressers &amp; Chests'!DF$7 = "N/A"), "3:Reason for Restriction - Value is required", ""), ""))))))))))))</f>
        <v/>
      </c>
      <c r="DG8" s="22">
        <f t="array" ref="DG8">_xlfn.MAP('13 - Dressers &amp; Chests'!B8:B507, '13 - Dressers &amp; Chests'!DG8:DG507, _xlfn.LAMBDA(_xlpm.part, _xlpm.val, IF(_xlpm.part = "", "", IF(AND(_xlpm.val = "", DG$3="Required"), IF(OR('13 - Dressers &amp; Chests'!DG$7 = "", '13 - Dressers &amp; Chests'!DG$7 = "N/A"), "3:ASTM F2057-23 (STURDY) - Value is required", ""), ""))))</f>
        <v/>
      </c>
      <c r="DH8" s="22">
        <f t="array" ref="DH8">_xlfn.MAP('13 - Dressers &amp; Chests'!B8:B507, '13 - Dressers &amp; Chests'!DH8:DH507, _xlfn.LAMBDA(_xlpm.part, _xlpm.val, IF(_xlpm.part = "", "", IF(AND(_xlpm.val = "", DH$3="Required"), IF(OR('13 - Dressers &amp; Chests'!DH$7 = "", '13 - Dressers &amp; Chests'!DH$7 = "N/A"), "3:ISTA Certified - Value is required", ""), ""))))</f>
        <v/>
      </c>
      <c r="DI8" s="22">
        <f t="array" ref="DI8">_xlfn.MAP('13 - Dressers &amp; Chests'!B8:B507, '13 - Dressers &amp; Chests'!DI8:DI507, _xlfn.LAMBDA(_xlpm.part, _xlpm.val, IF(_xlpm.part = "", "", IF(AND(_xlpm.val = "", DI$3="Required"), IF(OR('13 - Dressers &amp; Chests'!DI$7 = "", '13 - Dressers &amp; Chests'!DI$7 = "N/A"), "3:California AB-1817 Compliant (CA PFAS) - Value is required", ""), ""))))</f>
        <v/>
      </c>
      <c r="DJ8" s="22">
        <f t="array" ref="DJ8">_xlfn.MAP('13 - Dressers &amp; Chests'!B8:B507, '13 - Dressers &amp; Chests'!DJ8:DJ507, _xlfn.LAMBDA(_xlpm.part, _xlpm.val, IF(_xlpm.part = "", "", IF(AND(_xlpm.val = "", DJ$3="Required"), IF(OR('13 - Dressers &amp; Chests'!DJ$7 = "", '13 - Dressers &amp; Chests'!DJ$7 = "N/A"), "3:Sustainability &amp; Social Responsibility Certifications (North America Only) - Value is required", ""), ""))))</f>
        <v/>
      </c>
      <c r="DK8" s="22">
        <f t="array" ref="DK8">_xlfn.MAP('13 - Dressers &amp; Chests'!B8:B507, '13 - Dressers &amp; Chests'!DK8:DK507, _xlfn.LAMBDA(_xlpm.part, _xlpm.val, IF(_xlpm.part = "", "", IF(AND(_xlpm.val = "", DK$3="Required"), IF(OR('13 - Dressers &amp; Chests'!DK$7 = "", '13 - Dressers &amp; Chests'!DK$7 = "N/A"), "3:Commercial Certifications - Value is required", ""), ""))))</f>
        <v/>
      </c>
      <c r="DL8" s="22">
        <f t="array" ref="DL8">_xlfn.MAP('13 - Dressers &amp; Chests'!B8:B507, '13 - Dressers &amp; Chests'!DL8:DL507, _xlfn.LAMBDA(_xlpm.part, _xlpm.val, IF(_xlpm.part = "", "", IF(AND(_xlpm.val = "", DL$3="Required"), IF(OR('13 - Dressers &amp; Chests'!DL$7 = "", '13 - Dressers &amp; Chests'!DL$7 = "N/A"), "3:Overall Height - Top to Bottom - Value is required", ""), ""))))</f>
        <v/>
      </c>
      <c r="DM8" s="22">
        <f t="array" ref="DM8">_xlfn.MAP('13 - Dressers &amp; Chests'!B8:B507, '13 - Dressers &amp; Chests'!DM8:DM507, _xlfn.LAMBDA(_xlpm.part, _xlpm.val, IF(_xlpm.part = "", "", _xlfn.LET(_xlpm.check1, IF(AND(NOT(ISBLANK(_xlpm.val)),OR(NOT(ISNUMBER(IFERROR(VALUE(_xlpm.val), ""))), IFERROR(VALUE(_xlpm.val), -1) &lt; 0)), "1:Overall Width - Side to Side - Value should be numeric", ""), IF(LEN(_xlpm.check1) &gt; 0, _xlpm.check1, IF(AND(_xlpm.val = "", DM$3="Required"), IF(OR('13 - Dressers &amp; Chests'!DM$7 = "", '13 - Dressers &amp; Chests'!DM$7 = "N/A"), "3:Overall Width - Side to Side - Value is required", ""), ""))))))</f>
        <v/>
      </c>
      <c r="DN8" s="22">
        <f t="array" ref="DN8">_xlfn.MAP('13 - Dressers &amp; Chests'!B8:B507, '13 - Dressers &amp; Chests'!DN8:DN507, _xlfn.LAMBDA(_xlpm.part, _xlpm.val, IF(_xlpm.part = "", "", _xlfn.LET(_xlpm.check1, IF(AND(NOT(ISBLANK(_xlpm.val)),OR(NOT(ISNUMBER(IFERROR(VALUE(_xlpm.val), ""))), IFERROR(VALUE(_xlpm.val), -1) &lt; 0)), "1:Overall Depth - Front to Back - Value should be numeric", ""), IF(LEN(_xlpm.check1) &gt; 0, _xlpm.check1, IF(AND(_xlpm.val = "", DN$3="Required"), IF(OR('13 - Dressers &amp; Chests'!DN$7 = "", '13 - Dressers &amp; Chests'!DN$7 = "N/A"), "3:Overall Depth - Front to Back - Value is required", ""), ""))))))</f>
        <v/>
      </c>
      <c r="DO8" s="22">
        <f t="array" ref="DO8">_xlfn.MAP('13 - Dressers &amp; Chests'!B8:B507, '13 - Dressers &amp; Chests'!DO8:DO507, _xlfn.LAMBDA(_xlpm.part, _xlpm.val, IF(_xlpm.part = "", "", IF(AND(_xlpm.val = "", DO$3="Required"), IF(OR('13 - Dressers &amp; Chests'!DO$7 = "", '13 - Dressers &amp; Chests'!DO$7 = "N/A"), "3:Drawer Interior Height - Top to Bottom - Value is required", ""), ""))))</f>
        <v/>
      </c>
      <c r="DP8" s="22">
        <f t="array" ref="DP8">_xlfn.MAP('13 - Dressers &amp; Chests'!B8:B507, '13 - Dressers &amp; Chests'!DP8:DP507, _xlfn.LAMBDA(_xlpm.part, _xlpm.val, IF(_xlpm.part = "", "", IF(AND(_xlpm.val = "", DP$3="Required"), IF(OR('13 - Dressers &amp; Chests'!DP$7 = "", '13 - Dressers &amp; Chests'!DP$7 = "N/A"), "3:Interior Drawer Depth - Front to Back - Value is required", ""), ""))))</f>
        <v/>
      </c>
      <c r="DQ8" s="22">
        <f t="array" ref="DQ8">_xlfn.MAP('13 - Dressers &amp; Chests'!B8:B507, '13 - Dressers &amp; Chests'!DQ8:DQ507, _xlfn.LAMBDA(_xlpm.part, _xlpm.val, IF(_xlpm.part = "", "", IF(AND(_xlpm.val = "", DQ$3="Required"), IF(OR('13 - Dressers &amp; Chests'!DQ$7 = "", '13 - Dressers &amp; Chests'!DQ$7 = "N/A"), "3:Overall Product Weight - Value is required", ""), ""))))</f>
        <v/>
      </c>
      <c r="DR8" s="22">
        <f t="array" ref="DR8">_xlfn.MAP('13 - Dressers &amp; Chests'!B8:B507, '13 - Dressers &amp; Chests'!DR8:DR507, _xlfn.LAMBDA(_xlpm.part, _xlpm.val, IF(_xlpm.part = "", "", IF(AND(_xlpm.val = "", DR$3="Required"), IF(OR('13 - Dressers &amp; Chests'!DR$7 = "", '13 - Dressers &amp; Chests'!DR$7 = "N/A"), "3:Interior Drawer Width - Side to Side - Value is required", ""), ""))))</f>
        <v/>
      </c>
      <c r="DS8" s="22">
        <f t="array" ref="DS8">_xlfn.MAP('13 - Dressers &amp; Chests'!B8:B507, '13 - Dressers &amp; Chests'!DS8:DS507, _xlfn.LAMBDA(_xlpm.part, _xlpm.val, IF(_xlpm.part = "", "", IF(AND(_xlpm.val = "", DS$3="Required"), IF(OR('13 - Dressers &amp; Chests'!DS$7 = "", '13 - Dressers &amp; Chests'!DS$7 = "N/A"), "3:Assembly Required - Value is required", ""), ""))))</f>
        <v/>
      </c>
      <c r="DT8" s="22">
        <f t="array" ref="DT8">_xlfn.MAP('13 - Dressers &amp; Chests'!B8:B507, '13 - Dressers &amp; Chests'!DT8:DT507, '13 - Dressers &amp; Chests'!DS8:DS507,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DT$3="Required"), IF(OR('13 - Dressers &amp; Chests'!DT$7 = "", '13 - Dressers &amp; Chests'!DT$7 = "N/A"), "3:Level of Assembly - Value is required", ""), ""))))))))</f>
        <v/>
      </c>
      <c r="DU8" s="22">
        <f t="array" ref="DU8">_xlfn.MAP('13 - Dressers &amp; Chests'!B8:B507, '13 - Dressers &amp; Chests'!DU8:DU507, '13 - Dressers &amp; Chests'!DS8:DS507,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allowed222792,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DU$3="Required"), IF(OR('13 - Dressers &amp; Chests'!DU$7 = "", '13 - Dressers &amp; Chests'!DU$7 = "N/A"), "3:Additional Tools Required (Not Included) - Value is required", ""), ""))))))))))</f>
        <v/>
      </c>
      <c r="DV8" s="22">
        <f t="array" ref="DV8">_xlfn.MAP('13 - Dressers &amp; Chests'!B8:B507, '13 - Dressers &amp; Chests'!DV8:DV507, _xlfn.LAMBDA(_xlpm.part, _xlpm.val, IF(_xlpm.part = "", "", IF(AND(_xlpm.val = "", DV$3="Required"), IF(OR('13 - Dressers &amp; Chests'!DV$7 = "", '13 - Dressers &amp; Chests'!DV$7 = "N/A"), "3:Commercial Warranty - Value is required", ""), ""))))</f>
        <v/>
      </c>
      <c r="DW8" s="22">
        <f t="array" ref="DW8">_xlfn.MAP('13 - Dressers &amp; Chests'!B8:B507, '13 - Dressers &amp; Chests'!DW8:DW507, '13 - Dressers &amp; Chests'!DV8:DV507,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IF(OR('13 - Dressers &amp; Chests'!DW$7 = "", '13 - Dressers &amp; Chests'!DW$7 = "N/A"), "3:Since Commercial Warranty equals 'Yes', this field is required", ""), ""), ""), IF(LEN(_xlpm.check3) &gt; 0, _xlpm.check3, IF(AND(_xlpm.val = "", DW$3="Required"), IF(OR('13 - Dressers &amp; Chests'!DW$7 = "", '13 - Dressers &amp; Chests'!DW$7 = "N/A"), "3:Commercial Warranty Length - Value is required", ""), ""))))))))))</f>
        <v/>
      </c>
      <c r="DX8" s="22">
        <f t="array" ref="DX8">_xlfn.MAP('13 - Dressers &amp; Chests'!B8:B507, '13 - Dressers &amp; Chests'!DX8:DX507, _xlfn.LAMBDA(_xlpm.part, _xlpm.val, IF(_xlpm.part = "", "", IF(AND(_xlpm.val = "", DX$3="Required"), IF(OR('13 - Dressers &amp; Chests'!DX$7 = "", '13 - Dressers &amp; Chests'!DX$7 = "N/A"), "3:Product Warranty - Value is required", ""), ""))))</f>
        <v/>
      </c>
      <c r="DY8" s="22">
        <f t="array" ref="DY8">_xlfn.MAP('13 - Dressers &amp; Chests'!B8:B507, '13 - Dressers &amp; Chests'!DY8:DY507, _xlfn.LAMBDA(_xlpm.part, _xlpm.val, IF(_xlpm.part = "", "", IF(AND(_xlpm.val = "", DY$3="Required"), IF(OR('13 - Dressers &amp; Chests'!DY$7 = "", '13 - Dressers &amp; Chests'!DY$7 = "N/A"), "3:Full or Limited Warranty - Value is required", ""), ""))))</f>
        <v/>
      </c>
    </row>
  </sheetData>
  <sheetProtection selectLockedCells="0" selectUnlockedCells="0" sheet="1" objects="1" insertRows="1" insertHyperlinks="1" autoFilter="1" scenarios="1" formatColumns="1" deleteColumns="1" insertColumns="1" pivotTables="1" deleteRows="1" formatCells="1" formatRows="1" sort="1" password="97D1"/>
  <mergeCells count="9">
    <mergeCell ref="AL2:AO2"/>
    <mergeCell ref="AP2:AS2"/>
    <mergeCell ref="U2:Z2"/>
    <mergeCell ref="R2:T2"/>
    <mergeCell ref="B2:I2"/>
    <mergeCell ref="BO2:DY2"/>
    <mergeCell ref="AA2:AK2"/>
    <mergeCell ref="AT2:BN2"/>
    <mergeCell ref="J2:Q2"/>
  </mergeCells>
  <dataValidations count="112">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DY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f t="array" ref="A8">_xlfn.BYROW(B8:DZ507, _xlfn.LAMBDA(_xlpm.r, _xlfn.LET(_xlpm.high_priority_idx, IFERROR(MATCH(TRUE, (_xlpm.r = "Error") + (_xlpm.r = "Required") &gt; 0, 0), 0), IF(_xlpm.high_priority_idx &gt; 0, _xlpm.high_priority_idx + 1, IFERROR(MATCH(1, (_xlpm.r = "Warning") * 1, 0) + 1, "")))))</f>
        <v/>
      </c>
      <c r="B8" s="22">
        <f t="array" ref="B8">_xlfn.MAP('13 - Dressers &amp; Chests'!B8:B507, '13 - Dressers &amp; Chests'!B8:B507, '13 - Dressers &amp; Chests-WUO_ERR'!B8:B507, _xlfn.LAMBDA(_xlpm.part, _xlpm.val, _xlpm.error, IF(_xlpm.part = "", "", IF(LEN(_xlpm.error), _xlfn.SWITCH(IFERROR(_xlfn.TEXTBEFORE(_xlpm.error,":"), ""), "1", "Error", "2", "Disabled", "3", "Required", "4", "Warning", "Valid"), "Valid"))))</f>
        <v/>
      </c>
      <c r="C8" s="22">
        <f t="array" ref="C8">_xlfn.MAP('13 - Dressers &amp; Chests'!B8:B507, '13 - Dressers &amp; Chests'!C8:C507, '13 - Dressers &amp; Chests-WUO_ERR'!C8:C507, _xlfn.LAMBDA(_xlpm.part, _xlpm.val, _xlpm.error, IF(_xlpm.part = "", "", IF(LEN(_xlpm.error), _xlfn.SWITCH(IFERROR(_xlfn.TEXTBEFORE(_xlpm.error,":"), ""), "1", "Error", "2", "Disabled", "3", "Required", "4", "Warning", "Valid"), "Valid"))))</f>
        <v/>
      </c>
      <c r="D8" s="22">
        <f t="array" ref="D8">_xlfn.MAP('13 - Dressers &amp; Chests'!B8:B507, '13 - Dressers &amp; Chests'!D8:D507, '13 - Dressers &amp; Chests-WUO_ERR'!D8:D507, _xlfn.LAMBDA(_xlpm.part, _xlpm.val, _xlpm.error, IF(_xlpm.part = "", "", IF(LEN(_xlpm.error), _xlfn.SWITCH(IFERROR(_xlfn.TEXTBEFORE(_xlpm.error,":"), ""), "1", "Error", "2", "Disabled", "3", "Required", "4", "Warning", "Valid"), "Valid"))))</f>
        <v/>
      </c>
      <c r="E8" s="22">
        <f t="array" ref="E8">_xlfn.MAP('13 - Dressers &amp; Chests'!B8:B507, '13 - Dressers &amp; Chests'!E8:E507, '13 - Dressers &amp; Chests-WUO_ERR'!E8:E507, _xlfn.LAMBDA(_xlpm.part, _xlpm.val, _xlpm.error, IF(_xlpm.part = "", "", IF(LEN(_xlpm.error), _xlfn.SWITCH(IFERROR(_xlfn.TEXTBEFORE(_xlpm.error,":"), ""), "1", "Error", "2", "Disabled", "3", "Required", "4", "Warning", "Valid"), "Valid"))))</f>
        <v/>
      </c>
      <c r="F8" s="22">
        <f t="array" ref="F8">_xlfn.MAP('13 - Dressers &amp; Chests'!B8:B507, '13 - Dressers &amp; Chests'!F8:F507, '13 - Dressers &amp; Chests-WUO_ERR'!F8:F507, _xlfn.LAMBDA(_xlpm.part, _xlpm.val, _xlpm.error, IF(_xlpm.part = "", "", IF(LEN(_xlpm.error), _xlfn.SWITCH(IFERROR(_xlfn.TEXTBEFORE(_xlpm.error,":"), ""), "1", "Error", "2", "Disabled", "3", "Required", "4", "Warning", "Valid"), "Valid"))))</f>
        <v/>
      </c>
      <c r="G8" s="22">
        <f t="array" ref="G8">_xlfn.MAP('13 - Dressers &amp; Chests'!B8:B507, '13 - Dressers &amp; Chests'!G8:G507, '13 - Dressers &amp; Chests-WUO_ERR'!G8:G507, _xlfn.LAMBDA(_xlpm.part, _xlpm.val, _xlpm.error, IF(_xlpm.part = "", "", IF(LEN(_xlpm.error), _xlfn.SWITCH(IFERROR(_xlfn.TEXTBEFORE(_xlpm.error,":"), ""), "1", "Error", "2", "Disabled", "3", "Required", "4", "Warning", "Valid"), "Valid"))))</f>
        <v/>
      </c>
      <c r="H8" s="22">
        <f t="array" ref="H8">_xlfn.MAP('13 - Dressers &amp; Chests'!B8:B507, '13 - Dressers &amp; Chests'!H8:H507, '13 - Dressers &amp; Chests-WUO_ERR'!H8:H507, _xlfn.LAMBDA(_xlpm.part, _xlpm.val, _xlpm.error, IF(_xlpm.part = "", "", IF(LEN(_xlpm.error), _xlfn.SWITCH(IFERROR(_xlfn.TEXTBEFORE(_xlpm.error,":"), ""), "1", "Error", "2", "Disabled", "3", "Required", "4", "Warning", "Valid"), "Valid"))))</f>
        <v/>
      </c>
      <c r="I8" s="22">
        <f t="array" ref="I8">_xlfn.MAP('13 - Dressers &amp; Chests'!B8:B507, '13 - Dressers &amp; Chests'!I8:I507, '13 - Dressers &amp; Chests-WUO_ERR'!I8:I507, _xlfn.LAMBDA(_xlpm.part, _xlpm.val, _xlpm.error, IF(_xlpm.part = "", "", IF(LEN(_xlpm.error), _xlfn.SWITCH(IFERROR(_xlfn.TEXTBEFORE(_xlpm.error,":"), ""), "1", "Error", "2", "Disabled", "3", "Required", "4", "Warning", "Valid"), "Valid"))))</f>
        <v/>
      </c>
      <c r="J8" s="22">
        <f t="array" ref="J8">_xlfn.MAP('13 - Dressers &amp; Chests'!B8:B507, '13 - Dressers &amp; Chests'!J8:J507, '13 - Dressers &amp; Chests-WUO_ERR'!J8:J507, _xlfn.LAMBDA(_xlpm.part, _xlpm.val, _xlpm.error, IF(_xlpm.part = "", "", IF(LEN(_xlpm.error), _xlfn.SWITCH(IFERROR(_xlfn.TEXTBEFORE(_xlpm.error,":"), ""), "1", "Error", "2", "Disabled", "3", "Required", "4", "Warning", "Valid"), "Valid"))))</f>
        <v/>
      </c>
      <c r="K8" s="22">
        <f t="array" ref="K8">_xlfn.MAP('13 - Dressers &amp; Chests'!B8:B507, '13 - Dressers &amp; Chests'!K8:K507, '13 - Dressers &amp; Chests-WUO_ERR'!K8:K507, _xlfn.LAMBDA(_xlpm.part, _xlpm.val, _xlpm.error, IF(_xlpm.part = "", "", IF(LEN(_xlpm.error), _xlfn.SWITCH(IFERROR(_xlfn.TEXTBEFORE(_xlpm.error,":"), ""), "1", "Error", "2", "Disabled", "3", "Required", "4", "Warning", "Valid"), "Valid"))))</f>
        <v/>
      </c>
      <c r="L8" s="22">
        <f t="array" ref="L8">_xlfn.MAP('13 - Dressers &amp; Chests'!B8:B507, '13 - Dressers &amp; Chests'!L8:L507, '13 - Dressers &amp; Chests-WUO_ERR'!L8:L507, _xlfn.LAMBDA(_xlpm.part, _xlpm.val, _xlpm.error, IF(_xlpm.part = "", "", IF(LEN(_xlpm.error), _xlfn.SWITCH(IFERROR(_xlfn.TEXTBEFORE(_xlpm.error,":"), ""), "1", "Error", "2", "Disabled", "3", "Required", "4", "Warning", "Valid"), "Valid"))))</f>
        <v/>
      </c>
      <c r="M8" s="22">
        <f t="array" ref="M8">_xlfn.MAP('13 - Dressers &amp; Chests'!B8:B507, '13 - Dressers &amp; Chests'!M8:M507, '13 - Dressers &amp; Chests-WUO_ERR'!M8:M507, _xlfn.LAMBDA(_xlpm.part, _xlpm.val, _xlpm.error, IF(_xlpm.part = "", "", IF(LEN(_xlpm.error), _xlfn.SWITCH(IFERROR(_xlfn.TEXTBEFORE(_xlpm.error,":"), ""), "1", "Error", "2", "Disabled", "3", "Required", "4", "Warning", "Valid"), "Valid"))))</f>
        <v/>
      </c>
      <c r="N8" s="22">
        <f t="array" ref="N8">_xlfn.MAP('13 - Dressers &amp; Chests'!B8:B507, '13 - Dressers &amp; Chests'!N8:N507, '13 - Dressers &amp; Chests-WUO_ERR'!N8:N507, _xlfn.LAMBDA(_xlpm.part, _xlpm.val, _xlpm.error, IF(_xlpm.part = "", "", IF(LEN(_xlpm.error), _xlfn.SWITCH(IFERROR(_xlfn.TEXTBEFORE(_xlpm.error,":"), ""), "1", "Error", "2", "Disabled", "3", "Required", "4", "Warning", "Valid"), "Valid"))))</f>
        <v/>
      </c>
      <c r="O8" s="22">
        <f t="array" ref="O8">_xlfn.MAP('13 - Dressers &amp; Chests'!B8:B507, '13 - Dressers &amp; Chests'!O8:O507, '13 - Dressers &amp; Chests-WUO_ERR'!O8:O507, _xlfn.LAMBDA(_xlpm.part, _xlpm.val, _xlpm.error, IF(_xlpm.part = "", "", IF(LEN(_xlpm.error), _xlfn.SWITCH(IFERROR(_xlfn.TEXTBEFORE(_xlpm.error,":"), ""), "1", "Error", "2", "Disabled", "3", "Required", "4", "Warning", "Valid"), "Valid"))))</f>
        <v/>
      </c>
      <c r="P8" s="22">
        <f t="array" ref="P8">_xlfn.MAP('13 - Dressers &amp; Chests'!B8:B507, '13 - Dressers &amp; Chests'!P8:P507, '13 - Dressers &amp; Chests-WUO_ERR'!P8:P507, _xlfn.LAMBDA(_xlpm.part, _xlpm.val, _xlpm.error, IF(_xlpm.part = "", "", IF(LEN(_xlpm.error), _xlfn.SWITCH(IFERROR(_xlfn.TEXTBEFORE(_xlpm.error,":"), ""), "1", "Error", "2", "Disabled", "3", "Required", "4", "Warning", "Valid"), "Valid"))))</f>
        <v/>
      </c>
      <c r="Q8" s="22">
        <f t="array" ref="Q8">_xlfn.MAP('13 - Dressers &amp; Chests'!B8:B507, '13 - Dressers &amp; Chests'!Q8:Q507, '13 - Dressers &amp; Chests-WUO_ERR'!Q8:Q507, _xlfn.LAMBDA(_xlpm.part, _xlpm.val, _xlpm.error, IF(_xlpm.part = "", "", IF(LEN(_xlpm.error), _xlfn.SWITCH(IFERROR(_xlfn.TEXTBEFORE(_xlpm.error,":"), ""), "1", "Error", "2", "Disabled", "3", "Required", "4", "Warning", "Valid"), "Valid"))))</f>
        <v/>
      </c>
      <c r="R8" s="22">
        <f t="array" ref="R8">_xlfn.MAP('13 - Dressers &amp; Chests'!B8:B507, '13 - Dressers &amp; Chests'!R8:R507, '13 - Dressers &amp; Chests-WUO_ERR'!R8:R507, _xlfn.LAMBDA(_xlpm.part, _xlpm.val, _xlpm.error, IF(_xlpm.part = "", "", IF(LEN(_xlpm.error), _xlfn.SWITCH(IFERROR(_xlfn.TEXTBEFORE(_xlpm.error,":"), ""), "1", "Error", "2", "Disabled", "3", "Required", "4", "Warning", "Valid"), "Valid"))))</f>
        <v/>
      </c>
      <c r="S8" s="22">
        <f t="array" ref="S8">_xlfn.MAP('13 - Dressers &amp; Chests'!B8:B507, '13 - Dressers &amp; Chests'!S8:S507, '13 - Dressers &amp; Chests-WUO_ERR'!S8:S507, _xlfn.LAMBDA(_xlpm.part, _xlpm.val, _xlpm.error, IF(_xlpm.part = "", "", IF(LEN(_xlpm.error), _xlfn.SWITCH(IFERROR(_xlfn.TEXTBEFORE(_xlpm.error,":"), ""), "1", "Error", "2", "Disabled", "3", "Required", "4", "Warning", "Valid"), "Valid"))))</f>
        <v/>
      </c>
      <c r="T8" s="22">
        <f t="array" ref="T8">_xlfn.MAP('13 - Dressers &amp; Chests'!B8:B507, '13 - Dressers &amp; Chests'!T8:T507, '13 - Dressers &amp; Chests-WUO_ERR'!T8:T507, _xlfn.LAMBDA(_xlpm.part, _xlpm.val, _xlpm.error, IF(_xlpm.part = "", "", IF(LEN(_xlpm.error), _xlfn.SWITCH(IFERROR(_xlfn.TEXTBEFORE(_xlpm.error,":"), ""), "1", "Error", "2", "Disabled", "3", "Required", "4", "Warning", "Valid"), "Valid"))))</f>
        <v/>
      </c>
      <c r="U8" s="22">
        <f t="array" ref="U8">_xlfn.MAP('13 - Dressers &amp; Chests'!B8:B507, '13 - Dressers &amp; Chests'!U8:U507, '13 - Dressers &amp; Chests-WUO_ERR'!U8:U507, _xlfn.LAMBDA(_xlpm.part, _xlpm.val, _xlpm.error, IF(_xlpm.part = "", "", IF(LEN(_xlpm.error), _xlfn.SWITCH(IFERROR(_xlfn.TEXTBEFORE(_xlpm.error,":"), ""), "1", "Error", "2", "Disabled", "3", "Required", "4", "Warning", "Valid"), "Valid"))))</f>
        <v/>
      </c>
      <c r="V8" s="22">
        <f t="array" ref="V8">_xlfn.MAP('13 - Dressers &amp; Chests'!B8:B507, '13 - Dressers &amp; Chests'!V8:V507, '13 - Dressers &amp; Chests-WUO_ERR'!V8:V507, _xlfn.LAMBDA(_xlpm.part, _xlpm.val, _xlpm.error, IF(_xlpm.part = "", "", IF(LEN(_xlpm.error), _xlfn.SWITCH(IFERROR(_xlfn.TEXTBEFORE(_xlpm.error,":"), ""), "1", "Error", "2", "Disabled", "3", "Required", "4", "Warning", "Valid"), "Valid"))))</f>
        <v/>
      </c>
      <c r="W8" s="22">
        <f t="array" ref="W8">_xlfn.MAP('13 - Dressers &amp; Chests'!B8:B507, '13 - Dressers &amp; Chests'!W8:W507, '13 - Dressers &amp; Chests-WUO_ERR'!W8:W507, _xlfn.LAMBDA(_xlpm.part, _xlpm.val, _xlpm.error, IF(_xlpm.part = "", "", IF(LEN(_xlpm.error), _xlfn.SWITCH(IFERROR(_xlfn.TEXTBEFORE(_xlpm.error,":"), ""), "1", "Error", "2", "Disabled", "3", "Required", "4", "Warning", "Valid"), "Valid"))))</f>
        <v/>
      </c>
      <c r="X8" s="22">
        <f t="array" ref="X8">_xlfn.MAP('13 - Dressers &amp; Chests'!B8:B507, '13 - Dressers &amp; Chests'!X8:X507, '13 - Dressers &amp; Chests-WUO_ERR'!X8:X507, _xlfn.LAMBDA(_xlpm.part, _xlpm.val, _xlpm.error, IF(_xlpm.part = "", "", IF(LEN(_xlpm.error), _xlfn.SWITCH(IFERROR(_xlfn.TEXTBEFORE(_xlpm.error,":"), ""), "1", "Error", "2", "Disabled", "3", "Required", "4", "Warning", "Valid"), "Valid"))))</f>
        <v/>
      </c>
      <c r="Y8" s="22">
        <f t="array" ref="Y8">_xlfn.MAP('13 - Dressers &amp; Chests'!B8:B507, '13 - Dressers &amp; Chests'!Y8:Y507, '13 - Dressers &amp; Chests-WUO_ERR'!Y8:Y507, _xlfn.LAMBDA(_xlpm.part, _xlpm.val, _xlpm.error, IF(_xlpm.part = "", "", IF(LEN(_xlpm.error), _xlfn.SWITCH(IFERROR(_xlfn.TEXTBEFORE(_xlpm.error,":"), ""), "1", "Error", "2", "Disabled", "3", "Required", "4", "Warning", "Valid"), "Valid"))))</f>
        <v/>
      </c>
      <c r="Z8" s="22">
        <f t="array" ref="Z8">_xlfn.MAP('13 - Dressers &amp; Chests'!B8:B507, '13 - Dressers &amp; Chests'!Z8:Z507, '13 - Dressers &amp; Chests-WUO_ERR'!Z8:Z507, _xlfn.LAMBDA(_xlpm.part, _xlpm.val, _xlpm.error, IF(_xlpm.part = "", "", IF(LEN(_xlpm.error), _xlfn.SWITCH(IFERROR(_xlfn.TEXTBEFORE(_xlpm.error,":"), ""), "1", "Error", "2", "Disabled", "3", "Required", "4", "Warning", "Valid"), "Valid"))))</f>
        <v/>
      </c>
      <c r="AA8" s="22">
        <f t="array" ref="AA8">_xlfn.MAP('13 - Dressers &amp; Chests'!B8:B507, '13 - Dressers &amp; Chests'!AA8:AA507, '13 - Dressers &amp; Chests-WUO_ERR'!AA8:AA507, _xlfn.LAMBDA(_xlpm.part, _xlpm.val, _xlpm.error, IF(_xlpm.part = "", "", IF(LEN(_xlpm.error), _xlfn.SWITCH(IFERROR(_xlfn.TEXTBEFORE(_xlpm.error,":"), ""), "1", "Error", "2", "Disabled", "3", "Required", "4", "Warning", "Valid"), "Valid"))))</f>
        <v/>
      </c>
      <c r="AB8" s="22">
        <f t="array" ref="AB8">_xlfn.MAP('13 - Dressers &amp; Chests'!B8:B507, '13 - Dressers &amp; Chests'!AB8:AB507, '13 - Dressers &amp; Chests-WUO_ERR'!AB8:AB507, _xlfn.LAMBDA(_xlpm.part, _xlpm.val, _xlpm.error, IF(_xlpm.part = "", "", IF(LEN(_xlpm.error), _xlfn.SWITCH(IFERROR(_xlfn.TEXTBEFORE(_xlpm.error,":"), ""), "1", "Error", "2", "Disabled", "3", "Required", "4", "Warning", "Valid"), "Valid"))))</f>
        <v/>
      </c>
      <c r="AC8" s="22">
        <f t="array" ref="AC8">_xlfn.MAP('13 - Dressers &amp; Chests'!B8:B507, '13 - Dressers &amp; Chests'!AC8:AC507, '13 - Dressers &amp; Chests-WUO_ERR'!AC8:AC507, _xlfn.LAMBDA(_xlpm.part, _xlpm.val, _xlpm.error, IF(_xlpm.part = "", "", IF(LEN(_xlpm.error), _xlfn.SWITCH(IFERROR(_xlfn.TEXTBEFORE(_xlpm.error,":"), ""), "1", "Error", "2", "Disabled", "3", "Required", "4", "Warning", "Valid"), "Valid"))))</f>
        <v/>
      </c>
      <c r="AD8" s="22">
        <f t="array" ref="AD8">_xlfn.MAP('13 - Dressers &amp; Chests'!B8:B507, '13 - Dressers &amp; Chests'!AD8:AD507, '13 - Dressers &amp; Chests-WUO_ERR'!AD8:AD507, _xlfn.LAMBDA(_xlpm.part, _xlpm.val, _xlpm.error, IF(_xlpm.part = "", "", IF(LEN(_xlpm.error), _xlfn.SWITCH(IFERROR(_xlfn.TEXTBEFORE(_xlpm.error,":"), ""), "1", "Error", "2", "Disabled", "3", "Required", "4", "Warning", "Valid"), "Valid"))))</f>
        <v/>
      </c>
      <c r="AE8" s="22">
        <f t="array" ref="AE8">_xlfn.MAP('13 - Dressers &amp; Chests'!B8:B507, '13 - Dressers &amp; Chests'!AE8:AE507, '13 - Dressers &amp; Chests-WUO_ERR'!AE8:AE507, _xlfn.LAMBDA(_xlpm.part, _xlpm.val, _xlpm.error, IF(_xlpm.part = "", "", IF(LEN(_xlpm.error), _xlfn.SWITCH(IFERROR(_xlfn.TEXTBEFORE(_xlpm.error,":"), ""), "1", "Error", "2", "Disabled", "3", "Required", "4", "Warning", "Valid"), "Valid"))))</f>
        <v/>
      </c>
      <c r="AF8" s="22">
        <f t="array" ref="AF8">_xlfn.MAP('13 - Dressers &amp; Chests'!B8:B507, '13 - Dressers &amp; Chests'!AF8:AF507, '13 - Dressers &amp; Chests-WUO_ERR'!AF8:AF507, _xlfn.LAMBDA(_xlpm.part, _xlpm.val, _xlpm.error, IF(_xlpm.part = "", "", IF(LEN(_xlpm.error), _xlfn.SWITCH(IFERROR(_xlfn.TEXTBEFORE(_xlpm.error,":"), ""), "1", "Error", "2", "Disabled", "3", "Required", "4", "Warning", "Valid"), "Valid"))))</f>
        <v/>
      </c>
      <c r="AG8" s="22">
        <f t="array" ref="AG8">_xlfn.MAP('13 - Dressers &amp; Chests'!B8:B507, '13 - Dressers &amp; Chests'!AG8:AG507, '13 - Dressers &amp; Chests-WUO_ERR'!AG8:AG507, _xlfn.LAMBDA(_xlpm.part, _xlpm.val, _xlpm.error, IF(_xlpm.part = "", "", IF(LEN(_xlpm.error), _xlfn.SWITCH(IFERROR(_xlfn.TEXTBEFORE(_xlpm.error,":"), ""), "1", "Error", "2", "Disabled", "3", "Required", "4", "Warning", "Valid"), "Valid"))))</f>
        <v/>
      </c>
      <c r="AH8" s="22">
        <f t="array" ref="AH8">_xlfn.MAP('13 - Dressers &amp; Chests'!B8:B507, '13 - Dressers &amp; Chests'!AH8:AH507, '13 - Dressers &amp; Chests-WUO_ERR'!AH8:AH507, _xlfn.LAMBDA(_xlpm.part, _xlpm.val, _xlpm.error, IF(_xlpm.part = "", "", IF(LEN(_xlpm.error), _xlfn.SWITCH(IFERROR(_xlfn.TEXTBEFORE(_xlpm.error,":"), ""), "1", "Error", "2", "Disabled", "3", "Required", "4", "Warning", "Valid"), "Valid"))))</f>
        <v/>
      </c>
      <c r="AI8" s="22">
        <f t="array" ref="AI8">_xlfn.MAP('13 - Dressers &amp; Chests'!B8:B507, '13 - Dressers &amp; Chests'!AI8:AI507, '13 - Dressers &amp; Chests-WUO_ERR'!AI8:AI507, _xlfn.LAMBDA(_xlpm.part, _xlpm.val, _xlpm.error, IF(_xlpm.part = "", "", IF(LEN(_xlpm.error), _xlfn.SWITCH(IFERROR(_xlfn.TEXTBEFORE(_xlpm.error,":"), ""), "1", "Error", "2", "Disabled", "3", "Required", "4", "Warning", "Valid"), "Valid"))))</f>
        <v/>
      </c>
      <c r="AJ8" s="22">
        <f t="array" ref="AJ8">_xlfn.MAP('13 - Dressers &amp; Chests'!B8:B507, '13 - Dressers &amp; Chests'!AJ8:AJ507, '13 - Dressers &amp; Chests-WUO_ERR'!AJ8:AJ507, _xlfn.LAMBDA(_xlpm.part, _xlpm.val, _xlpm.error, IF(_xlpm.part = "", "", IF(LEN(_xlpm.error), _xlfn.SWITCH(IFERROR(_xlfn.TEXTBEFORE(_xlpm.error,":"), ""), "1", "Error", "2", "Disabled", "3", "Required", "4", "Warning", "Valid"), "Valid"))))</f>
        <v/>
      </c>
      <c r="AK8" s="22">
        <f t="array" ref="AK8">_xlfn.MAP('13 - Dressers &amp; Chests'!B8:B507, '13 - Dressers &amp; Chests'!AK8:AK507, '13 - Dressers &amp; Chests-WUO_ERR'!AK8:AK507, _xlfn.LAMBDA(_xlpm.part, _xlpm.val, _xlpm.error, IF(_xlpm.part = "", "", IF(LEN(_xlpm.error), _xlfn.SWITCH(IFERROR(_xlfn.TEXTBEFORE(_xlpm.error,":"), ""), "1", "Error", "2", "Disabled", "3", "Required", "4", "Warning", "Valid"), "Valid"))))</f>
        <v/>
      </c>
      <c r="AL8" s="22">
        <f t="array" ref="AL8">_xlfn.MAP('13 - Dressers &amp; Chests'!B8:B507, '13 - Dressers &amp; Chests'!AL8:AL507, '13 - Dressers &amp; Chests-WUO_ERR'!AL8:AL507, _xlfn.LAMBDA(_xlpm.part, _xlpm.val, _xlpm.error, IF(_xlpm.part = "", "", IF(LEN(_xlpm.error), _xlfn.SWITCH(IFERROR(_xlfn.TEXTBEFORE(_xlpm.error,":"), ""), "1", "Error", "2", "Disabled", "3", "Required", "4", "Warning", "Valid"), "Valid"))))</f>
        <v/>
      </c>
      <c r="AM8" s="22">
        <f t="array" ref="AM8">_xlfn.MAP('13 - Dressers &amp; Chests'!B8:B507, '13 - Dressers &amp; Chests'!AM8:AM507, '13 - Dressers &amp; Chests-WUO_ERR'!AM8:AM507, _xlfn.LAMBDA(_xlpm.part, _xlpm.val, _xlpm.error, IF(_xlpm.part = "", "", IF(LEN(_xlpm.error), _xlfn.SWITCH(IFERROR(_xlfn.TEXTBEFORE(_xlpm.error,":"), ""), "1", "Error", "2", "Disabled", "3", "Required", "4", "Warning", "Valid"), "Valid"))))</f>
        <v/>
      </c>
      <c r="AN8" s="22">
        <f t="array" ref="AN8">_xlfn.MAP('13 - Dressers &amp; Chests'!B8:B507, '13 - Dressers &amp; Chests'!AN8:AN507, '13 - Dressers &amp; Chests-WUO_ERR'!AN8:AN507, _xlfn.LAMBDA(_xlpm.part, _xlpm.val, _xlpm.error, IF(_xlpm.part = "", "", IF(LEN(_xlpm.error), _xlfn.SWITCH(IFERROR(_xlfn.TEXTBEFORE(_xlpm.error,":"), ""), "1", "Error", "2", "Disabled", "3", "Required", "4", "Warning", "Valid"), "Valid"))))</f>
        <v/>
      </c>
      <c r="AO8" s="22">
        <f t="array" ref="AO8">_xlfn.MAP('13 - Dressers &amp; Chests'!B8:B507, '13 - Dressers &amp; Chests'!AO8:AO507, '13 - Dressers &amp; Chests-WUO_ERR'!AO8:AO507, _xlfn.LAMBDA(_xlpm.part, _xlpm.val, _xlpm.error, IF(_xlpm.part = "", "", IF(LEN(_xlpm.error), _xlfn.SWITCH(IFERROR(_xlfn.TEXTBEFORE(_xlpm.error,":"), ""), "1", "Error", "2", "Disabled", "3", "Required", "4", "Warning", "Valid"), "Valid"))))</f>
        <v/>
      </c>
      <c r="AP8" s="22">
        <f t="array" ref="AP8">_xlfn.MAP('13 - Dressers &amp; Chests'!B8:B507, '13 - Dressers &amp; Chests'!AP8:AP507, '13 - Dressers &amp; Chests-WUO_ERR'!AP8:AP507, _xlfn.LAMBDA(_xlpm.part, _xlpm.val, _xlpm.error, IF(_xlpm.part = "", "", IF(LEN(_xlpm.error), _xlfn.SWITCH(IFERROR(_xlfn.TEXTBEFORE(_xlpm.error,":"), ""), "1", "Error", "2", "Disabled", "3", "Required", "4", "Warning", "Valid"), "Valid"))))</f>
        <v/>
      </c>
      <c r="AQ8" s="22">
        <f t="array" ref="AQ8">_xlfn.MAP('13 - Dressers &amp; Chests'!B8:B507, '13 - Dressers &amp; Chests'!AQ8:AQ507, '13 - Dressers &amp; Chests-WUO_ERR'!AQ8:AQ507, _xlfn.LAMBDA(_xlpm.part, _xlpm.val, _xlpm.error, IF(_xlpm.part = "", "", IF(LEN(_xlpm.error), _xlfn.SWITCH(IFERROR(_xlfn.TEXTBEFORE(_xlpm.error,":"), ""), "1", "Error", "2", "Disabled", "3", "Required", "4", "Warning", "Valid"), "Valid"))))</f>
        <v/>
      </c>
      <c r="AR8" s="22">
        <f t="array" ref="AR8">_xlfn.MAP('13 - Dressers &amp; Chests'!B8:B507, '13 - Dressers &amp; Chests'!AR8:AR507, '13 - Dressers &amp; Chests-WUO_ERR'!AR8:AR507, _xlfn.LAMBDA(_xlpm.part, _xlpm.val, _xlpm.error, IF(_xlpm.part = "", "", IF(LEN(_xlpm.error), _xlfn.SWITCH(IFERROR(_xlfn.TEXTBEFORE(_xlpm.error,":"), ""), "1", "Error", "2", "Disabled", "3", "Required", "4", "Warning", "Valid"), "Valid"))))</f>
        <v/>
      </c>
      <c r="AS8" s="22">
        <f t="array" ref="AS8">_xlfn.MAP('13 - Dressers &amp; Chests'!B8:B507, '13 - Dressers &amp; Chests'!AS8:AS507, '13 - Dressers &amp; Chests-WUO_ERR'!AS8:AS507, _xlfn.LAMBDA(_xlpm.part, _xlpm.val, _xlpm.error, IF(_xlpm.part = "", "", IF(LEN(_xlpm.error), _xlfn.SWITCH(IFERROR(_xlfn.TEXTBEFORE(_xlpm.error,":"), ""), "1", "Error", "2", "Disabled", "3", "Required", "4", "Warning", "Valid"), "Valid"))))</f>
        <v/>
      </c>
      <c r="AT8" s="22">
        <f t="array" ref="AT8">_xlfn.MAP('13 - Dressers &amp; Chests'!B8:B507, '13 - Dressers &amp; Chests'!AT8:AT507, '13 - Dressers &amp; Chests-WUO_ERR'!AT8:AT507, _xlfn.LAMBDA(_xlpm.part, _xlpm.val, _xlpm.error, IF(_xlpm.part = "", "", IF(LEN(_xlpm.error), _xlfn.SWITCH(IFERROR(_xlfn.TEXTBEFORE(_xlpm.error,":"), ""), "1", "Error", "2", "Disabled", "3", "Required", "4", "Warning", "Valid"), "Valid"))))</f>
        <v/>
      </c>
      <c r="AU8" s="22">
        <f t="array" ref="AU8">_xlfn.MAP('13 - Dressers &amp; Chests'!B8:B507, '13 - Dressers &amp; Chests'!AU8:AU507, '13 - Dressers &amp; Chests-WUO_ERR'!AU8:AU507, _xlfn.LAMBDA(_xlpm.part, _xlpm.val, _xlpm.error, IF(_xlpm.part = "", "", IF(LEN(_xlpm.error), _xlfn.SWITCH(IFERROR(_xlfn.TEXTBEFORE(_xlpm.error,":"), ""), "1", "Error", "2", "Disabled", "3", "Required", "4", "Warning", "Valid"), "Valid"))))</f>
        <v/>
      </c>
      <c r="AV8" s="22">
        <f t="array" ref="AV8">_xlfn.MAP('13 - Dressers &amp; Chests'!B8:B507, '13 - Dressers &amp; Chests'!AV8:AV507, '13 - Dressers &amp; Chests-WUO_ERR'!AV8:AV507, _xlfn.LAMBDA(_xlpm.part, _xlpm.val, _xlpm.error, IF(_xlpm.part = "", "", IF(LEN(_xlpm.error), _xlfn.SWITCH(IFERROR(_xlfn.TEXTBEFORE(_xlpm.error,":"), ""), "1", "Error", "2", "Disabled", "3", "Required", "4", "Warning", "Valid"), "Valid"))))</f>
        <v/>
      </c>
      <c r="AW8" s="22">
        <f t="array" ref="AW8">_xlfn.MAP('13 - Dressers &amp; Chests'!B8:B507, '13 - Dressers &amp; Chests'!AW8:AW507, '13 - Dressers &amp; Chests-WUO_ERR'!AW8:AW507, _xlfn.LAMBDA(_xlpm.part, _xlpm.val, _xlpm.error, IF(_xlpm.part = "", "", IF(LEN(_xlpm.error), _xlfn.SWITCH(IFERROR(_xlfn.TEXTBEFORE(_xlpm.error,":"), ""), "1", "Error", "2", "Disabled", "3", "Required", "4", "Warning", "Valid"), "Valid"))))</f>
        <v/>
      </c>
      <c r="AX8" s="22">
        <f t="array" ref="AX8">_xlfn.MAP('13 - Dressers &amp; Chests'!B8:B507, '13 - Dressers &amp; Chests'!AX8:AX507, '13 - Dressers &amp; Chests-WUO_ERR'!AX8:AX507, _xlfn.LAMBDA(_xlpm.part, _xlpm.val, _xlpm.error, IF(_xlpm.part = "", "", IF(LEN(_xlpm.error), _xlfn.SWITCH(IFERROR(_xlfn.TEXTBEFORE(_xlpm.error,":"), ""), "1", "Error", "2", "Disabled", "3", "Required", "4", "Warning", "Valid"), "Valid"))))</f>
        <v/>
      </c>
      <c r="AY8" s="22">
        <f t="array" ref="AY8">_xlfn.MAP('13 - Dressers &amp; Chests'!B8:B507, '13 - Dressers &amp; Chests'!AY8:AY507, '13 - Dressers &amp; Chests-WUO_ERR'!AY8:AY507, _xlfn.LAMBDA(_xlpm.part, _xlpm.val, _xlpm.error, IF(_xlpm.part = "", "", IF(LEN(_xlpm.error), _xlfn.SWITCH(IFERROR(_xlfn.TEXTBEFORE(_xlpm.error,":"), ""), "1", "Error", "2", "Disabled", "3", "Required", "4", "Warning", "Valid"), "Valid"))))</f>
        <v/>
      </c>
      <c r="AZ8" s="22">
        <f t="array" ref="AZ8">_xlfn.MAP('13 - Dressers &amp; Chests'!B8:B507, '13 - Dressers &amp; Chests'!AZ8:AZ507, '13 - Dressers &amp; Chests-WUO_ERR'!AZ8:AZ507, _xlfn.LAMBDA(_xlpm.part, _xlpm.val, _xlpm.error, IF(_xlpm.part = "", "", IF(LEN(_xlpm.error), _xlfn.SWITCH(IFERROR(_xlfn.TEXTBEFORE(_xlpm.error,":"), ""), "1", "Error", "2", "Disabled", "3", "Required", "4", "Warning", "Valid"), "Valid"))))</f>
        <v/>
      </c>
      <c r="BA8" s="22">
        <f t="array" ref="BA8">_xlfn.MAP('13 - Dressers &amp; Chests'!B8:B507, '13 - Dressers &amp; Chests'!BA8:BA507, '13 - Dressers &amp; Chests-WUO_ERR'!BA8:BA507, _xlfn.LAMBDA(_xlpm.part, _xlpm.val, _xlpm.error, IF(_xlpm.part = "", "", IF(LEN(_xlpm.error), _xlfn.SWITCH(IFERROR(_xlfn.TEXTBEFORE(_xlpm.error,":"), ""), "1", "Error", "2", "Disabled", "3", "Required", "4", "Warning", "Valid"), "Valid"))))</f>
        <v/>
      </c>
      <c r="BB8" s="22">
        <f t="array" ref="BB8">_xlfn.MAP('13 - Dressers &amp; Chests'!B8:B507, '13 - Dressers &amp; Chests'!BB8:BB507, '13 - Dressers &amp; Chests-WUO_ERR'!BB8:BB507, _xlfn.LAMBDA(_xlpm.part, _xlpm.val, _xlpm.error, IF(_xlpm.part = "", "", IF(LEN(_xlpm.error), _xlfn.SWITCH(IFERROR(_xlfn.TEXTBEFORE(_xlpm.error,":"), ""), "1", "Error", "2", "Disabled", "3", "Required", "4", "Warning", "Valid"), "Valid"))))</f>
        <v/>
      </c>
      <c r="BC8" s="22">
        <f t="array" ref="BC8">_xlfn.MAP('13 - Dressers &amp; Chests'!B8:B507, '13 - Dressers &amp; Chests'!BC8:BC507, '13 - Dressers &amp; Chests-WUO_ERR'!BC8:BC507, _xlfn.LAMBDA(_xlpm.part, _xlpm.val, _xlpm.error, IF(_xlpm.part = "", "", IF(LEN(_xlpm.error), _xlfn.SWITCH(IFERROR(_xlfn.TEXTBEFORE(_xlpm.error,":"), ""), "1", "Error", "2", "Disabled", "3", "Required", "4", "Warning", "Valid"), "Valid"))))</f>
        <v/>
      </c>
      <c r="BD8" s="22">
        <f t="array" ref="BD8">_xlfn.MAP('13 - Dressers &amp; Chests'!B8:B507, '13 - Dressers &amp; Chests'!BD8:BD507, '13 - Dressers &amp; Chests-WUO_ERR'!BD8:BD507, _xlfn.LAMBDA(_xlpm.part, _xlpm.val, _xlpm.error, IF(_xlpm.part = "", "", IF(LEN(_xlpm.error), _xlfn.SWITCH(IFERROR(_xlfn.TEXTBEFORE(_xlpm.error,":"), ""), "1", "Error", "2", "Disabled", "3", "Required", "4", "Warning", "Valid"), "Valid"))))</f>
        <v/>
      </c>
      <c r="BE8" s="22">
        <f t="array" ref="BE8">_xlfn.MAP('13 - Dressers &amp; Chests'!B8:B507, '13 - Dressers &amp; Chests'!BE8:BE507, '13 - Dressers &amp; Chests-WUO_ERR'!BE8:BE507, _xlfn.LAMBDA(_xlpm.part, _xlpm.val, _xlpm.error, IF(_xlpm.part = "", "", IF(LEN(_xlpm.error), _xlfn.SWITCH(IFERROR(_xlfn.TEXTBEFORE(_xlpm.error,":"), ""), "1", "Error", "2", "Disabled", "3", "Required", "4", "Warning", "Valid"), "Valid"))))</f>
        <v/>
      </c>
      <c r="BF8" s="22">
        <f t="array" ref="BF8">_xlfn.MAP('13 - Dressers &amp; Chests'!B8:B507, '13 - Dressers &amp; Chests'!BF8:BF507, '13 - Dressers &amp; Chests-WUO_ERR'!BF8:BF507, _xlfn.LAMBDA(_xlpm.part, _xlpm.val, _xlpm.error, IF(_xlpm.part = "", "", IF(LEN(_xlpm.error), _xlfn.SWITCH(IFERROR(_xlfn.TEXTBEFORE(_xlpm.error,":"), ""), "1", "Error", "2", "Disabled", "3", "Required", "4", "Warning", "Valid"), "Valid"))))</f>
        <v/>
      </c>
      <c r="BG8" s="22">
        <f t="array" ref="BG8">_xlfn.MAP('13 - Dressers &amp; Chests'!B8:B507, '13 - Dressers &amp; Chests'!BG8:BG507, '13 - Dressers &amp; Chests-WUO_ERR'!BG8:BG507, _xlfn.LAMBDA(_xlpm.part, _xlpm.val, _xlpm.error, IF(_xlpm.part = "", "", IF(LEN(_xlpm.error), _xlfn.SWITCH(IFERROR(_xlfn.TEXTBEFORE(_xlpm.error,":"), ""), "1", "Error", "2", "Disabled", "3", "Required", "4", "Warning", "Valid"), "Valid"))))</f>
        <v/>
      </c>
      <c r="BH8" s="22">
        <f t="array" ref="BH8">_xlfn.MAP('13 - Dressers &amp; Chests'!B8:B507, '13 - Dressers &amp; Chests'!BH8:BH507, '13 - Dressers &amp; Chests-WUO_ERR'!BH8:BH507, _xlfn.LAMBDA(_xlpm.part, _xlpm.val, _xlpm.error, IF(_xlpm.part = "", "", IF(LEN(_xlpm.error), _xlfn.SWITCH(IFERROR(_xlfn.TEXTBEFORE(_xlpm.error,":"), ""), "1", "Error", "2", "Disabled", "3", "Required", "4", "Warning", "Valid"), "Valid"))))</f>
        <v/>
      </c>
      <c r="BI8" s="22">
        <f t="array" ref="BI8">_xlfn.MAP('13 - Dressers &amp; Chests'!B8:B507, '13 - Dressers &amp; Chests'!BI8:BI507, '13 - Dressers &amp; Chests-WUO_ERR'!BI8:BI507, _xlfn.LAMBDA(_xlpm.part, _xlpm.val, _xlpm.error, IF(_xlpm.part = "", "", IF(LEN(_xlpm.error), _xlfn.SWITCH(IFERROR(_xlfn.TEXTBEFORE(_xlpm.error,":"), ""), "1", "Error", "2", "Disabled", "3", "Required", "4", "Warning", "Valid"), "Valid"))))</f>
        <v/>
      </c>
      <c r="BJ8" s="22">
        <f t="array" ref="BJ8">_xlfn.MAP('13 - Dressers &amp; Chests'!B8:B507, '13 - Dressers &amp; Chests'!BJ8:BJ507, '13 - Dressers &amp; Chests-WUO_ERR'!BJ8:BJ507, _xlfn.LAMBDA(_xlpm.part, _xlpm.val, _xlpm.error, IF(_xlpm.part = "", "", IF(LEN(_xlpm.error), _xlfn.SWITCH(IFERROR(_xlfn.TEXTBEFORE(_xlpm.error,":"), ""), "1", "Error", "2", "Disabled", "3", "Required", "4", "Warning", "Valid"), "Valid"))))</f>
        <v/>
      </c>
      <c r="BK8" s="22">
        <f t="array" ref="BK8">_xlfn.MAP('13 - Dressers &amp; Chests'!B8:B507, '13 - Dressers &amp; Chests'!BK8:BK507, '13 - Dressers &amp; Chests-WUO_ERR'!BK8:BK507, _xlfn.LAMBDA(_xlpm.part, _xlpm.val, _xlpm.error, IF(_xlpm.part = "", "", IF(LEN(_xlpm.error), _xlfn.SWITCH(IFERROR(_xlfn.TEXTBEFORE(_xlpm.error,":"), ""), "1", "Error", "2", "Disabled", "3", "Required", "4", "Warning", "Valid"), "Valid"))))</f>
        <v/>
      </c>
      <c r="BL8" s="22">
        <f t="array" ref="BL8">_xlfn.MAP('13 - Dressers &amp; Chests'!B8:B507, '13 - Dressers &amp; Chests'!BL8:BL507, '13 - Dressers &amp; Chests-WUO_ERR'!BL8:BL507, _xlfn.LAMBDA(_xlpm.part, _xlpm.val, _xlpm.error, IF(_xlpm.part = "", "", IF(LEN(_xlpm.error), _xlfn.SWITCH(IFERROR(_xlfn.TEXTBEFORE(_xlpm.error,":"), ""), "1", "Error", "2", "Disabled", "3", "Required", "4", "Warning", "Valid"), "Valid"))))</f>
        <v/>
      </c>
      <c r="BM8" s="22">
        <f t="array" ref="BM8">_xlfn.MAP('13 - Dressers &amp; Chests'!B8:B507, '13 - Dressers &amp; Chests'!BM8:BM507, '13 - Dressers &amp; Chests-WUO_ERR'!BM8:BM507, _xlfn.LAMBDA(_xlpm.part, _xlpm.val, _xlpm.error, IF(_xlpm.part = "", "", IF(LEN(_xlpm.error), _xlfn.SWITCH(IFERROR(_xlfn.TEXTBEFORE(_xlpm.error,":"), ""), "1", "Error", "2", "Disabled", "3", "Required", "4", "Warning", "Valid"), "Valid"))))</f>
        <v/>
      </c>
      <c r="BN8" s="22">
        <f t="array" ref="BN8">_xlfn.MAP('13 - Dressers &amp; Chests'!B8:B507, '13 - Dressers &amp; Chests'!BN8:BN507, '13 - Dressers &amp; Chests-WUO_ERR'!BN8:BN507, _xlfn.LAMBDA(_xlpm.part, _xlpm.val, _xlpm.error, IF(_xlpm.part = "", "", IF(LEN(_xlpm.error), _xlfn.SWITCH(IFERROR(_xlfn.TEXTBEFORE(_xlpm.error,":"), ""), "1", "Error", "2", "Disabled", "3", "Required", "4", "Warning", "Valid"), "Valid"))))</f>
        <v/>
      </c>
      <c r="BO8" s="22">
        <f t="array" ref="BO8">_xlfn.MAP('13 - Dressers &amp; Chests'!B8:B507, '13 - Dressers &amp; Chests'!BO8:BO507, '13 - Dressers &amp; Chests-WUO_ERR'!BO8:BO507, _xlfn.LAMBDA(_xlpm.part, _xlpm.val, _xlpm.error, IF(_xlpm.part = "", "", IF(LEN(_xlpm.error), _xlfn.SWITCH(IFERROR(_xlfn.TEXTBEFORE(_xlpm.error,":"), ""), "1", "Error", "2", "Disabled", "3", "Required", "4", "Warning", "Valid"), "Valid"))))</f>
        <v/>
      </c>
      <c r="BP8" s="22">
        <f t="array" ref="BP8">_xlfn.MAP('13 - Dressers &amp; Chests'!B8:B507, '13 - Dressers &amp; Chests'!BP8:BP507, '13 - Dressers &amp; Chests-WUO_ERR'!BP8:BP507, _xlfn.LAMBDA(_xlpm.part, _xlpm.val, _xlpm.error, IF(_xlpm.part = "", "", IF(LEN(_xlpm.error), _xlfn.SWITCH(IFERROR(_xlfn.TEXTBEFORE(_xlpm.error,":"), ""), "1", "Error", "2", "Disabled", "3", "Required", "4", "Warning", "Valid"), "Valid"))))</f>
        <v/>
      </c>
      <c r="BQ8" s="22">
        <f t="array" ref="BQ8">_xlfn.MAP('13 - Dressers &amp; Chests'!B8:B507, '13 - Dressers &amp; Chests'!BQ8:BQ507, '13 - Dressers &amp; Chests-WUO_ERR'!BQ8:BQ507, _xlfn.LAMBDA(_xlpm.part, _xlpm.val, _xlpm.error, IF(_xlpm.part = "", "", IF(LEN(_xlpm.error), _xlfn.SWITCH(IFERROR(_xlfn.TEXTBEFORE(_xlpm.error,":"), ""), "1", "Error", "2", "Disabled", "3", "Required", "4", "Warning", "Valid"), "Valid"))))</f>
        <v/>
      </c>
      <c r="BR8" s="22">
        <f t="array" ref="BR8">_xlfn.MAP('13 - Dressers &amp; Chests'!B8:B507, '13 - Dressers &amp; Chests'!BR8:BR507, '13 - Dressers &amp; Chests-WUO_ERR'!BR8:BR507, _xlfn.LAMBDA(_xlpm.part, _xlpm.val, _xlpm.error, IF(_xlpm.part = "", "", IF(LEN(_xlpm.error), _xlfn.SWITCH(IFERROR(_xlfn.TEXTBEFORE(_xlpm.error,":"), ""), "1", "Error", "2", "Disabled", "3", "Required", "4", "Warning", "Valid"), "Valid"))))</f>
        <v/>
      </c>
      <c r="BS8" s="22">
        <f t="array" ref="BS8">_xlfn.MAP('13 - Dressers &amp; Chests'!B8:B507, '13 - Dressers &amp; Chests'!BS8:BS507, '13 - Dressers &amp; Chests-WUO_ERR'!BS8:BS507, _xlfn.LAMBDA(_xlpm.part, _xlpm.val, _xlpm.error, IF(_xlpm.part = "", "", IF(LEN(_xlpm.error), _xlfn.SWITCH(IFERROR(_xlfn.TEXTBEFORE(_xlpm.error,":"), ""), "1", "Error", "2", "Disabled", "3", "Required", "4", "Warning", "Valid"), "Valid"))))</f>
        <v/>
      </c>
      <c r="BT8" s="22">
        <f t="array" ref="BT8">_xlfn.MAP('13 - Dressers &amp; Chests'!B8:B507, '13 - Dressers &amp; Chests'!BT8:BT507, '13 - Dressers &amp; Chests-WUO_ERR'!BT8:BT507, _xlfn.LAMBDA(_xlpm.part, _xlpm.val, _xlpm.error, IF(_xlpm.part = "", "", IF(LEN(_xlpm.error), _xlfn.SWITCH(IFERROR(_xlfn.TEXTBEFORE(_xlpm.error,":"), ""), "1", "Error", "2", "Disabled", "3", "Required", "4", "Warning", "Valid"), "Valid"))))</f>
        <v/>
      </c>
      <c r="BU8" s="22">
        <f t="array" ref="BU8">_xlfn.MAP('13 - Dressers &amp; Chests'!B8:B507, '13 - Dressers &amp; Chests'!BU8:BU507, '13 - Dressers &amp; Chests-WUO_ERR'!BU8:BU507, _xlfn.LAMBDA(_xlpm.part, _xlpm.val, _xlpm.error, IF(_xlpm.part = "", "", IF(LEN(_xlpm.error), _xlfn.SWITCH(IFERROR(_xlfn.TEXTBEFORE(_xlpm.error,":"), ""), "1", "Error", "2", "Disabled", "3", "Required", "4", "Warning", "Valid"), "Valid"))))</f>
        <v/>
      </c>
      <c r="BV8" s="22">
        <f t="array" ref="BV8">_xlfn.MAP('13 - Dressers &amp; Chests'!B8:B507, '13 - Dressers &amp; Chests'!BV8:BV507, '13 - Dressers &amp; Chests-WUO_ERR'!BV8:BV507, _xlfn.LAMBDA(_xlpm.part, _xlpm.val, _xlpm.error, IF(_xlpm.part = "", "", IF(LEN(_xlpm.error), _xlfn.SWITCH(IFERROR(_xlfn.TEXTBEFORE(_xlpm.error,":"), ""), "1", "Error", "2", "Disabled", "3", "Required", "4", "Warning", "Valid"), "Valid"))))</f>
        <v/>
      </c>
      <c r="BW8" s="22">
        <f t="array" ref="BW8">_xlfn.MAP('13 - Dressers &amp; Chests'!B8:B507, '13 - Dressers &amp; Chests'!BW8:BW507, '13 - Dressers &amp; Chests-WUO_ERR'!BW8:BW507, _xlfn.LAMBDA(_xlpm.part, _xlpm.val, _xlpm.error, IF(_xlpm.part = "", "", IF(LEN(_xlpm.error), _xlfn.SWITCH(IFERROR(_xlfn.TEXTBEFORE(_xlpm.error,":"), ""), "1", "Error", "2", "Disabled", "3", "Required", "4", "Warning", "Valid"), "Valid"))))</f>
        <v/>
      </c>
      <c r="BX8" s="22">
        <f t="array" ref="BX8">_xlfn.MAP('13 - Dressers &amp; Chests'!B8:B507, '13 - Dressers &amp; Chests'!BX8:BX507, '13 - Dressers &amp; Chests-WUO_ERR'!BX8:BX507, _xlfn.LAMBDA(_xlpm.part, _xlpm.val, _xlpm.error, IF(_xlpm.part = "", "", IF(LEN(_xlpm.error), _xlfn.SWITCH(IFERROR(_xlfn.TEXTBEFORE(_xlpm.error,":"), ""), "1", "Error", "2", "Disabled", "3", "Required", "4", "Warning", "Valid"), "Valid"))))</f>
        <v/>
      </c>
      <c r="BY8" s="22">
        <f t="array" ref="BY8">_xlfn.MAP('13 - Dressers &amp; Chests'!B8:B507, '13 - Dressers &amp; Chests'!BY8:BY507, '13 - Dressers &amp; Chests-WUO_ERR'!BY8:BY507, _xlfn.LAMBDA(_xlpm.part, _xlpm.val, _xlpm.error, IF(_xlpm.part = "", "", IF(LEN(_xlpm.error), _xlfn.SWITCH(IFERROR(_xlfn.TEXTBEFORE(_xlpm.error,":"), ""), "1", "Error", "2", "Disabled", "3", "Required", "4", "Warning", "Valid"), "Valid"))))</f>
        <v/>
      </c>
      <c r="BZ8" s="22">
        <f t="array" ref="BZ8">_xlfn.MAP('13 - Dressers &amp; Chests'!B8:B507, '13 - Dressers &amp; Chests'!BZ8:BZ507, '13 - Dressers &amp; Chests-WUO_ERR'!BZ8:BZ507, _xlfn.LAMBDA(_xlpm.part, _xlpm.val, _xlpm.error, IF(_xlpm.part = "", "", IF(LEN(_xlpm.error), _xlfn.SWITCH(IFERROR(_xlfn.TEXTBEFORE(_xlpm.error,":"), ""), "1", "Error", "2", "Disabled", "3", "Required", "4", "Warning", "Valid"), "Valid"))))</f>
        <v/>
      </c>
      <c r="CA8" s="22">
        <f t="array" ref="CA8">_xlfn.MAP('13 - Dressers &amp; Chests'!B8:B507, '13 - Dressers &amp; Chests'!CA8:CA507, '13 - Dressers &amp; Chests-WUO_ERR'!CA8:CA507, _xlfn.LAMBDA(_xlpm.part, _xlpm.val, _xlpm.error, IF(_xlpm.part = "", "", IF(LEN(_xlpm.error), _xlfn.SWITCH(IFERROR(_xlfn.TEXTBEFORE(_xlpm.error,":"), ""), "1", "Error", "2", "Disabled", "3", "Required", "4", "Warning", "Valid"), "Valid"))))</f>
        <v/>
      </c>
      <c r="CB8" s="22">
        <f t="array" ref="CB8">_xlfn.MAP('13 - Dressers &amp; Chests'!B8:B507, '13 - Dressers &amp; Chests'!CB8:CB507, '13 - Dressers &amp; Chests-WUO_ERR'!CB8:CB507, _xlfn.LAMBDA(_xlpm.part, _xlpm.val, _xlpm.error, IF(_xlpm.part = "", "", IF(LEN(_xlpm.error), _xlfn.SWITCH(IFERROR(_xlfn.TEXTBEFORE(_xlpm.error,":"), ""), "1", "Error", "2", "Disabled", "3", "Required", "4", "Warning", "Valid"), "Valid"))))</f>
        <v/>
      </c>
      <c r="CC8" s="22">
        <f t="array" ref="CC8">_xlfn.MAP('13 - Dressers &amp; Chests'!B8:B507, '13 - Dressers &amp; Chests'!CC8:CC507, '13 - Dressers &amp; Chests-WUO_ERR'!CC8:CC507, _xlfn.LAMBDA(_xlpm.part, _xlpm.val, _xlpm.error, IF(_xlpm.part = "", "", IF(LEN(_xlpm.error), _xlfn.SWITCH(IFERROR(_xlfn.TEXTBEFORE(_xlpm.error,":"), ""), "1", "Error", "2", "Disabled", "3", "Required", "4", "Warning", "Valid"), "Valid"))))</f>
        <v/>
      </c>
      <c r="CD8" s="22">
        <f t="array" ref="CD8">_xlfn.MAP('13 - Dressers &amp; Chests'!B8:B507, '13 - Dressers &amp; Chests'!CD8:CD507, '13 - Dressers &amp; Chests-WUO_ERR'!CD8:CD507, _xlfn.LAMBDA(_xlpm.part, _xlpm.val, _xlpm.error, IF(_xlpm.part = "", "", IF(LEN(_xlpm.error), _xlfn.SWITCH(IFERROR(_xlfn.TEXTBEFORE(_xlpm.error,":"), ""), "1", "Error", "2", "Disabled", "3", "Required", "4", "Warning", "Valid"), "Valid"))))</f>
        <v/>
      </c>
      <c r="CE8" s="22">
        <f t="array" ref="CE8">_xlfn.MAP('13 - Dressers &amp; Chests'!B8:B507, '13 - Dressers &amp; Chests'!CE8:CE507, '13 - Dressers &amp; Chests-WUO_ERR'!CE8:CE507, _xlfn.LAMBDA(_xlpm.part, _xlpm.val, _xlpm.error, IF(_xlpm.part = "", "", IF(LEN(_xlpm.error), _xlfn.SWITCH(IFERROR(_xlfn.TEXTBEFORE(_xlpm.error,":"), ""), "1", "Error", "2", "Disabled", "3", "Required", "4", "Warning", "Valid"), "Valid"))))</f>
        <v/>
      </c>
      <c r="CF8" s="22">
        <f t="array" ref="CF8">_xlfn.MAP('13 - Dressers &amp; Chests'!B8:B507, '13 - Dressers &amp; Chests'!CF8:CF507, '13 - Dressers &amp; Chests-WUO_ERR'!CF8:CF507, _xlfn.LAMBDA(_xlpm.part, _xlpm.val, _xlpm.error, IF(_xlpm.part = "", "", IF(LEN(_xlpm.error), _xlfn.SWITCH(IFERROR(_xlfn.TEXTBEFORE(_xlpm.error,":"), ""), "1", "Error", "2", "Disabled", "3", "Required", "4", "Warning", "Valid"), "Valid"))))</f>
        <v/>
      </c>
      <c r="CG8" s="22">
        <f t="array" ref="CG8">_xlfn.MAP('13 - Dressers &amp; Chests'!B8:B507, '13 - Dressers &amp; Chests'!CG8:CG507, '13 - Dressers &amp; Chests-WUO_ERR'!CG8:CG507, _xlfn.LAMBDA(_xlpm.part, _xlpm.val, _xlpm.error, IF(_xlpm.part = "", "", IF(LEN(_xlpm.error), _xlfn.SWITCH(IFERROR(_xlfn.TEXTBEFORE(_xlpm.error,":"), ""), "1", "Error", "2", "Disabled", "3", "Required", "4", "Warning", "Valid"), "Valid"))))</f>
        <v/>
      </c>
      <c r="CH8" s="22">
        <f t="array" ref="CH8">_xlfn.MAP('13 - Dressers &amp; Chests'!B8:B507, '13 - Dressers &amp; Chests'!CH8:CH507, '13 - Dressers &amp; Chests-WUO_ERR'!CH8:CH507, _xlfn.LAMBDA(_xlpm.part, _xlpm.val, _xlpm.error, IF(_xlpm.part = "", "", IF(LEN(_xlpm.error), _xlfn.SWITCH(IFERROR(_xlfn.TEXTBEFORE(_xlpm.error,":"), ""), "1", "Error", "2", "Disabled", "3", "Required", "4", "Warning", "Valid"), "Valid"))))</f>
        <v/>
      </c>
      <c r="CI8" s="22">
        <f t="array" ref="CI8">_xlfn.MAP('13 - Dressers &amp; Chests'!B8:B507, '13 - Dressers &amp; Chests'!CI8:CI507, '13 - Dressers &amp; Chests-WUO_ERR'!CI8:CI507, _xlfn.LAMBDA(_xlpm.part, _xlpm.val, _xlpm.error, IF(_xlpm.part = "", "", IF(LEN(_xlpm.error), _xlfn.SWITCH(IFERROR(_xlfn.TEXTBEFORE(_xlpm.error,":"), ""), "1", "Error", "2", "Disabled", "3", "Required", "4", "Warning", "Valid"), "Valid"))))</f>
        <v/>
      </c>
      <c r="CJ8" s="22">
        <f t="array" ref="CJ8">_xlfn.MAP('13 - Dressers &amp; Chests'!B8:B507, '13 - Dressers &amp; Chests'!CJ8:CJ507, '13 - Dressers &amp; Chests-WUO_ERR'!CJ8:CJ507, _xlfn.LAMBDA(_xlpm.part, _xlpm.val, _xlpm.error, IF(_xlpm.part = "", "", IF(LEN(_xlpm.error), _xlfn.SWITCH(IFERROR(_xlfn.TEXTBEFORE(_xlpm.error,":"), ""), "1", "Error", "2", "Disabled", "3", "Required", "4", "Warning", "Valid"), "Valid"))))</f>
        <v/>
      </c>
      <c r="CK8" s="22">
        <f t="array" ref="CK8">_xlfn.MAP('13 - Dressers &amp; Chests'!B8:B507, '13 - Dressers &amp; Chests'!CK8:CK507, '13 - Dressers &amp; Chests-WUO_ERR'!CK8:CK507, _xlfn.LAMBDA(_xlpm.part, _xlpm.val, _xlpm.error, IF(_xlpm.part = "", "", IF(LEN(_xlpm.error), _xlfn.SWITCH(IFERROR(_xlfn.TEXTBEFORE(_xlpm.error,":"), ""), "1", "Error", "2", "Disabled", "3", "Required", "4", "Warning", "Valid"), "Valid"))))</f>
        <v/>
      </c>
      <c r="CL8" s="22">
        <f t="array" ref="CL8">_xlfn.MAP('13 - Dressers &amp; Chests'!B8:B507, '13 - Dressers &amp; Chests'!CL8:CL507, '13 - Dressers &amp; Chests-WUO_ERR'!CL8:CL507, _xlfn.LAMBDA(_xlpm.part, _xlpm.val, _xlpm.error, IF(_xlpm.part = "", "", IF(LEN(_xlpm.error), _xlfn.SWITCH(IFERROR(_xlfn.TEXTBEFORE(_xlpm.error,":"), ""), "1", "Error", "2", "Disabled", "3", "Required", "4", "Warning", "Valid"), "Valid"))))</f>
        <v/>
      </c>
      <c r="CM8" s="22">
        <f t="array" ref="CM8">_xlfn.MAP('13 - Dressers &amp; Chests'!B8:B507, '13 - Dressers &amp; Chests'!CM8:CM507, '13 - Dressers &amp; Chests-WUO_ERR'!CM8:CM507, _xlfn.LAMBDA(_xlpm.part, _xlpm.val, _xlpm.error, IF(_xlpm.part = "", "", IF(LEN(_xlpm.error), _xlfn.SWITCH(IFERROR(_xlfn.TEXTBEFORE(_xlpm.error,":"), ""), "1", "Error", "2", "Disabled", "3", "Required", "4", "Warning", "Valid"), "Valid"))))</f>
        <v/>
      </c>
      <c r="CN8" s="22">
        <f t="array" ref="CN8">_xlfn.MAP('13 - Dressers &amp; Chests'!B8:B507, '13 - Dressers &amp; Chests'!CN8:CN507, '13 - Dressers &amp; Chests-WUO_ERR'!CN8:CN507, _xlfn.LAMBDA(_xlpm.part, _xlpm.val, _xlpm.error, IF(_xlpm.part = "", "", IF(LEN(_xlpm.error), _xlfn.SWITCH(IFERROR(_xlfn.TEXTBEFORE(_xlpm.error,":"), ""), "1", "Error", "2", "Disabled", "3", "Required", "4", "Warning", "Valid"), "Valid"))))</f>
        <v/>
      </c>
      <c r="CO8" s="22">
        <f t="array" ref="CO8">_xlfn.MAP('13 - Dressers &amp; Chests'!B8:B507, '13 - Dressers &amp; Chests'!CO8:CO507, '13 - Dressers &amp; Chests-WUO_ERR'!CO8:CO507, _xlfn.LAMBDA(_xlpm.part, _xlpm.val, _xlpm.error, IF(_xlpm.part = "", "", IF(LEN(_xlpm.error), _xlfn.SWITCH(IFERROR(_xlfn.TEXTBEFORE(_xlpm.error,":"), ""), "1", "Error", "2", "Disabled", "3", "Required", "4", "Warning", "Valid"), "Valid"))))</f>
        <v/>
      </c>
      <c r="CP8" s="22">
        <f t="array" ref="CP8">_xlfn.MAP('13 - Dressers &amp; Chests'!B8:B507, '13 - Dressers &amp; Chests'!CP8:CP507, '13 - Dressers &amp; Chests-WUO_ERR'!CP8:CP507, _xlfn.LAMBDA(_xlpm.part, _xlpm.val, _xlpm.error, IF(_xlpm.part = "", "", IF(LEN(_xlpm.error), _xlfn.SWITCH(IFERROR(_xlfn.TEXTBEFORE(_xlpm.error,":"), ""), "1", "Error", "2", "Disabled", "3", "Required", "4", "Warning", "Valid"), "Valid"))))</f>
        <v/>
      </c>
      <c r="CQ8" s="22">
        <f t="array" ref="CQ8">_xlfn.MAP('13 - Dressers &amp; Chests'!B8:B507, '13 - Dressers &amp; Chests'!CQ8:CQ507, '13 - Dressers &amp; Chests-WUO_ERR'!CQ8:CQ507, _xlfn.LAMBDA(_xlpm.part, _xlpm.val, _xlpm.error, IF(_xlpm.part = "", "", IF(LEN(_xlpm.error), _xlfn.SWITCH(IFERROR(_xlfn.TEXTBEFORE(_xlpm.error,":"), ""), "1", "Error", "2", "Disabled", "3", "Required", "4", "Warning", "Valid"), "Valid"))))</f>
        <v/>
      </c>
      <c r="CR8" s="22">
        <f t="array" ref="CR8">_xlfn.MAP('13 - Dressers &amp; Chests'!B8:B507, '13 - Dressers &amp; Chests'!CR8:CR507, '13 - Dressers &amp; Chests-WUO_ERR'!CR8:CR507, _xlfn.LAMBDA(_xlpm.part, _xlpm.val, _xlpm.error, IF(_xlpm.part = "", "", IF(LEN(_xlpm.error), _xlfn.SWITCH(IFERROR(_xlfn.TEXTBEFORE(_xlpm.error,":"), ""), "1", "Error", "2", "Disabled", "3", "Required", "4", "Warning", "Valid"), "Valid"))))</f>
        <v/>
      </c>
      <c r="CS8" s="22">
        <f t="array" ref="CS8">_xlfn.MAP('13 - Dressers &amp; Chests'!B8:B507, '13 - Dressers &amp; Chests'!CS8:CS507, '13 - Dressers &amp; Chests-WUO_ERR'!CS8:CS507, _xlfn.LAMBDA(_xlpm.part, _xlpm.val, _xlpm.error, IF(_xlpm.part = "", "", IF(LEN(_xlpm.error), _xlfn.SWITCH(IFERROR(_xlfn.TEXTBEFORE(_xlpm.error,":"), ""), "1", "Error", "2", "Disabled", "3", "Required", "4", "Warning", "Valid"), "Valid"))))</f>
        <v/>
      </c>
      <c r="CT8" s="22">
        <f t="array" ref="CT8">_xlfn.MAP('13 - Dressers &amp; Chests'!B8:B507, '13 - Dressers &amp; Chests'!CT8:CT507, '13 - Dressers &amp; Chests-WUO_ERR'!CT8:CT507, _xlfn.LAMBDA(_xlpm.part, _xlpm.val, _xlpm.error, IF(_xlpm.part = "", "", IF(LEN(_xlpm.error), _xlfn.SWITCH(IFERROR(_xlfn.TEXTBEFORE(_xlpm.error,":"), ""), "1", "Error", "2", "Disabled", "3", "Required", "4", "Warning", "Valid"), "Valid"))))</f>
        <v/>
      </c>
      <c r="CU8" s="22">
        <f t="array" ref="CU8">_xlfn.MAP('13 - Dressers &amp; Chests'!B8:B507, '13 - Dressers &amp; Chests'!CU8:CU507, '13 - Dressers &amp; Chests-WUO_ERR'!CU8:CU507, _xlfn.LAMBDA(_xlpm.part, _xlpm.val, _xlpm.error, IF(_xlpm.part = "", "", IF(LEN(_xlpm.error), _xlfn.SWITCH(IFERROR(_xlfn.TEXTBEFORE(_xlpm.error,":"), ""), "1", "Error", "2", "Disabled", "3", "Required", "4", "Warning", "Valid"), "Valid"))))</f>
        <v/>
      </c>
      <c r="CV8" s="22">
        <f t="array" ref="CV8">_xlfn.MAP('13 - Dressers &amp; Chests'!B8:B507, '13 - Dressers &amp; Chests'!CV8:CV507, '13 - Dressers &amp; Chests-WUO_ERR'!CV8:CV507, _xlfn.LAMBDA(_xlpm.part, _xlpm.val, _xlpm.error, IF(_xlpm.part = "", "", IF(LEN(_xlpm.error), _xlfn.SWITCH(IFERROR(_xlfn.TEXTBEFORE(_xlpm.error,":"), ""), "1", "Error", "2", "Disabled", "3", "Required", "4", "Warning", "Valid"), "Valid"))))</f>
        <v/>
      </c>
      <c r="CW8" s="22">
        <f t="array" ref="CW8">_xlfn.MAP('13 - Dressers &amp; Chests'!B8:B507, '13 - Dressers &amp; Chests'!CW8:CW507, '13 - Dressers &amp; Chests-WUO_ERR'!CW8:CW507, _xlfn.LAMBDA(_xlpm.part, _xlpm.val, _xlpm.error, IF(_xlpm.part = "", "", IF(LEN(_xlpm.error), _xlfn.SWITCH(IFERROR(_xlfn.TEXTBEFORE(_xlpm.error,":"), ""), "1", "Error", "2", "Disabled", "3", "Required", "4", "Warning", "Valid"), "Valid"))))</f>
        <v/>
      </c>
      <c r="CX8" s="22">
        <f t="array" ref="CX8">_xlfn.MAP('13 - Dressers &amp; Chests'!B8:B507, '13 - Dressers &amp; Chests'!CX8:CX507, '13 - Dressers &amp; Chests-WUO_ERR'!CX8:CX507, _xlfn.LAMBDA(_xlpm.part, _xlpm.val, _xlpm.error, IF(_xlpm.part = "", "", IF(LEN(_xlpm.error), _xlfn.SWITCH(IFERROR(_xlfn.TEXTBEFORE(_xlpm.error,":"), ""), "1", "Error", "2", "Disabled", "3", "Required", "4", "Warning", "Valid"), "Valid"))))</f>
        <v/>
      </c>
      <c r="CY8" s="22">
        <f t="array" ref="CY8">_xlfn.MAP('13 - Dressers &amp; Chests'!B8:B507, '13 - Dressers &amp; Chests'!CY8:CY507, '13 - Dressers &amp; Chests-WUO_ERR'!CY8:CY507, _xlfn.LAMBDA(_xlpm.part, _xlpm.val, _xlpm.error, IF(_xlpm.part = "", "", IF(LEN(_xlpm.error), _xlfn.SWITCH(IFERROR(_xlfn.TEXTBEFORE(_xlpm.error,":"), ""), "1", "Error", "2", "Disabled", "3", "Required", "4", "Warning", "Valid"), "Valid"))))</f>
        <v/>
      </c>
      <c r="CZ8" s="22">
        <f t="array" ref="CZ8">_xlfn.MAP('13 - Dressers &amp; Chests'!B8:B507, '13 - Dressers &amp; Chests'!CZ8:CZ507, '13 - Dressers &amp; Chests-WUO_ERR'!CZ8:CZ507, _xlfn.LAMBDA(_xlpm.part, _xlpm.val, _xlpm.error, IF(_xlpm.part = "", "", IF(LEN(_xlpm.error), _xlfn.SWITCH(IFERROR(_xlfn.TEXTBEFORE(_xlpm.error,":"), ""), "1", "Error", "2", "Disabled", "3", "Required", "4", "Warning", "Valid"), "Valid"))))</f>
        <v/>
      </c>
      <c r="DA8" s="22">
        <f t="array" ref="DA8">_xlfn.MAP('13 - Dressers &amp; Chests'!B8:B507, '13 - Dressers &amp; Chests'!DA8:DA507, '13 - Dressers &amp; Chests-WUO_ERR'!DA8:DA507, _xlfn.LAMBDA(_xlpm.part, _xlpm.val, _xlpm.error, IF(_xlpm.part = "", "", IF(LEN(_xlpm.error), _xlfn.SWITCH(IFERROR(_xlfn.TEXTBEFORE(_xlpm.error,":"), ""), "1", "Error", "2", "Disabled", "3", "Required", "4", "Warning", "Valid"), "Valid"))))</f>
        <v/>
      </c>
      <c r="DB8" s="22">
        <f t="array" ref="DB8">_xlfn.MAP('13 - Dressers &amp; Chests'!B8:B507, '13 - Dressers &amp; Chests'!DB8:DB507, '13 - Dressers &amp; Chests-WUO_ERR'!DB8:DB507, _xlfn.LAMBDA(_xlpm.part, _xlpm.val, _xlpm.error, IF(_xlpm.part = "", "", IF(LEN(_xlpm.error), _xlfn.SWITCH(IFERROR(_xlfn.TEXTBEFORE(_xlpm.error,":"), ""), "1", "Error", "2", "Disabled", "3", "Required", "4", "Warning", "Valid"), "Valid"))))</f>
        <v/>
      </c>
      <c r="DC8" s="22">
        <f t="array" ref="DC8">_xlfn.MAP('13 - Dressers &amp; Chests'!B8:B507, '13 - Dressers &amp; Chests'!DC8:DC507, '13 - Dressers &amp; Chests-WUO_ERR'!DC8:DC507, _xlfn.LAMBDA(_xlpm.part, _xlpm.val, _xlpm.error, IF(_xlpm.part = "", "", IF(LEN(_xlpm.error), _xlfn.SWITCH(IFERROR(_xlfn.TEXTBEFORE(_xlpm.error,":"), ""), "1", "Error", "2", "Disabled", "3", "Required", "4", "Warning", "Valid"), "Valid"))))</f>
        <v/>
      </c>
      <c r="DD8" s="22">
        <f t="array" ref="DD8">_xlfn.MAP('13 - Dressers &amp; Chests'!B8:B507, '13 - Dressers &amp; Chests'!DD8:DD507, '13 - Dressers &amp; Chests-WUO_ERR'!DD8:DD507, _xlfn.LAMBDA(_xlpm.part, _xlpm.val, _xlpm.error, IF(_xlpm.part = "", "", IF(LEN(_xlpm.error), _xlfn.SWITCH(IFERROR(_xlfn.TEXTBEFORE(_xlpm.error,":"), ""), "1", "Error", "2", "Disabled", "3", "Required", "4", "Warning", "Valid"), "Valid"))))</f>
        <v/>
      </c>
      <c r="DE8" s="22">
        <f t="array" ref="DE8">_xlfn.MAP('13 - Dressers &amp; Chests'!B8:B507, '13 - Dressers &amp; Chests'!DE8:DE507, '13 - Dressers &amp; Chests-WUO_ERR'!DE8:DE507, _xlfn.LAMBDA(_xlpm.part, _xlpm.val, _xlpm.error, IF(_xlpm.part = "", "", IF(LEN(_xlpm.error), _xlfn.SWITCH(IFERROR(_xlfn.TEXTBEFORE(_xlpm.error,":"), ""), "1", "Error", "2", "Disabled", "3", "Required", "4", "Warning", "Valid"), "Valid"))))</f>
        <v/>
      </c>
      <c r="DF8" s="22">
        <f t="array" ref="DF8">_xlfn.MAP('13 - Dressers &amp; Chests'!B8:B507, '13 - Dressers &amp; Chests'!DF8:DF507, '13 - Dressers &amp; Chests-WUO_ERR'!DF8:DF507, _xlfn.LAMBDA(_xlpm.part, _xlpm.val, _xlpm.error, IF(_xlpm.part = "", "", IF(LEN(_xlpm.error), _xlfn.SWITCH(IFERROR(_xlfn.TEXTBEFORE(_xlpm.error,":"), ""), "1", "Error", "2", "Disabled", "3", "Required", "4", "Warning", "Valid"), "Valid"))))</f>
        <v/>
      </c>
      <c r="DG8" s="22">
        <f t="array" ref="DG8">_xlfn.MAP('13 - Dressers &amp; Chests'!B8:B507, '13 - Dressers &amp; Chests'!DG8:DG507, '13 - Dressers &amp; Chests-WUO_ERR'!DG8:DG507, _xlfn.LAMBDA(_xlpm.part, _xlpm.val, _xlpm.error, IF(_xlpm.part = "", "", IF(LEN(_xlpm.error), _xlfn.SWITCH(IFERROR(_xlfn.TEXTBEFORE(_xlpm.error,":"), ""), "1", "Error", "2", "Disabled", "3", "Required", "4", "Warning", "Valid"), "Valid"))))</f>
        <v/>
      </c>
      <c r="DH8" s="22">
        <f t="array" ref="DH8">_xlfn.MAP('13 - Dressers &amp; Chests'!B8:B507, '13 - Dressers &amp; Chests'!DH8:DH507, '13 - Dressers &amp; Chests-WUO_ERR'!DH8:DH507, _xlfn.LAMBDA(_xlpm.part, _xlpm.val, _xlpm.error, IF(_xlpm.part = "", "", IF(LEN(_xlpm.error), _xlfn.SWITCH(IFERROR(_xlfn.TEXTBEFORE(_xlpm.error,":"), ""), "1", "Error", "2", "Disabled", "3", "Required", "4", "Warning", "Valid"), "Valid"))))</f>
        <v/>
      </c>
      <c r="DI8" s="22">
        <f t="array" ref="DI8">_xlfn.MAP('13 - Dressers &amp; Chests'!B8:B507, '13 - Dressers &amp; Chests'!DI8:DI507, '13 - Dressers &amp; Chests-WUO_ERR'!DI8:DI507, _xlfn.LAMBDA(_xlpm.part, _xlpm.val, _xlpm.error, IF(_xlpm.part = "", "", IF(LEN(_xlpm.error), _xlfn.SWITCH(IFERROR(_xlfn.TEXTBEFORE(_xlpm.error,":"), ""), "1", "Error", "2", "Disabled", "3", "Required", "4", "Warning", "Valid"), "Valid"))))</f>
        <v/>
      </c>
      <c r="DJ8" s="22">
        <f t="array" ref="DJ8">_xlfn.MAP('13 - Dressers &amp; Chests'!B8:B507, '13 - Dressers &amp; Chests'!DJ8:DJ507, '13 - Dressers &amp; Chests-WUO_ERR'!DJ8:DJ507, _xlfn.LAMBDA(_xlpm.part, _xlpm.val, _xlpm.error, IF(_xlpm.part = "", "", IF(LEN(_xlpm.error), _xlfn.SWITCH(IFERROR(_xlfn.TEXTBEFORE(_xlpm.error,":"), ""), "1", "Error", "2", "Disabled", "3", "Required", "4", "Warning", "Valid"), "Valid"))))</f>
        <v/>
      </c>
      <c r="DK8" s="22">
        <f t="array" ref="DK8">_xlfn.MAP('13 - Dressers &amp; Chests'!B8:B507, '13 - Dressers &amp; Chests'!DK8:DK507, '13 - Dressers &amp; Chests-WUO_ERR'!DK8:DK507, _xlfn.LAMBDA(_xlpm.part, _xlpm.val, _xlpm.error, IF(_xlpm.part = "", "", IF(LEN(_xlpm.error), _xlfn.SWITCH(IFERROR(_xlfn.TEXTBEFORE(_xlpm.error,":"), ""), "1", "Error", "2", "Disabled", "3", "Required", "4", "Warning", "Valid"), "Valid"))))</f>
        <v/>
      </c>
      <c r="DL8" s="22">
        <f t="array" ref="DL8">_xlfn.MAP('13 - Dressers &amp; Chests'!B8:B507, '13 - Dressers &amp; Chests'!DL8:DL507, '13 - Dressers &amp; Chests-WUO_ERR'!DL8:DL507, _xlfn.LAMBDA(_xlpm.part, _xlpm.val, _xlpm.error, IF(_xlpm.part = "", "", IF(LEN(_xlpm.error), _xlfn.SWITCH(IFERROR(_xlfn.TEXTBEFORE(_xlpm.error,":"), ""), "1", "Error", "2", "Disabled", "3", "Required", "4", "Warning", "Valid"), "Valid"))))</f>
        <v/>
      </c>
      <c r="DM8" s="22">
        <f t="array" ref="DM8">_xlfn.MAP('13 - Dressers &amp; Chests'!B8:B507, '13 - Dressers &amp; Chests'!DM8:DM507, '13 - Dressers &amp; Chests-WUO_ERR'!DM8:DM507, _xlfn.LAMBDA(_xlpm.part, _xlpm.val, _xlpm.error, IF(_xlpm.part = "", "", IF(LEN(_xlpm.error), _xlfn.SWITCH(IFERROR(_xlfn.TEXTBEFORE(_xlpm.error,":"), ""), "1", "Error", "2", "Disabled", "3", "Required", "4", "Warning", "Valid"), "Valid"))))</f>
        <v/>
      </c>
      <c r="DN8" s="22">
        <f t="array" ref="DN8">_xlfn.MAP('13 - Dressers &amp; Chests'!B8:B507, '13 - Dressers &amp; Chests'!DN8:DN507, '13 - Dressers &amp; Chests-WUO_ERR'!DN8:DN507, _xlfn.LAMBDA(_xlpm.part, _xlpm.val, _xlpm.error, IF(_xlpm.part = "", "", IF(LEN(_xlpm.error), _xlfn.SWITCH(IFERROR(_xlfn.TEXTBEFORE(_xlpm.error,":"), ""), "1", "Error", "2", "Disabled", "3", "Required", "4", "Warning", "Valid"), "Valid"))))</f>
        <v/>
      </c>
      <c r="DO8" s="22">
        <f t="array" ref="DO8">_xlfn.MAP('13 - Dressers &amp; Chests'!B8:B507, '13 - Dressers &amp; Chests'!DO8:DO507, '13 - Dressers &amp; Chests-WUO_ERR'!DO8:DO507, _xlfn.LAMBDA(_xlpm.part, _xlpm.val, _xlpm.error, IF(_xlpm.part = "", "", IF(LEN(_xlpm.error), _xlfn.SWITCH(IFERROR(_xlfn.TEXTBEFORE(_xlpm.error,":"), ""), "1", "Error", "2", "Disabled", "3", "Required", "4", "Warning", "Valid"), "Valid"))))</f>
        <v/>
      </c>
      <c r="DP8" s="22">
        <f t="array" ref="DP8">_xlfn.MAP('13 - Dressers &amp; Chests'!B8:B507, '13 - Dressers &amp; Chests'!DP8:DP507, '13 - Dressers &amp; Chests-WUO_ERR'!DP8:DP507, _xlfn.LAMBDA(_xlpm.part, _xlpm.val, _xlpm.error, IF(_xlpm.part = "", "", IF(LEN(_xlpm.error), _xlfn.SWITCH(IFERROR(_xlfn.TEXTBEFORE(_xlpm.error,":"), ""), "1", "Error", "2", "Disabled", "3", "Required", "4", "Warning", "Valid"), "Valid"))))</f>
        <v/>
      </c>
      <c r="DQ8" s="22">
        <f t="array" ref="DQ8">_xlfn.MAP('13 - Dressers &amp; Chests'!B8:B507, '13 - Dressers &amp; Chests'!DQ8:DQ507, '13 - Dressers &amp; Chests-WUO_ERR'!DQ8:DQ507, _xlfn.LAMBDA(_xlpm.part, _xlpm.val, _xlpm.error, IF(_xlpm.part = "", "", IF(LEN(_xlpm.error), _xlfn.SWITCH(IFERROR(_xlfn.TEXTBEFORE(_xlpm.error,":"), ""), "1", "Error", "2", "Disabled", "3", "Required", "4", "Warning", "Valid"), "Valid"))))</f>
        <v/>
      </c>
      <c r="DR8" s="22">
        <f t="array" ref="DR8">_xlfn.MAP('13 - Dressers &amp; Chests'!B8:B507, '13 - Dressers &amp; Chests'!DR8:DR507, '13 - Dressers &amp; Chests-WUO_ERR'!DR8:DR507, _xlfn.LAMBDA(_xlpm.part, _xlpm.val, _xlpm.error, IF(_xlpm.part = "", "", IF(LEN(_xlpm.error), _xlfn.SWITCH(IFERROR(_xlfn.TEXTBEFORE(_xlpm.error,":"), ""), "1", "Error", "2", "Disabled", "3", "Required", "4", "Warning", "Valid"), "Valid"))))</f>
        <v/>
      </c>
      <c r="DS8" s="22">
        <f t="array" ref="DS8">_xlfn.MAP('13 - Dressers &amp; Chests'!B8:B507, '13 - Dressers &amp; Chests'!DS8:DS507, '13 - Dressers &amp; Chests-WUO_ERR'!DS8:DS507, _xlfn.LAMBDA(_xlpm.part, _xlpm.val, _xlpm.error, IF(_xlpm.part = "", "", IF(LEN(_xlpm.error), _xlfn.SWITCH(IFERROR(_xlfn.TEXTBEFORE(_xlpm.error,":"), ""), "1", "Error", "2", "Disabled", "3", "Required", "4", "Warning", "Valid"), "Valid"))))</f>
        <v/>
      </c>
      <c r="DT8" s="22">
        <f t="array" ref="DT8">_xlfn.MAP('13 - Dressers &amp; Chests'!B8:B507, '13 - Dressers &amp; Chests'!DT8:DT507, '13 - Dressers &amp; Chests-WUO_ERR'!DT8:DT507, _xlfn.LAMBDA(_xlpm.part, _xlpm.val, _xlpm.error, IF(_xlpm.part = "", "", IF(LEN(_xlpm.error), _xlfn.SWITCH(IFERROR(_xlfn.TEXTBEFORE(_xlpm.error,":"), ""), "1", "Error", "2", "Disabled", "3", "Required", "4", "Warning", "Valid"), "Valid"))))</f>
        <v/>
      </c>
      <c r="DU8" s="22">
        <f t="array" ref="DU8">_xlfn.MAP('13 - Dressers &amp; Chests'!B8:B507, '13 - Dressers &amp; Chests'!DU8:DU507, '13 - Dressers &amp; Chests-WUO_ERR'!DU8:DU507, _xlfn.LAMBDA(_xlpm.part, _xlpm.val, _xlpm.error, IF(_xlpm.part = "", "", IF(LEN(_xlpm.error), _xlfn.SWITCH(IFERROR(_xlfn.TEXTBEFORE(_xlpm.error,":"), ""), "1", "Error", "2", "Disabled", "3", "Required", "4", "Warning", "Valid"), "Valid"))))</f>
        <v/>
      </c>
      <c r="DV8" s="22">
        <f t="array" ref="DV8">_xlfn.MAP('13 - Dressers &amp; Chests'!B8:B507, '13 - Dressers &amp; Chests'!DV8:DV507, '13 - Dressers &amp; Chests-WUO_ERR'!DV8:DV507, _xlfn.LAMBDA(_xlpm.part, _xlpm.val, _xlpm.error, IF(_xlpm.part = "", "", IF(LEN(_xlpm.error), _xlfn.SWITCH(IFERROR(_xlfn.TEXTBEFORE(_xlpm.error,":"), ""), "1", "Error", "2", "Disabled", "3", "Required", "4", "Warning", "Valid"), "Valid"))))</f>
        <v/>
      </c>
      <c r="DW8" s="22">
        <f t="array" ref="DW8">_xlfn.MAP('13 - Dressers &amp; Chests'!B8:B507, '13 - Dressers &amp; Chests'!DW8:DW507, '13 - Dressers &amp; Chests-WUO_ERR'!DW8:DW507, _xlfn.LAMBDA(_xlpm.part, _xlpm.val, _xlpm.error, IF(_xlpm.part = "", "", IF(LEN(_xlpm.error), _xlfn.SWITCH(IFERROR(_xlfn.TEXTBEFORE(_xlpm.error,":"), ""), "1", "Error", "2", "Disabled", "3", "Required", "4", "Warning", "Valid"), "Valid"))))</f>
        <v/>
      </c>
      <c r="DX8" s="22">
        <f t="array" ref="DX8">_xlfn.MAP('13 - Dressers &amp; Chests'!B8:B507, '13 - Dressers &amp; Chests'!DX8:DX507, '13 - Dressers &amp; Chests-WUO_ERR'!DX8:DX507, _xlfn.LAMBDA(_xlpm.part, _xlpm.val, _xlpm.error, IF(_xlpm.part = "", "", IF(LEN(_xlpm.error), _xlfn.SWITCH(IFERROR(_xlfn.TEXTBEFORE(_xlpm.error,":"), ""), "1", "Error", "2", "Disabled", "3", "Required", "4", "Warning", "Valid"), "Valid"))))</f>
        <v/>
      </c>
      <c r="DY8" s="22">
        <f t="array" ref="DY8">_xlfn.MAP('13 - Dressers &amp; Chests'!B8:B507, '13 - Dressers &amp; Chests'!DY8:DY507, '13 - Dressers &amp; Chests-WUO_ERR'!DY8:DY507,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7CC"/>
  <mergeCells count="9">
    <mergeCell ref="AL2:AO2"/>
    <mergeCell ref="AP2:AS2"/>
    <mergeCell ref="U2:Z2"/>
    <mergeCell ref="R2:T2"/>
    <mergeCell ref="B2:I2"/>
    <mergeCell ref="BO2:DY2"/>
    <mergeCell ref="AA2:AK2"/>
    <mergeCell ref="AT2:BN2"/>
    <mergeCell ref="J2:Q2"/>
  </mergeCells>
  <dataValidations count="112">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FC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s="39">
        <f>IF('12 - Beds'!B8 = "", "", IF('12 - Beds-WUO_ERR'!A8 = "", "Validated", HYPERLINK("#" &amp; ADDRESS(8, '12 - Beds-WUO_TRK'!A8),_xlfn.TEXTAFTER('12 - Beds-WUO_ERR'!A8, ":"))))</f>
        <v/>
      </c>
      <c r="B8" t="inlineStr">
        <is>
          <t>CASA-BED-003</t>
        </is>
      </c>
      <c r="D8" t="inlineStr">
        <is>
          <t>Casa Design Furniture</t>
        </is>
      </c>
      <c r="F8" t="inlineStr">
        <is>
          <t>840134100037</t>
        </is>
      </c>
      <c r="G8" t="inlineStr">
        <is>
          <t>#003 PERRIS TWIN LOFT BED</t>
        </is>
      </c>
      <c r="R8" t="n">
        <v>459</v>
      </c>
      <c r="U8" t="inlineStr">
        <is>
          <t>Space-saving twin loft bed with integrated workstation, keyboard drawer, and bookshelves. Solid wood construction.</t>
        </is>
      </c>
      <c r="AD8" t="n">
        <v>180</v>
      </c>
    </row>
    <row r="9">
      <c r="A9" s="39">
        <f>IF('12 - Beds'!B9 = "", "", IF('12 - Beds-WUO_ERR'!A9 = "", "Validated", HYPERLINK("#" &amp; ADDRESS(9, '12 - Beds-WUO_TRK'!A9),_xlfn.TEXTAFTER('12 - Beds-WUO_ERR'!A9, ":"))))</f>
        <v/>
      </c>
      <c r="B9" t="inlineStr">
        <is>
          <t>CASA-BED-002</t>
        </is>
      </c>
      <c r="D9" t="inlineStr">
        <is>
          <t>Casa Design Furniture</t>
        </is>
      </c>
      <c r="F9" t="inlineStr">
        <is>
          <t>840134100020</t>
        </is>
      </c>
      <c r="G9" t="inlineStr">
        <is>
          <t>#002 JONES TWIN BED WHITE</t>
        </is>
      </c>
      <c r="R9" t="n">
        <v>359</v>
      </c>
      <c r="U9" t="inlineStr">
        <is>
          <t>Minimalist Jones series twin bed in a crisp white finish. Ideal for modern bedrooms.</t>
        </is>
      </c>
      <c r="AD9" t="n">
        <v>85</v>
      </c>
    </row>
    <row r="10">
      <c r="A10" s="39">
        <f>IF('12 - Beds'!B10 = "", "", IF('12 - Beds-WUO_ERR'!A10 = "", "Validated", HYPERLINK("#" &amp; ADDRESS(10, '12 - Beds-WUO_TRK'!A10),_xlfn.TEXTAFTER('12 - Beds-WUO_ERR'!A10, ":"))))</f>
        <v/>
      </c>
    </row>
    <row r="11">
      <c r="A11" s="39">
        <f>IF('12 - Beds'!B11 = "", "", IF('12 - Beds-WUO_ERR'!A11 = "", "Validated", HYPERLINK("#" &amp; ADDRESS(11, '12 - Beds-WUO_TRK'!A11),_xlfn.TEXTAFTER('12 - Beds-WUO_ERR'!A11, ":"))))</f>
        <v/>
      </c>
    </row>
    <row r="12">
      <c r="A12" s="39">
        <f>IF('12 - Beds'!B12 = "", "", IF('12 - Beds-WUO_ERR'!A12 = "", "Validated", HYPERLINK("#" &amp; ADDRESS(12, '12 - Beds-WUO_TRK'!A12),_xlfn.TEXTAFTER('12 - Beds-WUO_ERR'!A12, ":"))))</f>
        <v/>
      </c>
    </row>
    <row r="13">
      <c r="A13" s="39">
        <f>IF('12 - Beds'!B13 = "", "", IF('12 - Beds-WUO_ERR'!A13 = "", "Validated", HYPERLINK("#" &amp; ADDRESS(13, '12 - Beds-WUO_TRK'!A13),_xlfn.TEXTAFTER('12 - Beds-WUO_ERR'!A13, ":"))))</f>
        <v/>
      </c>
    </row>
    <row r="14">
      <c r="A14" s="39">
        <f>IF('12 - Beds'!B14 = "", "", IF('12 - Beds-WUO_ERR'!A14 = "", "Validated", HYPERLINK("#" &amp; ADDRESS(14, '12 - Beds-WUO_TRK'!A14),_xlfn.TEXTAFTER('12 - Beds-WUO_ERR'!A14, ":"))))</f>
        <v/>
      </c>
    </row>
    <row r="15">
      <c r="A15" s="39">
        <f>IF('12 - Beds'!B15 = "", "", IF('12 - Beds-WUO_ERR'!A15 = "", "Validated", HYPERLINK("#" &amp; ADDRESS(15, '12 - Beds-WUO_TRK'!A15),_xlfn.TEXTAFTER('12 - Beds-WUO_ERR'!A15, ":"))))</f>
        <v/>
      </c>
    </row>
    <row r="16">
      <c r="A16" s="39">
        <f>IF('12 - Beds'!B16 = "", "", IF('12 - Beds-WUO_ERR'!A16 = "", "Validated", HYPERLINK("#" &amp; ADDRESS(16, '12 - Beds-WUO_TRK'!A16),_xlfn.TEXTAFTER('12 - Beds-WUO_ERR'!A16, ":"))))</f>
        <v/>
      </c>
    </row>
    <row r="17">
      <c r="A17" s="39">
        <f>IF('12 - Beds'!B17 = "", "", IF('12 - Beds-WUO_ERR'!A17 = "", "Validated", HYPERLINK("#" &amp; ADDRESS(17, '12 - Beds-WUO_TRK'!A17),_xlfn.TEXTAFTER('12 - Beds-WUO_ERR'!A17, ":"))))</f>
        <v/>
      </c>
    </row>
    <row r="18">
      <c r="A18" s="39">
        <f>IF('12 - Beds'!B18 = "", "", IF('12 - Beds-WUO_ERR'!A18 = "", "Validated", HYPERLINK("#" &amp; ADDRESS(18, '12 - Beds-WUO_TRK'!A18),_xlfn.TEXTAFTER('12 - Beds-WUO_ERR'!A18, ":"))))</f>
        <v/>
      </c>
    </row>
    <row r="19">
      <c r="A19" s="39">
        <f>IF('12 - Beds'!B19 = "", "", IF('12 - Beds-WUO_ERR'!A19 = "", "Validated", HYPERLINK("#" &amp; ADDRESS(19, '12 - Beds-WUO_TRK'!A19),_xlfn.TEXTAFTER('12 - Beds-WUO_ERR'!A19, ":"))))</f>
        <v/>
      </c>
    </row>
    <row r="20">
      <c r="A20" s="39">
        <f>IF('12 - Beds'!B20 = "", "", IF('12 - Beds-WUO_ERR'!A20 = "", "Validated", HYPERLINK("#" &amp; ADDRESS(20, '12 - Beds-WUO_TRK'!A20),_xlfn.TEXTAFTER('12 - Beds-WUO_ERR'!A20, ":"))))</f>
        <v/>
      </c>
    </row>
    <row r="21">
      <c r="A21" s="39">
        <f>IF('12 - Beds'!B21 = "", "", IF('12 - Beds-WUO_ERR'!A21 = "", "Validated", HYPERLINK("#" &amp; ADDRESS(21, '12 - Beds-WUO_TRK'!A21),_xlfn.TEXTAFTER('12 - Beds-WUO_ERR'!A21, ":"))))</f>
        <v/>
      </c>
    </row>
    <row r="22">
      <c r="A22" s="39">
        <f>IF('12 - Beds'!B22 = "", "", IF('12 - Beds-WUO_ERR'!A22 = "", "Validated", HYPERLINK("#" &amp; ADDRESS(22, '12 - Beds-WUO_TRK'!A22),_xlfn.TEXTAFTER('12 - Beds-WUO_ERR'!A22, ":"))))</f>
        <v/>
      </c>
    </row>
    <row r="23">
      <c r="A23" s="39">
        <f>IF('12 - Beds'!B23 = "", "", IF('12 - Beds-WUO_ERR'!A23 = "", "Validated", HYPERLINK("#" &amp; ADDRESS(23, '12 - Beds-WUO_TRK'!A23),_xlfn.TEXTAFTER('12 - Beds-WUO_ERR'!A23, ":"))))</f>
        <v/>
      </c>
    </row>
    <row r="24">
      <c r="A24" s="39">
        <f>IF('12 - Beds'!B24 = "", "", IF('12 - Beds-WUO_ERR'!A24 = "", "Validated", HYPERLINK("#" &amp; ADDRESS(24, '12 - Beds-WUO_TRK'!A24),_xlfn.TEXTAFTER('12 - Beds-WUO_ERR'!A24, ":"))))</f>
        <v/>
      </c>
    </row>
    <row r="25">
      <c r="A25" s="39">
        <f>IF('12 - Beds'!B25 = "", "", IF('12 - Beds-WUO_ERR'!A25 = "", "Validated", HYPERLINK("#" &amp; ADDRESS(25, '12 - Beds-WUO_TRK'!A25),_xlfn.TEXTAFTER('12 - Beds-WUO_ERR'!A25, ":"))))</f>
        <v/>
      </c>
    </row>
    <row r="26">
      <c r="A26" s="39">
        <f>IF('12 - Beds'!B26 = "", "", IF('12 - Beds-WUO_ERR'!A26 = "", "Validated", HYPERLINK("#" &amp; ADDRESS(26, '12 - Beds-WUO_TRK'!A26),_xlfn.TEXTAFTER('12 - Beds-WUO_ERR'!A26, ":"))))</f>
        <v/>
      </c>
    </row>
    <row r="27">
      <c r="A27" s="39">
        <f>IF('12 - Beds'!B27 = "", "", IF('12 - Beds-WUO_ERR'!A27 = "", "Validated", HYPERLINK("#" &amp; ADDRESS(27, '12 - Beds-WUO_TRK'!A27),_xlfn.TEXTAFTER('12 - Beds-WUO_ERR'!A27, ":"))))</f>
        <v/>
      </c>
    </row>
    <row r="28">
      <c r="A28" s="39">
        <f>IF('12 - Beds'!B28 = "", "", IF('12 - Beds-WUO_ERR'!A28 = "", "Validated", HYPERLINK("#" &amp; ADDRESS(28, '12 - Beds-WUO_TRK'!A28),_xlfn.TEXTAFTER('12 - Beds-WUO_ERR'!A28, ":"))))</f>
        <v/>
      </c>
    </row>
    <row r="29">
      <c r="A29" s="39">
        <f>IF('12 - Beds'!B29 = "", "", IF('12 - Beds-WUO_ERR'!A29 = "", "Validated", HYPERLINK("#" &amp; ADDRESS(29, '12 - Beds-WUO_TRK'!A29),_xlfn.TEXTAFTER('12 - Beds-WUO_ERR'!A29, ":"))))</f>
        <v/>
      </c>
    </row>
    <row r="30">
      <c r="A30" s="39">
        <f>IF('12 - Beds'!B30 = "", "", IF('12 - Beds-WUO_ERR'!A30 = "", "Validated", HYPERLINK("#" &amp; ADDRESS(30, '12 - Beds-WUO_TRK'!A30),_xlfn.TEXTAFTER('12 - Beds-WUO_ERR'!A30, ":"))))</f>
        <v/>
      </c>
    </row>
    <row r="31">
      <c r="A31" s="39">
        <f>IF('12 - Beds'!B31 = "", "", IF('12 - Beds-WUO_ERR'!A31 = "", "Validated", HYPERLINK("#" &amp; ADDRESS(31, '12 - Beds-WUO_TRK'!A31),_xlfn.TEXTAFTER('12 - Beds-WUO_ERR'!A31, ":"))))</f>
        <v/>
      </c>
    </row>
    <row r="32">
      <c r="A32" s="39">
        <f>IF('12 - Beds'!B32 = "", "", IF('12 - Beds-WUO_ERR'!A32 = "", "Validated", HYPERLINK("#" &amp; ADDRESS(32, '12 - Beds-WUO_TRK'!A32),_xlfn.TEXTAFTER('12 - Beds-WUO_ERR'!A32, ":"))))</f>
        <v/>
      </c>
    </row>
    <row r="33">
      <c r="A33" s="39">
        <f>IF('12 - Beds'!B33 = "", "", IF('12 - Beds-WUO_ERR'!A33 = "", "Validated", HYPERLINK("#" &amp; ADDRESS(33, '12 - Beds-WUO_TRK'!A33),_xlfn.TEXTAFTER('12 - Beds-WUO_ERR'!A33, ":"))))</f>
        <v/>
      </c>
    </row>
    <row r="34">
      <c r="A34" s="39">
        <f>IF('12 - Beds'!B34 = "", "", IF('12 - Beds-WUO_ERR'!A34 = "", "Validated", HYPERLINK("#" &amp; ADDRESS(34, '12 - Beds-WUO_TRK'!A34),_xlfn.TEXTAFTER('12 - Beds-WUO_ERR'!A34, ":"))))</f>
        <v/>
      </c>
    </row>
    <row r="35">
      <c r="A35" s="39">
        <f>IF('12 - Beds'!B35 = "", "", IF('12 - Beds-WUO_ERR'!A35 = "", "Validated", HYPERLINK("#" &amp; ADDRESS(35, '12 - Beds-WUO_TRK'!A35),_xlfn.TEXTAFTER('12 - Beds-WUO_ERR'!A35, ":"))))</f>
        <v/>
      </c>
    </row>
    <row r="36">
      <c r="A36" s="39">
        <f>IF('12 - Beds'!B36 = "", "", IF('12 - Beds-WUO_ERR'!A36 = "", "Validated", HYPERLINK("#" &amp; ADDRESS(36, '12 - Beds-WUO_TRK'!A36),_xlfn.TEXTAFTER('12 - Beds-WUO_ERR'!A36, ":"))))</f>
        <v/>
      </c>
    </row>
    <row r="37">
      <c r="A37" s="39">
        <f>IF('12 - Beds'!B37 = "", "", IF('12 - Beds-WUO_ERR'!A37 = "", "Validated", HYPERLINK("#" &amp; ADDRESS(37, '12 - Beds-WUO_TRK'!A37),_xlfn.TEXTAFTER('12 - Beds-WUO_ERR'!A37, ":"))))</f>
        <v/>
      </c>
    </row>
    <row r="38">
      <c r="A38" s="39">
        <f>IF('12 - Beds'!B38 = "", "", IF('12 - Beds-WUO_ERR'!A38 = "", "Validated", HYPERLINK("#" &amp; ADDRESS(38, '12 - Beds-WUO_TRK'!A38),_xlfn.TEXTAFTER('12 - Beds-WUO_ERR'!A38, ":"))))</f>
        <v/>
      </c>
    </row>
    <row r="39">
      <c r="A39" s="39">
        <f>IF('12 - Beds'!B39 = "", "", IF('12 - Beds-WUO_ERR'!A39 = "", "Validated", HYPERLINK("#" &amp; ADDRESS(39, '12 - Beds-WUO_TRK'!A39),_xlfn.TEXTAFTER('12 - Beds-WUO_ERR'!A39, ":"))))</f>
        <v/>
      </c>
    </row>
    <row r="40">
      <c r="A40" s="39">
        <f>IF('12 - Beds'!B40 = "", "", IF('12 - Beds-WUO_ERR'!A40 = "", "Validated", HYPERLINK("#" &amp; ADDRESS(40, '12 - Beds-WUO_TRK'!A40),_xlfn.TEXTAFTER('12 - Beds-WUO_ERR'!A40, ":"))))</f>
        <v/>
      </c>
    </row>
    <row r="41">
      <c r="A41" s="39">
        <f>IF('12 - Beds'!B41 = "", "", IF('12 - Beds-WUO_ERR'!A41 = "", "Validated", HYPERLINK("#" &amp; ADDRESS(41, '12 - Beds-WUO_TRK'!A41),_xlfn.TEXTAFTER('12 - Beds-WUO_ERR'!A41, ":"))))</f>
        <v/>
      </c>
    </row>
    <row r="42">
      <c r="A42" s="39">
        <f>IF('12 - Beds'!B42 = "", "", IF('12 - Beds-WUO_ERR'!A42 = "", "Validated", HYPERLINK("#" &amp; ADDRESS(42, '12 - Beds-WUO_TRK'!A42),_xlfn.TEXTAFTER('12 - Beds-WUO_ERR'!A42, ":"))))</f>
        <v/>
      </c>
    </row>
    <row r="43">
      <c r="A43" s="39">
        <f>IF('12 - Beds'!B43 = "", "", IF('12 - Beds-WUO_ERR'!A43 = "", "Validated", HYPERLINK("#" &amp; ADDRESS(43, '12 - Beds-WUO_TRK'!A43),_xlfn.TEXTAFTER('12 - Beds-WUO_ERR'!A43, ":"))))</f>
        <v/>
      </c>
    </row>
    <row r="44">
      <c r="A44" s="39">
        <f>IF('12 - Beds'!B44 = "", "", IF('12 - Beds-WUO_ERR'!A44 = "", "Validated", HYPERLINK("#" &amp; ADDRESS(44, '12 - Beds-WUO_TRK'!A44),_xlfn.TEXTAFTER('12 - Beds-WUO_ERR'!A44, ":"))))</f>
        <v/>
      </c>
    </row>
    <row r="45">
      <c r="A45" s="39">
        <f>IF('12 - Beds'!B45 = "", "", IF('12 - Beds-WUO_ERR'!A45 = "", "Validated", HYPERLINK("#" &amp; ADDRESS(45, '12 - Beds-WUO_TRK'!A45),_xlfn.TEXTAFTER('12 - Beds-WUO_ERR'!A45, ":"))))</f>
        <v/>
      </c>
    </row>
    <row r="46">
      <c r="A46" s="39">
        <f>IF('12 - Beds'!B46 = "", "", IF('12 - Beds-WUO_ERR'!A46 = "", "Validated", HYPERLINK("#" &amp; ADDRESS(46, '12 - Beds-WUO_TRK'!A46),_xlfn.TEXTAFTER('12 - Beds-WUO_ERR'!A46, ":"))))</f>
        <v/>
      </c>
    </row>
    <row r="47">
      <c r="A47" s="39">
        <f>IF('12 - Beds'!B47 = "", "", IF('12 - Beds-WUO_ERR'!A47 = "", "Validated", HYPERLINK("#" &amp; ADDRESS(47, '12 - Beds-WUO_TRK'!A47),_xlfn.TEXTAFTER('12 - Beds-WUO_ERR'!A47, ":"))))</f>
        <v/>
      </c>
    </row>
    <row r="48">
      <c r="A48" s="39">
        <f>IF('12 - Beds'!B48 = "", "", IF('12 - Beds-WUO_ERR'!A48 = "", "Validated", HYPERLINK("#" &amp; ADDRESS(48, '12 - Beds-WUO_TRK'!A48),_xlfn.TEXTAFTER('12 - Beds-WUO_ERR'!A48, ":"))))</f>
        <v/>
      </c>
    </row>
    <row r="49">
      <c r="A49" s="39">
        <f>IF('12 - Beds'!B49 = "", "", IF('12 - Beds-WUO_ERR'!A49 = "", "Validated", HYPERLINK("#" &amp; ADDRESS(49, '12 - Beds-WUO_TRK'!A49),_xlfn.TEXTAFTER('12 - Beds-WUO_ERR'!A49, ":"))))</f>
        <v/>
      </c>
    </row>
    <row r="50">
      <c r="A50" s="39">
        <f>IF('12 - Beds'!B50 = "", "", IF('12 - Beds-WUO_ERR'!A50 = "", "Validated", HYPERLINK("#" &amp; ADDRESS(50, '12 - Beds-WUO_TRK'!A50),_xlfn.TEXTAFTER('12 - Beds-WUO_ERR'!A50, ":"))))</f>
        <v/>
      </c>
    </row>
    <row r="51">
      <c r="A51" s="39">
        <f>IF('12 - Beds'!B51 = "", "", IF('12 - Beds-WUO_ERR'!A51 = "", "Validated", HYPERLINK("#" &amp; ADDRESS(51, '12 - Beds-WUO_TRK'!A51),_xlfn.TEXTAFTER('12 - Beds-WUO_ERR'!A51, ":"))))</f>
        <v/>
      </c>
    </row>
    <row r="52">
      <c r="A52" s="39">
        <f>IF('12 - Beds'!B52 = "", "", IF('12 - Beds-WUO_ERR'!A52 = "", "Validated", HYPERLINK("#" &amp; ADDRESS(52, '12 - Beds-WUO_TRK'!A52),_xlfn.TEXTAFTER('12 - Beds-WUO_ERR'!A52, ":"))))</f>
        <v/>
      </c>
    </row>
    <row r="53">
      <c r="A53" s="39">
        <f>IF('12 - Beds'!B53 = "", "", IF('12 - Beds-WUO_ERR'!A53 = "", "Validated", HYPERLINK("#" &amp; ADDRESS(53, '12 - Beds-WUO_TRK'!A53),_xlfn.TEXTAFTER('12 - Beds-WUO_ERR'!A53, ":"))))</f>
        <v/>
      </c>
    </row>
    <row r="54">
      <c r="A54" s="39">
        <f>IF('12 - Beds'!B54 = "", "", IF('12 - Beds-WUO_ERR'!A54 = "", "Validated", HYPERLINK("#" &amp; ADDRESS(54, '12 - Beds-WUO_TRK'!A54),_xlfn.TEXTAFTER('12 - Beds-WUO_ERR'!A54, ":"))))</f>
        <v/>
      </c>
    </row>
    <row r="55">
      <c r="A55" s="39">
        <f>IF('12 - Beds'!B55 = "", "", IF('12 - Beds-WUO_ERR'!A55 = "", "Validated", HYPERLINK("#" &amp; ADDRESS(55, '12 - Beds-WUO_TRK'!A55),_xlfn.TEXTAFTER('12 - Beds-WUO_ERR'!A55, ":"))))</f>
        <v/>
      </c>
    </row>
    <row r="56">
      <c r="A56" s="39">
        <f>IF('12 - Beds'!B56 = "", "", IF('12 - Beds-WUO_ERR'!A56 = "", "Validated", HYPERLINK("#" &amp; ADDRESS(56, '12 - Beds-WUO_TRK'!A56),_xlfn.TEXTAFTER('12 - Beds-WUO_ERR'!A56, ":"))))</f>
        <v/>
      </c>
    </row>
    <row r="57">
      <c r="A57" s="39">
        <f>IF('12 - Beds'!B57 = "", "", IF('12 - Beds-WUO_ERR'!A57 = "", "Validated", HYPERLINK("#" &amp; ADDRESS(57, '12 - Beds-WUO_TRK'!A57),_xlfn.TEXTAFTER('12 - Beds-WUO_ERR'!A57, ":"))))</f>
        <v/>
      </c>
    </row>
    <row r="58">
      <c r="A58" s="39">
        <f>IF('12 - Beds'!B58 = "", "", IF('12 - Beds-WUO_ERR'!A58 = "", "Validated", HYPERLINK("#" &amp; ADDRESS(58, '12 - Beds-WUO_TRK'!A58),_xlfn.TEXTAFTER('12 - Beds-WUO_ERR'!A58, ":"))))</f>
        <v/>
      </c>
    </row>
    <row r="59">
      <c r="A59" s="39">
        <f>IF('12 - Beds'!B59 = "", "", IF('12 - Beds-WUO_ERR'!A59 = "", "Validated", HYPERLINK("#" &amp; ADDRESS(59, '12 - Beds-WUO_TRK'!A59),_xlfn.TEXTAFTER('12 - Beds-WUO_ERR'!A59, ":"))))</f>
        <v/>
      </c>
    </row>
    <row r="60">
      <c r="A60" s="39">
        <f>IF('12 - Beds'!B60 = "", "", IF('12 - Beds-WUO_ERR'!A60 = "", "Validated", HYPERLINK("#" &amp; ADDRESS(60, '12 - Beds-WUO_TRK'!A60),_xlfn.TEXTAFTER('12 - Beds-WUO_ERR'!A60, ":"))))</f>
        <v/>
      </c>
    </row>
    <row r="61">
      <c r="A61" s="39">
        <f>IF('12 - Beds'!B61 = "", "", IF('12 - Beds-WUO_ERR'!A61 = "", "Validated", HYPERLINK("#" &amp; ADDRESS(61, '12 - Beds-WUO_TRK'!A61),_xlfn.TEXTAFTER('12 - Beds-WUO_ERR'!A61, ":"))))</f>
        <v/>
      </c>
    </row>
    <row r="62">
      <c r="A62" s="39">
        <f>IF('12 - Beds'!B62 = "", "", IF('12 - Beds-WUO_ERR'!A62 = "", "Validated", HYPERLINK("#" &amp; ADDRESS(62, '12 - Beds-WUO_TRK'!A62),_xlfn.TEXTAFTER('12 - Beds-WUO_ERR'!A62, ":"))))</f>
        <v/>
      </c>
    </row>
    <row r="63">
      <c r="A63" s="39">
        <f>IF('12 - Beds'!B63 = "", "", IF('12 - Beds-WUO_ERR'!A63 = "", "Validated", HYPERLINK("#" &amp; ADDRESS(63, '12 - Beds-WUO_TRK'!A63),_xlfn.TEXTAFTER('12 - Beds-WUO_ERR'!A63, ":"))))</f>
        <v/>
      </c>
    </row>
    <row r="64">
      <c r="A64" s="39">
        <f>IF('12 - Beds'!B64 = "", "", IF('12 - Beds-WUO_ERR'!A64 = "", "Validated", HYPERLINK("#" &amp; ADDRESS(64, '12 - Beds-WUO_TRK'!A64),_xlfn.TEXTAFTER('12 - Beds-WUO_ERR'!A64, ":"))))</f>
        <v/>
      </c>
    </row>
    <row r="65">
      <c r="A65" s="39">
        <f>IF('12 - Beds'!B65 = "", "", IF('12 - Beds-WUO_ERR'!A65 = "", "Validated", HYPERLINK("#" &amp; ADDRESS(65, '12 - Beds-WUO_TRK'!A65),_xlfn.TEXTAFTER('12 - Beds-WUO_ERR'!A65, ":"))))</f>
        <v/>
      </c>
    </row>
    <row r="66">
      <c r="A66" s="39">
        <f>IF('12 - Beds'!B66 = "", "", IF('12 - Beds-WUO_ERR'!A66 = "", "Validated", HYPERLINK("#" &amp; ADDRESS(66, '12 - Beds-WUO_TRK'!A66),_xlfn.TEXTAFTER('12 - Beds-WUO_ERR'!A66, ":"))))</f>
        <v/>
      </c>
    </row>
    <row r="67">
      <c r="A67" s="39">
        <f>IF('12 - Beds'!B67 = "", "", IF('12 - Beds-WUO_ERR'!A67 = "", "Validated", HYPERLINK("#" &amp; ADDRESS(67, '12 - Beds-WUO_TRK'!A67),_xlfn.TEXTAFTER('12 - Beds-WUO_ERR'!A67, ":"))))</f>
        <v/>
      </c>
    </row>
    <row r="68">
      <c r="A68" s="39">
        <f>IF('12 - Beds'!B68 = "", "", IF('12 - Beds-WUO_ERR'!A68 = "", "Validated", HYPERLINK("#" &amp; ADDRESS(68, '12 - Beds-WUO_TRK'!A68),_xlfn.TEXTAFTER('12 - Beds-WUO_ERR'!A68, ":"))))</f>
        <v/>
      </c>
    </row>
    <row r="69">
      <c r="A69" s="39">
        <f>IF('12 - Beds'!B69 = "", "", IF('12 - Beds-WUO_ERR'!A69 = "", "Validated", HYPERLINK("#" &amp; ADDRESS(69, '12 - Beds-WUO_TRK'!A69),_xlfn.TEXTAFTER('12 - Beds-WUO_ERR'!A69, ":"))))</f>
        <v/>
      </c>
    </row>
    <row r="70">
      <c r="A70" s="39">
        <f>IF('12 - Beds'!B70 = "", "", IF('12 - Beds-WUO_ERR'!A70 = "", "Validated", HYPERLINK("#" &amp; ADDRESS(70, '12 - Beds-WUO_TRK'!A70),_xlfn.TEXTAFTER('12 - Beds-WUO_ERR'!A70, ":"))))</f>
        <v/>
      </c>
    </row>
    <row r="71">
      <c r="A71" s="39">
        <f>IF('12 - Beds'!B71 = "", "", IF('12 - Beds-WUO_ERR'!A71 = "", "Validated", HYPERLINK("#" &amp; ADDRESS(71, '12 - Beds-WUO_TRK'!A71),_xlfn.TEXTAFTER('12 - Beds-WUO_ERR'!A71, ":"))))</f>
        <v/>
      </c>
    </row>
    <row r="72">
      <c r="A72" s="39">
        <f>IF('12 - Beds'!B72 = "", "", IF('12 - Beds-WUO_ERR'!A72 = "", "Validated", HYPERLINK("#" &amp; ADDRESS(72, '12 - Beds-WUO_TRK'!A72),_xlfn.TEXTAFTER('12 - Beds-WUO_ERR'!A72, ":"))))</f>
        <v/>
      </c>
    </row>
    <row r="73">
      <c r="A73" s="39">
        <f>IF('12 - Beds'!B73 = "", "", IF('12 - Beds-WUO_ERR'!A73 = "", "Validated", HYPERLINK("#" &amp; ADDRESS(73, '12 - Beds-WUO_TRK'!A73),_xlfn.TEXTAFTER('12 - Beds-WUO_ERR'!A73, ":"))))</f>
        <v/>
      </c>
    </row>
    <row r="74">
      <c r="A74" s="39">
        <f>IF('12 - Beds'!B74 = "", "", IF('12 - Beds-WUO_ERR'!A74 = "", "Validated", HYPERLINK("#" &amp; ADDRESS(74, '12 - Beds-WUO_TRK'!A74),_xlfn.TEXTAFTER('12 - Beds-WUO_ERR'!A74, ":"))))</f>
        <v/>
      </c>
    </row>
    <row r="75">
      <c r="A75" s="39">
        <f>IF('12 - Beds'!B75 = "", "", IF('12 - Beds-WUO_ERR'!A75 = "", "Validated", HYPERLINK("#" &amp; ADDRESS(75, '12 - Beds-WUO_TRK'!A75),_xlfn.TEXTAFTER('12 - Beds-WUO_ERR'!A75, ":"))))</f>
        <v/>
      </c>
    </row>
    <row r="76">
      <c r="A76" s="39">
        <f>IF('12 - Beds'!B76 = "", "", IF('12 - Beds-WUO_ERR'!A76 = "", "Validated", HYPERLINK("#" &amp; ADDRESS(76, '12 - Beds-WUO_TRK'!A76),_xlfn.TEXTAFTER('12 - Beds-WUO_ERR'!A76, ":"))))</f>
        <v/>
      </c>
    </row>
    <row r="77">
      <c r="A77" s="39">
        <f>IF('12 - Beds'!B77 = "", "", IF('12 - Beds-WUO_ERR'!A77 = "", "Validated", HYPERLINK("#" &amp; ADDRESS(77, '12 - Beds-WUO_TRK'!A77),_xlfn.TEXTAFTER('12 - Beds-WUO_ERR'!A77, ":"))))</f>
        <v/>
      </c>
    </row>
    <row r="78">
      <c r="A78" s="39">
        <f>IF('12 - Beds'!B78 = "", "", IF('12 - Beds-WUO_ERR'!A78 = "", "Validated", HYPERLINK("#" &amp; ADDRESS(78, '12 - Beds-WUO_TRK'!A78),_xlfn.TEXTAFTER('12 - Beds-WUO_ERR'!A78, ":"))))</f>
        <v/>
      </c>
    </row>
    <row r="79">
      <c r="A79" s="39">
        <f>IF('12 - Beds'!B79 = "", "", IF('12 - Beds-WUO_ERR'!A79 = "", "Validated", HYPERLINK("#" &amp; ADDRESS(79, '12 - Beds-WUO_TRK'!A79),_xlfn.TEXTAFTER('12 - Beds-WUO_ERR'!A79, ":"))))</f>
        <v/>
      </c>
    </row>
    <row r="80">
      <c r="A80" s="39">
        <f>IF('12 - Beds'!B80 = "", "", IF('12 - Beds-WUO_ERR'!A80 = "", "Validated", HYPERLINK("#" &amp; ADDRESS(80, '12 - Beds-WUO_TRK'!A80),_xlfn.TEXTAFTER('12 - Beds-WUO_ERR'!A80, ":"))))</f>
        <v/>
      </c>
    </row>
    <row r="81">
      <c r="A81" s="39">
        <f>IF('12 - Beds'!B81 = "", "", IF('12 - Beds-WUO_ERR'!A81 = "", "Validated", HYPERLINK("#" &amp; ADDRESS(81, '12 - Beds-WUO_TRK'!A81),_xlfn.TEXTAFTER('12 - Beds-WUO_ERR'!A81, ":"))))</f>
        <v/>
      </c>
    </row>
    <row r="82">
      <c r="A82" s="39">
        <f>IF('12 - Beds'!B82 = "", "", IF('12 - Beds-WUO_ERR'!A82 = "", "Validated", HYPERLINK("#" &amp; ADDRESS(82, '12 - Beds-WUO_TRK'!A82),_xlfn.TEXTAFTER('12 - Beds-WUO_ERR'!A82, ":"))))</f>
        <v/>
      </c>
    </row>
    <row r="83">
      <c r="A83" s="39">
        <f>IF('12 - Beds'!B83 = "", "", IF('12 - Beds-WUO_ERR'!A83 = "", "Validated", HYPERLINK("#" &amp; ADDRESS(83, '12 - Beds-WUO_TRK'!A83),_xlfn.TEXTAFTER('12 - Beds-WUO_ERR'!A83, ":"))))</f>
        <v/>
      </c>
    </row>
    <row r="84">
      <c r="A84" s="39">
        <f>IF('12 - Beds'!B84 = "", "", IF('12 - Beds-WUO_ERR'!A84 = "", "Validated", HYPERLINK("#" &amp; ADDRESS(84, '12 - Beds-WUO_TRK'!A84),_xlfn.TEXTAFTER('12 - Beds-WUO_ERR'!A84, ":"))))</f>
        <v/>
      </c>
    </row>
    <row r="85">
      <c r="A85" s="39">
        <f>IF('12 - Beds'!B85 = "", "", IF('12 - Beds-WUO_ERR'!A85 = "", "Validated", HYPERLINK("#" &amp; ADDRESS(85, '12 - Beds-WUO_TRK'!A85),_xlfn.TEXTAFTER('12 - Beds-WUO_ERR'!A85, ":"))))</f>
        <v/>
      </c>
    </row>
    <row r="86">
      <c r="A86" s="39">
        <f>IF('12 - Beds'!B86 = "", "", IF('12 - Beds-WUO_ERR'!A86 = "", "Validated", HYPERLINK("#" &amp; ADDRESS(86, '12 - Beds-WUO_TRK'!A86),_xlfn.TEXTAFTER('12 - Beds-WUO_ERR'!A86, ":"))))</f>
        <v/>
      </c>
    </row>
    <row r="87">
      <c r="A87" s="39">
        <f>IF('12 - Beds'!B87 = "", "", IF('12 - Beds-WUO_ERR'!A87 = "", "Validated", HYPERLINK("#" &amp; ADDRESS(87, '12 - Beds-WUO_TRK'!A87),_xlfn.TEXTAFTER('12 - Beds-WUO_ERR'!A87, ":"))))</f>
        <v/>
      </c>
    </row>
    <row r="88">
      <c r="A88" s="39">
        <f>IF('12 - Beds'!B88 = "", "", IF('12 - Beds-WUO_ERR'!A88 = "", "Validated", HYPERLINK("#" &amp; ADDRESS(88, '12 - Beds-WUO_TRK'!A88),_xlfn.TEXTAFTER('12 - Beds-WUO_ERR'!A88, ":"))))</f>
        <v/>
      </c>
    </row>
    <row r="89">
      <c r="A89" s="39">
        <f>IF('12 - Beds'!B89 = "", "", IF('12 - Beds-WUO_ERR'!A89 = "", "Validated", HYPERLINK("#" &amp; ADDRESS(89, '12 - Beds-WUO_TRK'!A89),_xlfn.TEXTAFTER('12 - Beds-WUO_ERR'!A89, ":"))))</f>
        <v/>
      </c>
    </row>
    <row r="90">
      <c r="A90" s="39">
        <f>IF('12 - Beds'!B90 = "", "", IF('12 - Beds-WUO_ERR'!A90 = "", "Validated", HYPERLINK("#" &amp; ADDRESS(90, '12 - Beds-WUO_TRK'!A90),_xlfn.TEXTAFTER('12 - Beds-WUO_ERR'!A90, ":"))))</f>
        <v/>
      </c>
    </row>
    <row r="91">
      <c r="A91" s="39">
        <f>IF('12 - Beds'!B91 = "", "", IF('12 - Beds-WUO_ERR'!A91 = "", "Validated", HYPERLINK("#" &amp; ADDRESS(91, '12 - Beds-WUO_TRK'!A91),_xlfn.TEXTAFTER('12 - Beds-WUO_ERR'!A91, ":"))))</f>
        <v/>
      </c>
    </row>
    <row r="92">
      <c r="A92" s="39">
        <f>IF('12 - Beds'!B92 = "", "", IF('12 - Beds-WUO_ERR'!A92 = "", "Validated", HYPERLINK("#" &amp; ADDRESS(92, '12 - Beds-WUO_TRK'!A92),_xlfn.TEXTAFTER('12 - Beds-WUO_ERR'!A92, ":"))))</f>
        <v/>
      </c>
    </row>
    <row r="93">
      <c r="A93" s="39">
        <f>IF('12 - Beds'!B93 = "", "", IF('12 - Beds-WUO_ERR'!A93 = "", "Validated", HYPERLINK("#" &amp; ADDRESS(93, '12 - Beds-WUO_TRK'!A93),_xlfn.TEXTAFTER('12 - Beds-WUO_ERR'!A93, ":"))))</f>
        <v/>
      </c>
    </row>
    <row r="94">
      <c r="A94" s="39">
        <f>IF('12 - Beds'!B94 = "", "", IF('12 - Beds-WUO_ERR'!A94 = "", "Validated", HYPERLINK("#" &amp; ADDRESS(94, '12 - Beds-WUO_TRK'!A94),_xlfn.TEXTAFTER('12 - Beds-WUO_ERR'!A94, ":"))))</f>
        <v/>
      </c>
    </row>
    <row r="95">
      <c r="A95" s="39">
        <f>IF('12 - Beds'!B95 = "", "", IF('12 - Beds-WUO_ERR'!A95 = "", "Validated", HYPERLINK("#" &amp; ADDRESS(95, '12 - Beds-WUO_TRK'!A95),_xlfn.TEXTAFTER('12 - Beds-WUO_ERR'!A95, ":"))))</f>
        <v/>
      </c>
    </row>
    <row r="96">
      <c r="A96" s="39">
        <f>IF('12 - Beds'!B96 = "", "", IF('12 - Beds-WUO_ERR'!A96 = "", "Validated", HYPERLINK("#" &amp; ADDRESS(96, '12 - Beds-WUO_TRK'!A96),_xlfn.TEXTAFTER('12 - Beds-WUO_ERR'!A96, ":"))))</f>
        <v/>
      </c>
    </row>
    <row r="97">
      <c r="A97" s="39">
        <f>IF('12 - Beds'!B97 = "", "", IF('12 - Beds-WUO_ERR'!A97 = "", "Validated", HYPERLINK("#" &amp; ADDRESS(97, '12 - Beds-WUO_TRK'!A97),_xlfn.TEXTAFTER('12 - Beds-WUO_ERR'!A97, ":"))))</f>
        <v/>
      </c>
    </row>
    <row r="98">
      <c r="A98" s="39">
        <f>IF('12 - Beds'!B98 = "", "", IF('12 - Beds-WUO_ERR'!A98 = "", "Validated", HYPERLINK("#" &amp; ADDRESS(98, '12 - Beds-WUO_TRK'!A98),_xlfn.TEXTAFTER('12 - Beds-WUO_ERR'!A98, ":"))))</f>
        <v/>
      </c>
    </row>
    <row r="99">
      <c r="A99" s="39">
        <f>IF('12 - Beds'!B99 = "", "", IF('12 - Beds-WUO_ERR'!A99 = "", "Validated", HYPERLINK("#" &amp; ADDRESS(99, '12 - Beds-WUO_TRK'!A99),_xlfn.TEXTAFTER('12 - Beds-WUO_ERR'!A99, ":"))))</f>
        <v/>
      </c>
    </row>
    <row r="100">
      <c r="A100" s="39">
        <f>IF('12 - Beds'!B100 = "", "", IF('12 - Beds-WUO_ERR'!A100 = "", "Validated", HYPERLINK("#" &amp; ADDRESS(100, '12 - Beds-WUO_TRK'!A100),_xlfn.TEXTAFTER('12 - Beds-WUO_ERR'!A100, ":"))))</f>
        <v/>
      </c>
    </row>
    <row r="101">
      <c r="A101" s="39">
        <f>IF('12 - Beds'!B101 = "", "", IF('12 - Beds-WUO_ERR'!A101 = "", "Validated", HYPERLINK("#" &amp; ADDRESS(101, '12 - Beds-WUO_TRK'!A101),_xlfn.TEXTAFTER('12 - Beds-WUO_ERR'!A101, ":"))))</f>
        <v/>
      </c>
    </row>
    <row r="102">
      <c r="A102" s="39">
        <f>IF('12 - Beds'!B102 = "", "", IF('12 - Beds-WUO_ERR'!A102 = "", "Validated", HYPERLINK("#" &amp; ADDRESS(102, '12 - Beds-WUO_TRK'!A102),_xlfn.TEXTAFTER('12 - Beds-WUO_ERR'!A102, ":"))))</f>
        <v/>
      </c>
    </row>
    <row r="103">
      <c r="A103" s="39">
        <f>IF('12 - Beds'!B103 = "", "", IF('12 - Beds-WUO_ERR'!A103 = "", "Validated", HYPERLINK("#" &amp; ADDRESS(103, '12 - Beds-WUO_TRK'!A103),_xlfn.TEXTAFTER('12 - Beds-WUO_ERR'!A103, ":"))))</f>
        <v/>
      </c>
    </row>
    <row r="104">
      <c r="A104" s="39">
        <f>IF('12 - Beds'!B104 = "", "", IF('12 - Beds-WUO_ERR'!A104 = "", "Validated", HYPERLINK("#" &amp; ADDRESS(104, '12 - Beds-WUO_TRK'!A104),_xlfn.TEXTAFTER('12 - Beds-WUO_ERR'!A104, ":"))))</f>
        <v/>
      </c>
    </row>
    <row r="105">
      <c r="A105" s="39">
        <f>IF('12 - Beds'!B105 = "", "", IF('12 - Beds-WUO_ERR'!A105 = "", "Validated", HYPERLINK("#" &amp; ADDRESS(105, '12 - Beds-WUO_TRK'!A105),_xlfn.TEXTAFTER('12 - Beds-WUO_ERR'!A105, ":"))))</f>
        <v/>
      </c>
    </row>
    <row r="106">
      <c r="A106" s="39">
        <f>IF('12 - Beds'!B106 = "", "", IF('12 - Beds-WUO_ERR'!A106 = "", "Validated", HYPERLINK("#" &amp; ADDRESS(106, '12 - Beds-WUO_TRK'!A106),_xlfn.TEXTAFTER('12 - Beds-WUO_ERR'!A106, ":"))))</f>
        <v/>
      </c>
    </row>
    <row r="107">
      <c r="A107" s="39">
        <f>IF('12 - Beds'!B107 = "", "", IF('12 - Beds-WUO_ERR'!A107 = "", "Validated", HYPERLINK("#" &amp; ADDRESS(107, '12 - Beds-WUO_TRK'!A107),_xlfn.TEXTAFTER('12 - Beds-WUO_ERR'!A107, ":"))))</f>
        <v/>
      </c>
    </row>
    <row r="108">
      <c r="A108" s="39">
        <f>IF('12 - Beds'!B108 = "", "", IF('12 - Beds-WUO_ERR'!A108 = "", "Validated", HYPERLINK("#" &amp; ADDRESS(108, '12 - Beds-WUO_TRK'!A108),_xlfn.TEXTAFTER('12 - Beds-WUO_ERR'!A108, ":"))))</f>
        <v/>
      </c>
    </row>
    <row r="109">
      <c r="A109" s="39">
        <f>IF('12 - Beds'!B109 = "", "", IF('12 - Beds-WUO_ERR'!A109 = "", "Validated", HYPERLINK("#" &amp; ADDRESS(109, '12 - Beds-WUO_TRK'!A109),_xlfn.TEXTAFTER('12 - Beds-WUO_ERR'!A109, ":"))))</f>
        <v/>
      </c>
    </row>
    <row r="110">
      <c r="A110" s="39">
        <f>IF('12 - Beds'!B110 = "", "", IF('12 - Beds-WUO_ERR'!A110 = "", "Validated", HYPERLINK("#" &amp; ADDRESS(110, '12 - Beds-WUO_TRK'!A110),_xlfn.TEXTAFTER('12 - Beds-WUO_ERR'!A110, ":"))))</f>
        <v/>
      </c>
    </row>
    <row r="111">
      <c r="A111" s="39">
        <f>IF('12 - Beds'!B111 = "", "", IF('12 - Beds-WUO_ERR'!A111 = "", "Validated", HYPERLINK("#" &amp; ADDRESS(111, '12 - Beds-WUO_TRK'!A111),_xlfn.TEXTAFTER('12 - Beds-WUO_ERR'!A111, ":"))))</f>
        <v/>
      </c>
    </row>
    <row r="112">
      <c r="A112" s="39">
        <f>IF('12 - Beds'!B112 = "", "", IF('12 - Beds-WUO_ERR'!A112 = "", "Validated", HYPERLINK("#" &amp; ADDRESS(112, '12 - Beds-WUO_TRK'!A112),_xlfn.TEXTAFTER('12 - Beds-WUO_ERR'!A112, ":"))))</f>
        <v/>
      </c>
    </row>
    <row r="113">
      <c r="A113" s="39">
        <f>IF('12 - Beds'!B113 = "", "", IF('12 - Beds-WUO_ERR'!A113 = "", "Validated", HYPERLINK("#" &amp; ADDRESS(113, '12 - Beds-WUO_TRK'!A113),_xlfn.TEXTAFTER('12 - Beds-WUO_ERR'!A113, ":"))))</f>
        <v/>
      </c>
    </row>
    <row r="114">
      <c r="A114" s="39">
        <f>IF('12 - Beds'!B114 = "", "", IF('12 - Beds-WUO_ERR'!A114 = "", "Validated", HYPERLINK("#" &amp; ADDRESS(114, '12 - Beds-WUO_TRK'!A114),_xlfn.TEXTAFTER('12 - Beds-WUO_ERR'!A114, ":"))))</f>
        <v/>
      </c>
    </row>
    <row r="115">
      <c r="A115" s="39">
        <f>IF('12 - Beds'!B115 = "", "", IF('12 - Beds-WUO_ERR'!A115 = "", "Validated", HYPERLINK("#" &amp; ADDRESS(115, '12 - Beds-WUO_TRK'!A115),_xlfn.TEXTAFTER('12 - Beds-WUO_ERR'!A115, ":"))))</f>
        <v/>
      </c>
    </row>
    <row r="116">
      <c r="A116" s="39">
        <f>IF('12 - Beds'!B116 = "", "", IF('12 - Beds-WUO_ERR'!A116 = "", "Validated", HYPERLINK("#" &amp; ADDRESS(116, '12 - Beds-WUO_TRK'!A116),_xlfn.TEXTAFTER('12 - Beds-WUO_ERR'!A116, ":"))))</f>
        <v/>
      </c>
    </row>
    <row r="117">
      <c r="A117" s="39">
        <f>IF('12 - Beds'!B117 = "", "", IF('12 - Beds-WUO_ERR'!A117 = "", "Validated", HYPERLINK("#" &amp; ADDRESS(117, '12 - Beds-WUO_TRK'!A117),_xlfn.TEXTAFTER('12 - Beds-WUO_ERR'!A117, ":"))))</f>
        <v/>
      </c>
    </row>
    <row r="118">
      <c r="A118" s="39">
        <f>IF('12 - Beds'!B118 = "", "", IF('12 - Beds-WUO_ERR'!A118 = "", "Validated", HYPERLINK("#" &amp; ADDRESS(118, '12 - Beds-WUO_TRK'!A118),_xlfn.TEXTAFTER('12 - Beds-WUO_ERR'!A118, ":"))))</f>
        <v/>
      </c>
    </row>
    <row r="119">
      <c r="A119" s="39">
        <f>IF('12 - Beds'!B119 = "", "", IF('12 - Beds-WUO_ERR'!A119 = "", "Validated", HYPERLINK("#" &amp; ADDRESS(119, '12 - Beds-WUO_TRK'!A119),_xlfn.TEXTAFTER('12 - Beds-WUO_ERR'!A119, ":"))))</f>
        <v/>
      </c>
    </row>
    <row r="120">
      <c r="A120" s="39">
        <f>IF('12 - Beds'!B120 = "", "", IF('12 - Beds-WUO_ERR'!A120 = "", "Validated", HYPERLINK("#" &amp; ADDRESS(120, '12 - Beds-WUO_TRK'!A120),_xlfn.TEXTAFTER('12 - Beds-WUO_ERR'!A120, ":"))))</f>
        <v/>
      </c>
    </row>
    <row r="121">
      <c r="A121" s="39">
        <f>IF('12 - Beds'!B121 = "", "", IF('12 - Beds-WUO_ERR'!A121 = "", "Validated", HYPERLINK("#" &amp; ADDRESS(121, '12 - Beds-WUO_TRK'!A121),_xlfn.TEXTAFTER('12 - Beds-WUO_ERR'!A121, ":"))))</f>
        <v/>
      </c>
    </row>
    <row r="122">
      <c r="A122" s="39">
        <f>IF('12 - Beds'!B122 = "", "", IF('12 - Beds-WUO_ERR'!A122 = "", "Validated", HYPERLINK("#" &amp; ADDRESS(122, '12 - Beds-WUO_TRK'!A122),_xlfn.TEXTAFTER('12 - Beds-WUO_ERR'!A122, ":"))))</f>
        <v/>
      </c>
    </row>
    <row r="123">
      <c r="A123" s="39">
        <f>IF('12 - Beds'!B123 = "", "", IF('12 - Beds-WUO_ERR'!A123 = "", "Validated", HYPERLINK("#" &amp; ADDRESS(123, '12 - Beds-WUO_TRK'!A123),_xlfn.TEXTAFTER('12 - Beds-WUO_ERR'!A123, ":"))))</f>
        <v/>
      </c>
    </row>
    <row r="124">
      <c r="A124" s="39">
        <f>IF('12 - Beds'!B124 = "", "", IF('12 - Beds-WUO_ERR'!A124 = "", "Validated", HYPERLINK("#" &amp; ADDRESS(124, '12 - Beds-WUO_TRK'!A124),_xlfn.TEXTAFTER('12 - Beds-WUO_ERR'!A124, ":"))))</f>
        <v/>
      </c>
    </row>
    <row r="125">
      <c r="A125" s="39">
        <f>IF('12 - Beds'!B125 = "", "", IF('12 - Beds-WUO_ERR'!A125 = "", "Validated", HYPERLINK("#" &amp; ADDRESS(125, '12 - Beds-WUO_TRK'!A125),_xlfn.TEXTAFTER('12 - Beds-WUO_ERR'!A125, ":"))))</f>
        <v/>
      </c>
    </row>
    <row r="126">
      <c r="A126" s="39">
        <f>IF('12 - Beds'!B126 = "", "", IF('12 - Beds-WUO_ERR'!A126 = "", "Validated", HYPERLINK("#" &amp; ADDRESS(126, '12 - Beds-WUO_TRK'!A126),_xlfn.TEXTAFTER('12 - Beds-WUO_ERR'!A126, ":"))))</f>
        <v/>
      </c>
    </row>
    <row r="127">
      <c r="A127" s="39">
        <f>IF('12 - Beds'!B127 = "", "", IF('12 - Beds-WUO_ERR'!A127 = "", "Validated", HYPERLINK("#" &amp; ADDRESS(127, '12 - Beds-WUO_TRK'!A127),_xlfn.TEXTAFTER('12 - Beds-WUO_ERR'!A127, ":"))))</f>
        <v/>
      </c>
    </row>
    <row r="128">
      <c r="A128" s="39">
        <f>IF('12 - Beds'!B128 = "", "", IF('12 - Beds-WUO_ERR'!A128 = "", "Validated", HYPERLINK("#" &amp; ADDRESS(128, '12 - Beds-WUO_TRK'!A128),_xlfn.TEXTAFTER('12 - Beds-WUO_ERR'!A128, ":"))))</f>
        <v/>
      </c>
    </row>
    <row r="129">
      <c r="A129" s="39">
        <f>IF('12 - Beds'!B129 = "", "", IF('12 - Beds-WUO_ERR'!A129 = "", "Validated", HYPERLINK("#" &amp; ADDRESS(129, '12 - Beds-WUO_TRK'!A129),_xlfn.TEXTAFTER('12 - Beds-WUO_ERR'!A129, ":"))))</f>
        <v/>
      </c>
    </row>
    <row r="130">
      <c r="A130" s="39">
        <f>IF('12 - Beds'!B130 = "", "", IF('12 - Beds-WUO_ERR'!A130 = "", "Validated", HYPERLINK("#" &amp; ADDRESS(130, '12 - Beds-WUO_TRK'!A130),_xlfn.TEXTAFTER('12 - Beds-WUO_ERR'!A130, ":"))))</f>
        <v/>
      </c>
    </row>
    <row r="131">
      <c r="A131" s="39">
        <f>IF('12 - Beds'!B131 = "", "", IF('12 - Beds-WUO_ERR'!A131 = "", "Validated", HYPERLINK("#" &amp; ADDRESS(131, '12 - Beds-WUO_TRK'!A131),_xlfn.TEXTAFTER('12 - Beds-WUO_ERR'!A131, ":"))))</f>
        <v/>
      </c>
    </row>
    <row r="132">
      <c r="A132" s="39">
        <f>IF('12 - Beds'!B132 = "", "", IF('12 - Beds-WUO_ERR'!A132 = "", "Validated", HYPERLINK("#" &amp; ADDRESS(132, '12 - Beds-WUO_TRK'!A132),_xlfn.TEXTAFTER('12 - Beds-WUO_ERR'!A132, ":"))))</f>
        <v/>
      </c>
    </row>
    <row r="133">
      <c r="A133" s="39">
        <f>IF('12 - Beds'!B133 = "", "", IF('12 - Beds-WUO_ERR'!A133 = "", "Validated", HYPERLINK("#" &amp; ADDRESS(133, '12 - Beds-WUO_TRK'!A133),_xlfn.TEXTAFTER('12 - Beds-WUO_ERR'!A133, ":"))))</f>
        <v/>
      </c>
    </row>
    <row r="134">
      <c r="A134" s="39">
        <f>IF('12 - Beds'!B134 = "", "", IF('12 - Beds-WUO_ERR'!A134 = "", "Validated", HYPERLINK("#" &amp; ADDRESS(134, '12 - Beds-WUO_TRK'!A134),_xlfn.TEXTAFTER('12 - Beds-WUO_ERR'!A134, ":"))))</f>
        <v/>
      </c>
    </row>
    <row r="135">
      <c r="A135" s="39">
        <f>IF('12 - Beds'!B135 = "", "", IF('12 - Beds-WUO_ERR'!A135 = "", "Validated", HYPERLINK("#" &amp; ADDRESS(135, '12 - Beds-WUO_TRK'!A135),_xlfn.TEXTAFTER('12 - Beds-WUO_ERR'!A135, ":"))))</f>
        <v/>
      </c>
    </row>
    <row r="136">
      <c r="A136" s="39">
        <f>IF('12 - Beds'!B136 = "", "", IF('12 - Beds-WUO_ERR'!A136 = "", "Validated", HYPERLINK("#" &amp; ADDRESS(136, '12 - Beds-WUO_TRK'!A136),_xlfn.TEXTAFTER('12 - Beds-WUO_ERR'!A136, ":"))))</f>
        <v/>
      </c>
    </row>
    <row r="137">
      <c r="A137" s="39">
        <f>IF('12 - Beds'!B137 = "", "", IF('12 - Beds-WUO_ERR'!A137 = "", "Validated", HYPERLINK("#" &amp; ADDRESS(137, '12 - Beds-WUO_TRK'!A137),_xlfn.TEXTAFTER('12 - Beds-WUO_ERR'!A137, ":"))))</f>
        <v/>
      </c>
    </row>
    <row r="138">
      <c r="A138" s="39">
        <f>IF('12 - Beds'!B138 = "", "", IF('12 - Beds-WUO_ERR'!A138 = "", "Validated", HYPERLINK("#" &amp; ADDRESS(138, '12 - Beds-WUO_TRK'!A138),_xlfn.TEXTAFTER('12 - Beds-WUO_ERR'!A138, ":"))))</f>
        <v/>
      </c>
    </row>
    <row r="139">
      <c r="A139" s="39">
        <f>IF('12 - Beds'!B139 = "", "", IF('12 - Beds-WUO_ERR'!A139 = "", "Validated", HYPERLINK("#" &amp; ADDRESS(139, '12 - Beds-WUO_TRK'!A139),_xlfn.TEXTAFTER('12 - Beds-WUO_ERR'!A139, ":"))))</f>
        <v/>
      </c>
    </row>
    <row r="140">
      <c r="A140" s="39">
        <f>IF('12 - Beds'!B140 = "", "", IF('12 - Beds-WUO_ERR'!A140 = "", "Validated", HYPERLINK("#" &amp; ADDRESS(140, '12 - Beds-WUO_TRK'!A140),_xlfn.TEXTAFTER('12 - Beds-WUO_ERR'!A140, ":"))))</f>
        <v/>
      </c>
    </row>
    <row r="141">
      <c r="A141" s="39">
        <f>IF('12 - Beds'!B141 = "", "", IF('12 - Beds-WUO_ERR'!A141 = "", "Validated", HYPERLINK("#" &amp; ADDRESS(141, '12 - Beds-WUO_TRK'!A141),_xlfn.TEXTAFTER('12 - Beds-WUO_ERR'!A141, ":"))))</f>
        <v/>
      </c>
    </row>
    <row r="142">
      <c r="A142" s="39">
        <f>IF('12 - Beds'!B142 = "", "", IF('12 - Beds-WUO_ERR'!A142 = "", "Validated", HYPERLINK("#" &amp; ADDRESS(142, '12 - Beds-WUO_TRK'!A142),_xlfn.TEXTAFTER('12 - Beds-WUO_ERR'!A142, ":"))))</f>
        <v/>
      </c>
    </row>
    <row r="143">
      <c r="A143" s="39">
        <f>IF('12 - Beds'!B143 = "", "", IF('12 - Beds-WUO_ERR'!A143 = "", "Validated", HYPERLINK("#" &amp; ADDRESS(143, '12 - Beds-WUO_TRK'!A143),_xlfn.TEXTAFTER('12 - Beds-WUO_ERR'!A143, ":"))))</f>
        <v/>
      </c>
    </row>
    <row r="144">
      <c r="A144" s="39">
        <f>IF('12 - Beds'!B144 = "", "", IF('12 - Beds-WUO_ERR'!A144 = "", "Validated", HYPERLINK("#" &amp; ADDRESS(144, '12 - Beds-WUO_TRK'!A144),_xlfn.TEXTAFTER('12 - Beds-WUO_ERR'!A144, ":"))))</f>
        <v/>
      </c>
    </row>
    <row r="145">
      <c r="A145" s="39">
        <f>IF('12 - Beds'!B145 = "", "", IF('12 - Beds-WUO_ERR'!A145 = "", "Validated", HYPERLINK("#" &amp; ADDRESS(145, '12 - Beds-WUO_TRK'!A145),_xlfn.TEXTAFTER('12 - Beds-WUO_ERR'!A145, ":"))))</f>
        <v/>
      </c>
    </row>
    <row r="146">
      <c r="A146" s="39">
        <f>IF('12 - Beds'!B146 = "", "", IF('12 - Beds-WUO_ERR'!A146 = "", "Validated", HYPERLINK("#" &amp; ADDRESS(146, '12 - Beds-WUO_TRK'!A146),_xlfn.TEXTAFTER('12 - Beds-WUO_ERR'!A146, ":"))))</f>
        <v/>
      </c>
    </row>
    <row r="147">
      <c r="A147" s="39">
        <f>IF('12 - Beds'!B147 = "", "", IF('12 - Beds-WUO_ERR'!A147 = "", "Validated", HYPERLINK("#" &amp; ADDRESS(147, '12 - Beds-WUO_TRK'!A147),_xlfn.TEXTAFTER('12 - Beds-WUO_ERR'!A147, ":"))))</f>
        <v/>
      </c>
    </row>
    <row r="148">
      <c r="A148" s="39">
        <f>IF('12 - Beds'!B148 = "", "", IF('12 - Beds-WUO_ERR'!A148 = "", "Validated", HYPERLINK("#" &amp; ADDRESS(148, '12 - Beds-WUO_TRK'!A148),_xlfn.TEXTAFTER('12 - Beds-WUO_ERR'!A148, ":"))))</f>
        <v/>
      </c>
    </row>
    <row r="149">
      <c r="A149" s="39">
        <f>IF('12 - Beds'!B149 = "", "", IF('12 - Beds-WUO_ERR'!A149 = "", "Validated", HYPERLINK("#" &amp; ADDRESS(149, '12 - Beds-WUO_TRK'!A149),_xlfn.TEXTAFTER('12 - Beds-WUO_ERR'!A149, ":"))))</f>
        <v/>
      </c>
    </row>
    <row r="150">
      <c r="A150" s="39">
        <f>IF('12 - Beds'!B150 = "", "", IF('12 - Beds-WUO_ERR'!A150 = "", "Validated", HYPERLINK("#" &amp; ADDRESS(150, '12 - Beds-WUO_TRK'!A150),_xlfn.TEXTAFTER('12 - Beds-WUO_ERR'!A150, ":"))))</f>
        <v/>
      </c>
    </row>
    <row r="151">
      <c r="A151" s="39">
        <f>IF('12 - Beds'!B151 = "", "", IF('12 - Beds-WUO_ERR'!A151 = "", "Validated", HYPERLINK("#" &amp; ADDRESS(151, '12 - Beds-WUO_TRK'!A151),_xlfn.TEXTAFTER('12 - Beds-WUO_ERR'!A151, ":"))))</f>
        <v/>
      </c>
    </row>
    <row r="152">
      <c r="A152" s="39">
        <f>IF('12 - Beds'!B152 = "", "", IF('12 - Beds-WUO_ERR'!A152 = "", "Validated", HYPERLINK("#" &amp; ADDRESS(152, '12 - Beds-WUO_TRK'!A152),_xlfn.TEXTAFTER('12 - Beds-WUO_ERR'!A152, ":"))))</f>
        <v/>
      </c>
    </row>
    <row r="153">
      <c r="A153" s="39">
        <f>IF('12 - Beds'!B153 = "", "", IF('12 - Beds-WUO_ERR'!A153 = "", "Validated", HYPERLINK("#" &amp; ADDRESS(153, '12 - Beds-WUO_TRK'!A153),_xlfn.TEXTAFTER('12 - Beds-WUO_ERR'!A153, ":"))))</f>
        <v/>
      </c>
    </row>
    <row r="154">
      <c r="A154" s="39">
        <f>IF('12 - Beds'!B154 = "", "", IF('12 - Beds-WUO_ERR'!A154 = "", "Validated", HYPERLINK("#" &amp; ADDRESS(154, '12 - Beds-WUO_TRK'!A154),_xlfn.TEXTAFTER('12 - Beds-WUO_ERR'!A154, ":"))))</f>
        <v/>
      </c>
    </row>
    <row r="155">
      <c r="A155" s="39">
        <f>IF('12 - Beds'!B155 = "", "", IF('12 - Beds-WUO_ERR'!A155 = "", "Validated", HYPERLINK("#" &amp; ADDRESS(155, '12 - Beds-WUO_TRK'!A155),_xlfn.TEXTAFTER('12 - Beds-WUO_ERR'!A155, ":"))))</f>
        <v/>
      </c>
    </row>
    <row r="156">
      <c r="A156" s="39">
        <f>IF('12 - Beds'!B156 = "", "", IF('12 - Beds-WUO_ERR'!A156 = "", "Validated", HYPERLINK("#" &amp; ADDRESS(156, '12 - Beds-WUO_TRK'!A156),_xlfn.TEXTAFTER('12 - Beds-WUO_ERR'!A156, ":"))))</f>
        <v/>
      </c>
    </row>
    <row r="157">
      <c r="A157" s="39">
        <f>IF('12 - Beds'!B157 = "", "", IF('12 - Beds-WUO_ERR'!A157 = "", "Validated", HYPERLINK("#" &amp; ADDRESS(157, '12 - Beds-WUO_TRK'!A157),_xlfn.TEXTAFTER('12 - Beds-WUO_ERR'!A157, ":"))))</f>
        <v/>
      </c>
    </row>
    <row r="158">
      <c r="A158" s="39">
        <f>IF('12 - Beds'!B158 = "", "", IF('12 - Beds-WUO_ERR'!A158 = "", "Validated", HYPERLINK("#" &amp; ADDRESS(158, '12 - Beds-WUO_TRK'!A158),_xlfn.TEXTAFTER('12 - Beds-WUO_ERR'!A158, ":"))))</f>
        <v/>
      </c>
    </row>
    <row r="159">
      <c r="A159" s="39">
        <f>IF('12 - Beds'!B159 = "", "", IF('12 - Beds-WUO_ERR'!A159 = "", "Validated", HYPERLINK("#" &amp; ADDRESS(159, '12 - Beds-WUO_TRK'!A159),_xlfn.TEXTAFTER('12 - Beds-WUO_ERR'!A159, ":"))))</f>
        <v/>
      </c>
    </row>
    <row r="160">
      <c r="A160" s="39">
        <f>IF('12 - Beds'!B160 = "", "", IF('12 - Beds-WUO_ERR'!A160 = "", "Validated", HYPERLINK("#" &amp; ADDRESS(160, '12 - Beds-WUO_TRK'!A160),_xlfn.TEXTAFTER('12 - Beds-WUO_ERR'!A160, ":"))))</f>
        <v/>
      </c>
    </row>
    <row r="161">
      <c r="A161" s="39">
        <f>IF('12 - Beds'!B161 = "", "", IF('12 - Beds-WUO_ERR'!A161 = "", "Validated", HYPERLINK("#" &amp; ADDRESS(161, '12 - Beds-WUO_TRK'!A161),_xlfn.TEXTAFTER('12 - Beds-WUO_ERR'!A161, ":"))))</f>
        <v/>
      </c>
    </row>
    <row r="162">
      <c r="A162" s="39">
        <f>IF('12 - Beds'!B162 = "", "", IF('12 - Beds-WUO_ERR'!A162 = "", "Validated", HYPERLINK("#" &amp; ADDRESS(162, '12 - Beds-WUO_TRK'!A162),_xlfn.TEXTAFTER('12 - Beds-WUO_ERR'!A162, ":"))))</f>
        <v/>
      </c>
    </row>
    <row r="163">
      <c r="A163" s="39">
        <f>IF('12 - Beds'!B163 = "", "", IF('12 - Beds-WUO_ERR'!A163 = "", "Validated", HYPERLINK("#" &amp; ADDRESS(163, '12 - Beds-WUO_TRK'!A163),_xlfn.TEXTAFTER('12 - Beds-WUO_ERR'!A163, ":"))))</f>
        <v/>
      </c>
    </row>
    <row r="164">
      <c r="A164" s="39">
        <f>IF('12 - Beds'!B164 = "", "", IF('12 - Beds-WUO_ERR'!A164 = "", "Validated", HYPERLINK("#" &amp; ADDRESS(164, '12 - Beds-WUO_TRK'!A164),_xlfn.TEXTAFTER('12 - Beds-WUO_ERR'!A164, ":"))))</f>
        <v/>
      </c>
    </row>
    <row r="165">
      <c r="A165" s="39">
        <f>IF('12 - Beds'!B165 = "", "", IF('12 - Beds-WUO_ERR'!A165 = "", "Validated", HYPERLINK("#" &amp; ADDRESS(165, '12 - Beds-WUO_TRK'!A165),_xlfn.TEXTAFTER('12 - Beds-WUO_ERR'!A165, ":"))))</f>
        <v/>
      </c>
    </row>
    <row r="166">
      <c r="A166" s="39">
        <f>IF('12 - Beds'!B166 = "", "", IF('12 - Beds-WUO_ERR'!A166 = "", "Validated", HYPERLINK("#" &amp; ADDRESS(166, '12 - Beds-WUO_TRK'!A166),_xlfn.TEXTAFTER('12 - Beds-WUO_ERR'!A166, ":"))))</f>
        <v/>
      </c>
    </row>
    <row r="167">
      <c r="A167" s="39">
        <f>IF('12 - Beds'!B167 = "", "", IF('12 - Beds-WUO_ERR'!A167 = "", "Validated", HYPERLINK("#" &amp; ADDRESS(167, '12 - Beds-WUO_TRK'!A167),_xlfn.TEXTAFTER('12 - Beds-WUO_ERR'!A167, ":"))))</f>
        <v/>
      </c>
    </row>
    <row r="168">
      <c r="A168" s="39">
        <f>IF('12 - Beds'!B168 = "", "", IF('12 - Beds-WUO_ERR'!A168 = "", "Validated", HYPERLINK("#" &amp; ADDRESS(168, '12 - Beds-WUO_TRK'!A168),_xlfn.TEXTAFTER('12 - Beds-WUO_ERR'!A168, ":"))))</f>
        <v/>
      </c>
    </row>
    <row r="169">
      <c r="A169" s="39">
        <f>IF('12 - Beds'!B169 = "", "", IF('12 - Beds-WUO_ERR'!A169 = "", "Validated", HYPERLINK("#" &amp; ADDRESS(169, '12 - Beds-WUO_TRK'!A169),_xlfn.TEXTAFTER('12 - Beds-WUO_ERR'!A169, ":"))))</f>
        <v/>
      </c>
    </row>
    <row r="170">
      <c r="A170" s="39">
        <f>IF('12 - Beds'!B170 = "", "", IF('12 - Beds-WUO_ERR'!A170 = "", "Validated", HYPERLINK("#" &amp; ADDRESS(170, '12 - Beds-WUO_TRK'!A170),_xlfn.TEXTAFTER('12 - Beds-WUO_ERR'!A170, ":"))))</f>
        <v/>
      </c>
    </row>
    <row r="171">
      <c r="A171" s="39">
        <f>IF('12 - Beds'!B171 = "", "", IF('12 - Beds-WUO_ERR'!A171 = "", "Validated", HYPERLINK("#" &amp; ADDRESS(171, '12 - Beds-WUO_TRK'!A171),_xlfn.TEXTAFTER('12 - Beds-WUO_ERR'!A171, ":"))))</f>
        <v/>
      </c>
    </row>
    <row r="172">
      <c r="A172" s="39">
        <f>IF('12 - Beds'!B172 = "", "", IF('12 - Beds-WUO_ERR'!A172 = "", "Validated", HYPERLINK("#" &amp; ADDRESS(172, '12 - Beds-WUO_TRK'!A172),_xlfn.TEXTAFTER('12 - Beds-WUO_ERR'!A172, ":"))))</f>
        <v/>
      </c>
    </row>
    <row r="173">
      <c r="A173" s="39">
        <f>IF('12 - Beds'!B173 = "", "", IF('12 - Beds-WUO_ERR'!A173 = "", "Validated", HYPERLINK("#" &amp; ADDRESS(173, '12 - Beds-WUO_TRK'!A173),_xlfn.TEXTAFTER('12 - Beds-WUO_ERR'!A173, ":"))))</f>
        <v/>
      </c>
    </row>
    <row r="174">
      <c r="A174" s="39">
        <f>IF('12 - Beds'!B174 = "", "", IF('12 - Beds-WUO_ERR'!A174 = "", "Validated", HYPERLINK("#" &amp; ADDRESS(174, '12 - Beds-WUO_TRK'!A174),_xlfn.TEXTAFTER('12 - Beds-WUO_ERR'!A174, ":"))))</f>
        <v/>
      </c>
    </row>
    <row r="175">
      <c r="A175" s="39">
        <f>IF('12 - Beds'!B175 = "", "", IF('12 - Beds-WUO_ERR'!A175 = "", "Validated", HYPERLINK("#" &amp; ADDRESS(175, '12 - Beds-WUO_TRK'!A175),_xlfn.TEXTAFTER('12 - Beds-WUO_ERR'!A175, ":"))))</f>
        <v/>
      </c>
    </row>
    <row r="176">
      <c r="A176" s="39">
        <f>IF('12 - Beds'!B176 = "", "", IF('12 - Beds-WUO_ERR'!A176 = "", "Validated", HYPERLINK("#" &amp; ADDRESS(176, '12 - Beds-WUO_TRK'!A176),_xlfn.TEXTAFTER('12 - Beds-WUO_ERR'!A176, ":"))))</f>
        <v/>
      </c>
    </row>
    <row r="177">
      <c r="A177" s="39">
        <f>IF('12 - Beds'!B177 = "", "", IF('12 - Beds-WUO_ERR'!A177 = "", "Validated", HYPERLINK("#" &amp; ADDRESS(177, '12 - Beds-WUO_TRK'!A177),_xlfn.TEXTAFTER('12 - Beds-WUO_ERR'!A177, ":"))))</f>
        <v/>
      </c>
    </row>
    <row r="178">
      <c r="A178" s="39">
        <f>IF('12 - Beds'!B178 = "", "", IF('12 - Beds-WUO_ERR'!A178 = "", "Validated", HYPERLINK("#" &amp; ADDRESS(178, '12 - Beds-WUO_TRK'!A178),_xlfn.TEXTAFTER('12 - Beds-WUO_ERR'!A178, ":"))))</f>
        <v/>
      </c>
    </row>
    <row r="179">
      <c r="A179" s="39">
        <f>IF('12 - Beds'!B179 = "", "", IF('12 - Beds-WUO_ERR'!A179 = "", "Validated", HYPERLINK("#" &amp; ADDRESS(179, '12 - Beds-WUO_TRK'!A179),_xlfn.TEXTAFTER('12 - Beds-WUO_ERR'!A179, ":"))))</f>
        <v/>
      </c>
    </row>
    <row r="180">
      <c r="A180" s="39">
        <f>IF('12 - Beds'!B180 = "", "", IF('12 - Beds-WUO_ERR'!A180 = "", "Validated", HYPERLINK("#" &amp; ADDRESS(180, '12 - Beds-WUO_TRK'!A180),_xlfn.TEXTAFTER('12 - Beds-WUO_ERR'!A180, ":"))))</f>
        <v/>
      </c>
    </row>
    <row r="181">
      <c r="A181" s="39">
        <f>IF('12 - Beds'!B181 = "", "", IF('12 - Beds-WUO_ERR'!A181 = "", "Validated", HYPERLINK("#" &amp; ADDRESS(181, '12 - Beds-WUO_TRK'!A181),_xlfn.TEXTAFTER('12 - Beds-WUO_ERR'!A181, ":"))))</f>
        <v/>
      </c>
    </row>
    <row r="182">
      <c r="A182" s="39">
        <f>IF('12 - Beds'!B182 = "", "", IF('12 - Beds-WUO_ERR'!A182 = "", "Validated", HYPERLINK("#" &amp; ADDRESS(182, '12 - Beds-WUO_TRK'!A182),_xlfn.TEXTAFTER('12 - Beds-WUO_ERR'!A182, ":"))))</f>
        <v/>
      </c>
    </row>
    <row r="183">
      <c r="A183" s="39">
        <f>IF('12 - Beds'!B183 = "", "", IF('12 - Beds-WUO_ERR'!A183 = "", "Validated", HYPERLINK("#" &amp; ADDRESS(183, '12 - Beds-WUO_TRK'!A183),_xlfn.TEXTAFTER('12 - Beds-WUO_ERR'!A183, ":"))))</f>
        <v/>
      </c>
    </row>
    <row r="184">
      <c r="A184" s="39">
        <f>IF('12 - Beds'!B184 = "", "", IF('12 - Beds-WUO_ERR'!A184 = "", "Validated", HYPERLINK("#" &amp; ADDRESS(184, '12 - Beds-WUO_TRK'!A184),_xlfn.TEXTAFTER('12 - Beds-WUO_ERR'!A184, ":"))))</f>
        <v/>
      </c>
    </row>
    <row r="185">
      <c r="A185" s="39">
        <f>IF('12 - Beds'!B185 = "", "", IF('12 - Beds-WUO_ERR'!A185 = "", "Validated", HYPERLINK("#" &amp; ADDRESS(185, '12 - Beds-WUO_TRK'!A185),_xlfn.TEXTAFTER('12 - Beds-WUO_ERR'!A185, ":"))))</f>
        <v/>
      </c>
    </row>
    <row r="186">
      <c r="A186" s="39">
        <f>IF('12 - Beds'!B186 = "", "", IF('12 - Beds-WUO_ERR'!A186 = "", "Validated", HYPERLINK("#" &amp; ADDRESS(186, '12 - Beds-WUO_TRK'!A186),_xlfn.TEXTAFTER('12 - Beds-WUO_ERR'!A186, ":"))))</f>
        <v/>
      </c>
    </row>
    <row r="187">
      <c r="A187" s="39">
        <f>IF('12 - Beds'!B187 = "", "", IF('12 - Beds-WUO_ERR'!A187 = "", "Validated", HYPERLINK("#" &amp; ADDRESS(187, '12 - Beds-WUO_TRK'!A187),_xlfn.TEXTAFTER('12 - Beds-WUO_ERR'!A187, ":"))))</f>
        <v/>
      </c>
    </row>
    <row r="188">
      <c r="A188" s="39">
        <f>IF('12 - Beds'!B188 = "", "", IF('12 - Beds-WUO_ERR'!A188 = "", "Validated", HYPERLINK("#" &amp; ADDRESS(188, '12 - Beds-WUO_TRK'!A188),_xlfn.TEXTAFTER('12 - Beds-WUO_ERR'!A188, ":"))))</f>
        <v/>
      </c>
    </row>
    <row r="189">
      <c r="A189" s="39">
        <f>IF('12 - Beds'!B189 = "", "", IF('12 - Beds-WUO_ERR'!A189 = "", "Validated", HYPERLINK("#" &amp; ADDRESS(189, '12 - Beds-WUO_TRK'!A189),_xlfn.TEXTAFTER('12 - Beds-WUO_ERR'!A189, ":"))))</f>
        <v/>
      </c>
    </row>
    <row r="190">
      <c r="A190" s="39">
        <f>IF('12 - Beds'!B190 = "", "", IF('12 - Beds-WUO_ERR'!A190 = "", "Validated", HYPERLINK("#" &amp; ADDRESS(190, '12 - Beds-WUO_TRK'!A190),_xlfn.TEXTAFTER('12 - Beds-WUO_ERR'!A190, ":"))))</f>
        <v/>
      </c>
    </row>
    <row r="191">
      <c r="A191" s="39">
        <f>IF('12 - Beds'!B191 = "", "", IF('12 - Beds-WUO_ERR'!A191 = "", "Validated", HYPERLINK("#" &amp; ADDRESS(191, '12 - Beds-WUO_TRK'!A191),_xlfn.TEXTAFTER('12 - Beds-WUO_ERR'!A191, ":"))))</f>
        <v/>
      </c>
    </row>
    <row r="192">
      <c r="A192" s="39">
        <f>IF('12 - Beds'!B192 = "", "", IF('12 - Beds-WUO_ERR'!A192 = "", "Validated", HYPERLINK("#" &amp; ADDRESS(192, '12 - Beds-WUO_TRK'!A192),_xlfn.TEXTAFTER('12 - Beds-WUO_ERR'!A192, ":"))))</f>
        <v/>
      </c>
    </row>
    <row r="193">
      <c r="A193" s="39">
        <f>IF('12 - Beds'!B193 = "", "", IF('12 - Beds-WUO_ERR'!A193 = "", "Validated", HYPERLINK("#" &amp; ADDRESS(193, '12 - Beds-WUO_TRK'!A193),_xlfn.TEXTAFTER('12 - Beds-WUO_ERR'!A193, ":"))))</f>
        <v/>
      </c>
    </row>
    <row r="194">
      <c r="A194" s="39">
        <f>IF('12 - Beds'!B194 = "", "", IF('12 - Beds-WUO_ERR'!A194 = "", "Validated", HYPERLINK("#" &amp; ADDRESS(194, '12 - Beds-WUO_TRK'!A194),_xlfn.TEXTAFTER('12 - Beds-WUO_ERR'!A194, ":"))))</f>
        <v/>
      </c>
    </row>
    <row r="195">
      <c r="A195" s="39">
        <f>IF('12 - Beds'!B195 = "", "", IF('12 - Beds-WUO_ERR'!A195 = "", "Validated", HYPERLINK("#" &amp; ADDRESS(195, '12 - Beds-WUO_TRK'!A195),_xlfn.TEXTAFTER('12 - Beds-WUO_ERR'!A195, ":"))))</f>
        <v/>
      </c>
    </row>
    <row r="196">
      <c r="A196" s="39">
        <f>IF('12 - Beds'!B196 = "", "", IF('12 - Beds-WUO_ERR'!A196 = "", "Validated", HYPERLINK("#" &amp; ADDRESS(196, '12 - Beds-WUO_TRK'!A196),_xlfn.TEXTAFTER('12 - Beds-WUO_ERR'!A196, ":"))))</f>
        <v/>
      </c>
    </row>
    <row r="197">
      <c r="A197" s="39">
        <f>IF('12 - Beds'!B197 = "", "", IF('12 - Beds-WUO_ERR'!A197 = "", "Validated", HYPERLINK("#" &amp; ADDRESS(197, '12 - Beds-WUO_TRK'!A197),_xlfn.TEXTAFTER('12 - Beds-WUO_ERR'!A197, ":"))))</f>
        <v/>
      </c>
    </row>
    <row r="198">
      <c r="A198" s="39">
        <f>IF('12 - Beds'!B198 = "", "", IF('12 - Beds-WUO_ERR'!A198 = "", "Validated", HYPERLINK("#" &amp; ADDRESS(198, '12 - Beds-WUO_TRK'!A198),_xlfn.TEXTAFTER('12 - Beds-WUO_ERR'!A198, ":"))))</f>
        <v/>
      </c>
    </row>
    <row r="199">
      <c r="A199" s="39">
        <f>IF('12 - Beds'!B199 = "", "", IF('12 - Beds-WUO_ERR'!A199 = "", "Validated", HYPERLINK("#" &amp; ADDRESS(199, '12 - Beds-WUO_TRK'!A199),_xlfn.TEXTAFTER('12 - Beds-WUO_ERR'!A199, ":"))))</f>
        <v/>
      </c>
    </row>
    <row r="200">
      <c r="A200" s="39">
        <f>IF('12 - Beds'!B200 = "", "", IF('12 - Beds-WUO_ERR'!A200 = "", "Validated", HYPERLINK("#" &amp; ADDRESS(200, '12 - Beds-WUO_TRK'!A200),_xlfn.TEXTAFTER('12 - Beds-WUO_ERR'!A200, ":"))))</f>
        <v/>
      </c>
    </row>
    <row r="201">
      <c r="A201" s="39">
        <f>IF('12 - Beds'!B201 = "", "", IF('12 - Beds-WUO_ERR'!A201 = "", "Validated", HYPERLINK("#" &amp; ADDRESS(201, '12 - Beds-WUO_TRK'!A201),_xlfn.TEXTAFTER('12 - Beds-WUO_ERR'!A201, ":"))))</f>
        <v/>
      </c>
    </row>
    <row r="202">
      <c r="A202" s="39">
        <f>IF('12 - Beds'!B202 = "", "", IF('12 - Beds-WUO_ERR'!A202 = "", "Validated", HYPERLINK("#" &amp; ADDRESS(202, '12 - Beds-WUO_TRK'!A202),_xlfn.TEXTAFTER('12 - Beds-WUO_ERR'!A202, ":"))))</f>
        <v/>
      </c>
    </row>
    <row r="203">
      <c r="A203" s="39">
        <f>IF('12 - Beds'!B203 = "", "", IF('12 - Beds-WUO_ERR'!A203 = "", "Validated", HYPERLINK("#" &amp; ADDRESS(203, '12 - Beds-WUO_TRK'!A203),_xlfn.TEXTAFTER('12 - Beds-WUO_ERR'!A203, ":"))))</f>
        <v/>
      </c>
    </row>
    <row r="204">
      <c r="A204" s="39">
        <f>IF('12 - Beds'!B204 = "", "", IF('12 - Beds-WUO_ERR'!A204 = "", "Validated", HYPERLINK("#" &amp; ADDRESS(204, '12 - Beds-WUO_TRK'!A204),_xlfn.TEXTAFTER('12 - Beds-WUO_ERR'!A204, ":"))))</f>
        <v/>
      </c>
    </row>
    <row r="205">
      <c r="A205" s="39">
        <f>IF('12 - Beds'!B205 = "", "", IF('12 - Beds-WUO_ERR'!A205 = "", "Validated", HYPERLINK("#" &amp; ADDRESS(205, '12 - Beds-WUO_TRK'!A205),_xlfn.TEXTAFTER('12 - Beds-WUO_ERR'!A205, ":"))))</f>
        <v/>
      </c>
    </row>
    <row r="206">
      <c r="A206" s="39">
        <f>IF('12 - Beds'!B206 = "", "", IF('12 - Beds-WUO_ERR'!A206 = "", "Validated", HYPERLINK("#" &amp; ADDRESS(206, '12 - Beds-WUO_TRK'!A206),_xlfn.TEXTAFTER('12 - Beds-WUO_ERR'!A206, ":"))))</f>
        <v/>
      </c>
    </row>
    <row r="207">
      <c r="A207" s="39">
        <f>IF('12 - Beds'!B207 = "", "", IF('12 - Beds-WUO_ERR'!A207 = "", "Validated", HYPERLINK("#" &amp; ADDRESS(207, '12 - Beds-WUO_TRK'!A207),_xlfn.TEXTAFTER('12 - Beds-WUO_ERR'!A207, ":"))))</f>
        <v/>
      </c>
    </row>
    <row r="208">
      <c r="A208" s="39">
        <f>IF('12 - Beds'!B208 = "", "", IF('12 - Beds-WUO_ERR'!A208 = "", "Validated", HYPERLINK("#" &amp; ADDRESS(208, '12 - Beds-WUO_TRK'!A208),_xlfn.TEXTAFTER('12 - Beds-WUO_ERR'!A208, ":"))))</f>
        <v/>
      </c>
    </row>
    <row r="209">
      <c r="A209" s="39">
        <f>IF('12 - Beds'!B209 = "", "", IF('12 - Beds-WUO_ERR'!A209 = "", "Validated", HYPERLINK("#" &amp; ADDRESS(209, '12 - Beds-WUO_TRK'!A209),_xlfn.TEXTAFTER('12 - Beds-WUO_ERR'!A209, ":"))))</f>
        <v/>
      </c>
    </row>
    <row r="210">
      <c r="A210" s="39">
        <f>IF('12 - Beds'!B210 = "", "", IF('12 - Beds-WUO_ERR'!A210 = "", "Validated", HYPERLINK("#" &amp; ADDRESS(210, '12 - Beds-WUO_TRK'!A210),_xlfn.TEXTAFTER('12 - Beds-WUO_ERR'!A210, ":"))))</f>
        <v/>
      </c>
    </row>
    <row r="211">
      <c r="A211" s="39">
        <f>IF('12 - Beds'!B211 = "", "", IF('12 - Beds-WUO_ERR'!A211 = "", "Validated", HYPERLINK("#" &amp; ADDRESS(211, '12 - Beds-WUO_TRK'!A211),_xlfn.TEXTAFTER('12 - Beds-WUO_ERR'!A211, ":"))))</f>
        <v/>
      </c>
    </row>
    <row r="212">
      <c r="A212" s="39">
        <f>IF('12 - Beds'!B212 = "", "", IF('12 - Beds-WUO_ERR'!A212 = "", "Validated", HYPERLINK("#" &amp; ADDRESS(212, '12 - Beds-WUO_TRK'!A212),_xlfn.TEXTAFTER('12 - Beds-WUO_ERR'!A212, ":"))))</f>
        <v/>
      </c>
    </row>
    <row r="213">
      <c r="A213" s="39">
        <f>IF('12 - Beds'!B213 = "", "", IF('12 - Beds-WUO_ERR'!A213 = "", "Validated", HYPERLINK("#" &amp; ADDRESS(213, '12 - Beds-WUO_TRK'!A213),_xlfn.TEXTAFTER('12 - Beds-WUO_ERR'!A213, ":"))))</f>
        <v/>
      </c>
    </row>
    <row r="214">
      <c r="A214" s="39">
        <f>IF('12 - Beds'!B214 = "", "", IF('12 - Beds-WUO_ERR'!A214 = "", "Validated", HYPERLINK("#" &amp; ADDRESS(214, '12 - Beds-WUO_TRK'!A214),_xlfn.TEXTAFTER('12 - Beds-WUO_ERR'!A214, ":"))))</f>
        <v/>
      </c>
    </row>
    <row r="215">
      <c r="A215" s="39">
        <f>IF('12 - Beds'!B215 = "", "", IF('12 - Beds-WUO_ERR'!A215 = "", "Validated", HYPERLINK("#" &amp; ADDRESS(215, '12 - Beds-WUO_TRK'!A215),_xlfn.TEXTAFTER('12 - Beds-WUO_ERR'!A215, ":"))))</f>
        <v/>
      </c>
    </row>
    <row r="216">
      <c r="A216" s="39">
        <f>IF('12 - Beds'!B216 = "", "", IF('12 - Beds-WUO_ERR'!A216 = "", "Validated", HYPERLINK("#" &amp; ADDRESS(216, '12 - Beds-WUO_TRK'!A216),_xlfn.TEXTAFTER('12 - Beds-WUO_ERR'!A216, ":"))))</f>
        <v/>
      </c>
    </row>
    <row r="217">
      <c r="A217" s="39">
        <f>IF('12 - Beds'!B217 = "", "", IF('12 - Beds-WUO_ERR'!A217 = "", "Validated", HYPERLINK("#" &amp; ADDRESS(217, '12 - Beds-WUO_TRK'!A217),_xlfn.TEXTAFTER('12 - Beds-WUO_ERR'!A217, ":"))))</f>
        <v/>
      </c>
    </row>
    <row r="218">
      <c r="A218" s="39">
        <f>IF('12 - Beds'!B218 = "", "", IF('12 - Beds-WUO_ERR'!A218 = "", "Validated", HYPERLINK("#" &amp; ADDRESS(218, '12 - Beds-WUO_TRK'!A218),_xlfn.TEXTAFTER('12 - Beds-WUO_ERR'!A218, ":"))))</f>
        <v/>
      </c>
    </row>
    <row r="219">
      <c r="A219" s="39">
        <f>IF('12 - Beds'!B219 = "", "", IF('12 - Beds-WUO_ERR'!A219 = "", "Validated", HYPERLINK("#" &amp; ADDRESS(219, '12 - Beds-WUO_TRK'!A219),_xlfn.TEXTAFTER('12 - Beds-WUO_ERR'!A219, ":"))))</f>
        <v/>
      </c>
    </row>
    <row r="220">
      <c r="A220" s="39">
        <f>IF('12 - Beds'!B220 = "", "", IF('12 - Beds-WUO_ERR'!A220 = "", "Validated", HYPERLINK("#" &amp; ADDRESS(220, '12 - Beds-WUO_TRK'!A220),_xlfn.TEXTAFTER('12 - Beds-WUO_ERR'!A220, ":"))))</f>
        <v/>
      </c>
    </row>
    <row r="221">
      <c r="A221" s="39">
        <f>IF('12 - Beds'!B221 = "", "", IF('12 - Beds-WUO_ERR'!A221 = "", "Validated", HYPERLINK("#" &amp; ADDRESS(221, '12 - Beds-WUO_TRK'!A221),_xlfn.TEXTAFTER('12 - Beds-WUO_ERR'!A221, ":"))))</f>
        <v/>
      </c>
    </row>
    <row r="222">
      <c r="A222" s="39">
        <f>IF('12 - Beds'!B222 = "", "", IF('12 - Beds-WUO_ERR'!A222 = "", "Validated", HYPERLINK("#" &amp; ADDRESS(222, '12 - Beds-WUO_TRK'!A222),_xlfn.TEXTAFTER('12 - Beds-WUO_ERR'!A222, ":"))))</f>
        <v/>
      </c>
    </row>
    <row r="223">
      <c r="A223" s="39">
        <f>IF('12 - Beds'!B223 = "", "", IF('12 - Beds-WUO_ERR'!A223 = "", "Validated", HYPERLINK("#" &amp; ADDRESS(223, '12 - Beds-WUO_TRK'!A223),_xlfn.TEXTAFTER('12 - Beds-WUO_ERR'!A223, ":"))))</f>
        <v/>
      </c>
    </row>
    <row r="224">
      <c r="A224" s="39">
        <f>IF('12 - Beds'!B224 = "", "", IF('12 - Beds-WUO_ERR'!A224 = "", "Validated", HYPERLINK("#" &amp; ADDRESS(224, '12 - Beds-WUO_TRK'!A224),_xlfn.TEXTAFTER('12 - Beds-WUO_ERR'!A224, ":"))))</f>
        <v/>
      </c>
    </row>
    <row r="225">
      <c r="A225" s="39">
        <f>IF('12 - Beds'!B225 = "", "", IF('12 - Beds-WUO_ERR'!A225 = "", "Validated", HYPERLINK("#" &amp; ADDRESS(225, '12 - Beds-WUO_TRK'!A225),_xlfn.TEXTAFTER('12 - Beds-WUO_ERR'!A225, ":"))))</f>
        <v/>
      </c>
    </row>
    <row r="226">
      <c r="A226" s="39">
        <f>IF('12 - Beds'!B226 = "", "", IF('12 - Beds-WUO_ERR'!A226 = "", "Validated", HYPERLINK("#" &amp; ADDRESS(226, '12 - Beds-WUO_TRK'!A226),_xlfn.TEXTAFTER('12 - Beds-WUO_ERR'!A226, ":"))))</f>
        <v/>
      </c>
    </row>
    <row r="227">
      <c r="A227" s="39">
        <f>IF('12 - Beds'!B227 = "", "", IF('12 - Beds-WUO_ERR'!A227 = "", "Validated", HYPERLINK("#" &amp; ADDRESS(227, '12 - Beds-WUO_TRK'!A227),_xlfn.TEXTAFTER('12 - Beds-WUO_ERR'!A227, ":"))))</f>
        <v/>
      </c>
    </row>
    <row r="228">
      <c r="A228" s="39">
        <f>IF('12 - Beds'!B228 = "", "", IF('12 - Beds-WUO_ERR'!A228 = "", "Validated", HYPERLINK("#" &amp; ADDRESS(228, '12 - Beds-WUO_TRK'!A228),_xlfn.TEXTAFTER('12 - Beds-WUO_ERR'!A228, ":"))))</f>
        <v/>
      </c>
    </row>
    <row r="229">
      <c r="A229" s="39">
        <f>IF('12 - Beds'!B229 = "", "", IF('12 - Beds-WUO_ERR'!A229 = "", "Validated", HYPERLINK("#" &amp; ADDRESS(229, '12 - Beds-WUO_TRK'!A229),_xlfn.TEXTAFTER('12 - Beds-WUO_ERR'!A229, ":"))))</f>
        <v/>
      </c>
    </row>
    <row r="230">
      <c r="A230" s="39">
        <f>IF('12 - Beds'!B230 = "", "", IF('12 - Beds-WUO_ERR'!A230 = "", "Validated", HYPERLINK("#" &amp; ADDRESS(230, '12 - Beds-WUO_TRK'!A230),_xlfn.TEXTAFTER('12 - Beds-WUO_ERR'!A230, ":"))))</f>
        <v/>
      </c>
    </row>
    <row r="231">
      <c r="A231" s="39">
        <f>IF('12 - Beds'!B231 = "", "", IF('12 - Beds-WUO_ERR'!A231 = "", "Validated", HYPERLINK("#" &amp; ADDRESS(231, '12 - Beds-WUO_TRK'!A231),_xlfn.TEXTAFTER('12 - Beds-WUO_ERR'!A231, ":"))))</f>
        <v/>
      </c>
    </row>
    <row r="232">
      <c r="A232" s="39">
        <f>IF('12 - Beds'!B232 = "", "", IF('12 - Beds-WUO_ERR'!A232 = "", "Validated", HYPERLINK("#" &amp; ADDRESS(232, '12 - Beds-WUO_TRK'!A232),_xlfn.TEXTAFTER('12 - Beds-WUO_ERR'!A232, ":"))))</f>
        <v/>
      </c>
    </row>
    <row r="233">
      <c r="A233" s="39">
        <f>IF('12 - Beds'!B233 = "", "", IF('12 - Beds-WUO_ERR'!A233 = "", "Validated", HYPERLINK("#" &amp; ADDRESS(233, '12 - Beds-WUO_TRK'!A233),_xlfn.TEXTAFTER('12 - Beds-WUO_ERR'!A233, ":"))))</f>
        <v/>
      </c>
    </row>
    <row r="234">
      <c r="A234" s="39">
        <f>IF('12 - Beds'!B234 = "", "", IF('12 - Beds-WUO_ERR'!A234 = "", "Validated", HYPERLINK("#" &amp; ADDRESS(234, '12 - Beds-WUO_TRK'!A234),_xlfn.TEXTAFTER('12 - Beds-WUO_ERR'!A234, ":"))))</f>
        <v/>
      </c>
    </row>
    <row r="235">
      <c r="A235" s="39">
        <f>IF('12 - Beds'!B235 = "", "", IF('12 - Beds-WUO_ERR'!A235 = "", "Validated", HYPERLINK("#" &amp; ADDRESS(235, '12 - Beds-WUO_TRK'!A235),_xlfn.TEXTAFTER('12 - Beds-WUO_ERR'!A235, ":"))))</f>
        <v/>
      </c>
    </row>
    <row r="236">
      <c r="A236" s="39">
        <f>IF('12 - Beds'!B236 = "", "", IF('12 - Beds-WUO_ERR'!A236 = "", "Validated", HYPERLINK("#" &amp; ADDRESS(236, '12 - Beds-WUO_TRK'!A236),_xlfn.TEXTAFTER('12 - Beds-WUO_ERR'!A236, ":"))))</f>
        <v/>
      </c>
    </row>
    <row r="237">
      <c r="A237" s="39">
        <f>IF('12 - Beds'!B237 = "", "", IF('12 - Beds-WUO_ERR'!A237 = "", "Validated", HYPERLINK("#" &amp; ADDRESS(237, '12 - Beds-WUO_TRK'!A237),_xlfn.TEXTAFTER('12 - Beds-WUO_ERR'!A237, ":"))))</f>
        <v/>
      </c>
    </row>
    <row r="238">
      <c r="A238" s="39">
        <f>IF('12 - Beds'!B238 = "", "", IF('12 - Beds-WUO_ERR'!A238 = "", "Validated", HYPERLINK("#" &amp; ADDRESS(238, '12 - Beds-WUO_TRK'!A238),_xlfn.TEXTAFTER('12 - Beds-WUO_ERR'!A238, ":"))))</f>
        <v/>
      </c>
    </row>
    <row r="239">
      <c r="A239" s="39">
        <f>IF('12 - Beds'!B239 = "", "", IF('12 - Beds-WUO_ERR'!A239 = "", "Validated", HYPERLINK("#" &amp; ADDRESS(239, '12 - Beds-WUO_TRK'!A239),_xlfn.TEXTAFTER('12 - Beds-WUO_ERR'!A239, ":"))))</f>
        <v/>
      </c>
    </row>
    <row r="240">
      <c r="A240" s="39">
        <f>IF('12 - Beds'!B240 = "", "", IF('12 - Beds-WUO_ERR'!A240 = "", "Validated", HYPERLINK("#" &amp; ADDRESS(240, '12 - Beds-WUO_TRK'!A240),_xlfn.TEXTAFTER('12 - Beds-WUO_ERR'!A240, ":"))))</f>
        <v/>
      </c>
    </row>
    <row r="241">
      <c r="A241" s="39">
        <f>IF('12 - Beds'!B241 = "", "", IF('12 - Beds-WUO_ERR'!A241 = "", "Validated", HYPERLINK("#" &amp; ADDRESS(241, '12 - Beds-WUO_TRK'!A241),_xlfn.TEXTAFTER('12 - Beds-WUO_ERR'!A241, ":"))))</f>
        <v/>
      </c>
    </row>
    <row r="242">
      <c r="A242" s="39">
        <f>IF('12 - Beds'!B242 = "", "", IF('12 - Beds-WUO_ERR'!A242 = "", "Validated", HYPERLINK("#" &amp; ADDRESS(242, '12 - Beds-WUO_TRK'!A242),_xlfn.TEXTAFTER('12 - Beds-WUO_ERR'!A242, ":"))))</f>
        <v/>
      </c>
    </row>
    <row r="243">
      <c r="A243" s="39">
        <f>IF('12 - Beds'!B243 = "", "", IF('12 - Beds-WUO_ERR'!A243 = "", "Validated", HYPERLINK("#" &amp; ADDRESS(243, '12 - Beds-WUO_TRK'!A243),_xlfn.TEXTAFTER('12 - Beds-WUO_ERR'!A243, ":"))))</f>
        <v/>
      </c>
    </row>
    <row r="244">
      <c r="A244" s="39">
        <f>IF('12 - Beds'!B244 = "", "", IF('12 - Beds-WUO_ERR'!A244 = "", "Validated", HYPERLINK("#" &amp; ADDRESS(244, '12 - Beds-WUO_TRK'!A244),_xlfn.TEXTAFTER('12 - Beds-WUO_ERR'!A244, ":"))))</f>
        <v/>
      </c>
    </row>
    <row r="245">
      <c r="A245" s="39">
        <f>IF('12 - Beds'!B245 = "", "", IF('12 - Beds-WUO_ERR'!A245 = "", "Validated", HYPERLINK("#" &amp; ADDRESS(245, '12 - Beds-WUO_TRK'!A245),_xlfn.TEXTAFTER('12 - Beds-WUO_ERR'!A245, ":"))))</f>
        <v/>
      </c>
    </row>
    <row r="246">
      <c r="A246" s="39">
        <f>IF('12 - Beds'!B246 = "", "", IF('12 - Beds-WUO_ERR'!A246 = "", "Validated", HYPERLINK("#" &amp; ADDRESS(246, '12 - Beds-WUO_TRK'!A246),_xlfn.TEXTAFTER('12 - Beds-WUO_ERR'!A246, ":"))))</f>
        <v/>
      </c>
    </row>
    <row r="247">
      <c r="A247" s="39">
        <f>IF('12 - Beds'!B247 = "", "", IF('12 - Beds-WUO_ERR'!A247 = "", "Validated", HYPERLINK("#" &amp; ADDRESS(247, '12 - Beds-WUO_TRK'!A247),_xlfn.TEXTAFTER('12 - Beds-WUO_ERR'!A247, ":"))))</f>
        <v/>
      </c>
    </row>
    <row r="248">
      <c r="A248" s="39">
        <f>IF('12 - Beds'!B248 = "", "", IF('12 - Beds-WUO_ERR'!A248 = "", "Validated", HYPERLINK("#" &amp; ADDRESS(248, '12 - Beds-WUO_TRK'!A248),_xlfn.TEXTAFTER('12 - Beds-WUO_ERR'!A248, ":"))))</f>
        <v/>
      </c>
    </row>
    <row r="249">
      <c r="A249" s="39">
        <f>IF('12 - Beds'!B249 = "", "", IF('12 - Beds-WUO_ERR'!A249 = "", "Validated", HYPERLINK("#" &amp; ADDRESS(249, '12 - Beds-WUO_TRK'!A249),_xlfn.TEXTAFTER('12 - Beds-WUO_ERR'!A249, ":"))))</f>
        <v/>
      </c>
    </row>
    <row r="250">
      <c r="A250" s="39">
        <f>IF('12 - Beds'!B250 = "", "", IF('12 - Beds-WUO_ERR'!A250 = "", "Validated", HYPERLINK("#" &amp; ADDRESS(250, '12 - Beds-WUO_TRK'!A250),_xlfn.TEXTAFTER('12 - Beds-WUO_ERR'!A250, ":"))))</f>
        <v/>
      </c>
    </row>
    <row r="251">
      <c r="A251" s="39">
        <f>IF('12 - Beds'!B251 = "", "", IF('12 - Beds-WUO_ERR'!A251 = "", "Validated", HYPERLINK("#" &amp; ADDRESS(251, '12 - Beds-WUO_TRK'!A251),_xlfn.TEXTAFTER('12 - Beds-WUO_ERR'!A251, ":"))))</f>
        <v/>
      </c>
    </row>
    <row r="252">
      <c r="A252" s="39">
        <f>IF('12 - Beds'!B252 = "", "", IF('12 - Beds-WUO_ERR'!A252 = "", "Validated", HYPERLINK("#" &amp; ADDRESS(252, '12 - Beds-WUO_TRK'!A252),_xlfn.TEXTAFTER('12 - Beds-WUO_ERR'!A252, ":"))))</f>
        <v/>
      </c>
    </row>
    <row r="253">
      <c r="A253" s="39">
        <f>IF('12 - Beds'!B253 = "", "", IF('12 - Beds-WUO_ERR'!A253 = "", "Validated", HYPERLINK("#" &amp; ADDRESS(253, '12 - Beds-WUO_TRK'!A253),_xlfn.TEXTAFTER('12 - Beds-WUO_ERR'!A253, ":"))))</f>
        <v/>
      </c>
    </row>
    <row r="254">
      <c r="A254" s="39">
        <f>IF('12 - Beds'!B254 = "", "", IF('12 - Beds-WUO_ERR'!A254 = "", "Validated", HYPERLINK("#" &amp; ADDRESS(254, '12 - Beds-WUO_TRK'!A254),_xlfn.TEXTAFTER('12 - Beds-WUO_ERR'!A254, ":"))))</f>
        <v/>
      </c>
    </row>
    <row r="255">
      <c r="A255" s="39">
        <f>IF('12 - Beds'!B255 = "", "", IF('12 - Beds-WUO_ERR'!A255 = "", "Validated", HYPERLINK("#" &amp; ADDRESS(255, '12 - Beds-WUO_TRK'!A255),_xlfn.TEXTAFTER('12 - Beds-WUO_ERR'!A255, ":"))))</f>
        <v/>
      </c>
    </row>
    <row r="256">
      <c r="A256" s="39">
        <f>IF('12 - Beds'!B256 = "", "", IF('12 - Beds-WUO_ERR'!A256 = "", "Validated", HYPERLINK("#" &amp; ADDRESS(256, '12 - Beds-WUO_TRK'!A256),_xlfn.TEXTAFTER('12 - Beds-WUO_ERR'!A256, ":"))))</f>
        <v/>
      </c>
    </row>
    <row r="257">
      <c r="A257" s="39">
        <f>IF('12 - Beds'!B257 = "", "", IF('12 - Beds-WUO_ERR'!A257 = "", "Validated", HYPERLINK("#" &amp; ADDRESS(257, '12 - Beds-WUO_TRK'!A257),_xlfn.TEXTAFTER('12 - Beds-WUO_ERR'!A257, ":"))))</f>
        <v/>
      </c>
    </row>
    <row r="258">
      <c r="A258" s="39">
        <f>IF('12 - Beds'!B258 = "", "", IF('12 - Beds-WUO_ERR'!A258 = "", "Validated", HYPERLINK("#" &amp; ADDRESS(258, '12 - Beds-WUO_TRK'!A258),_xlfn.TEXTAFTER('12 - Beds-WUO_ERR'!A258, ":"))))</f>
        <v/>
      </c>
    </row>
    <row r="259">
      <c r="A259" s="39">
        <f>IF('12 - Beds'!B259 = "", "", IF('12 - Beds-WUO_ERR'!A259 = "", "Validated", HYPERLINK("#" &amp; ADDRESS(259, '12 - Beds-WUO_TRK'!A259),_xlfn.TEXTAFTER('12 - Beds-WUO_ERR'!A259, ":"))))</f>
        <v/>
      </c>
    </row>
    <row r="260">
      <c r="A260" s="39">
        <f>IF('12 - Beds'!B260 = "", "", IF('12 - Beds-WUO_ERR'!A260 = "", "Validated", HYPERLINK("#" &amp; ADDRESS(260, '12 - Beds-WUO_TRK'!A260),_xlfn.TEXTAFTER('12 - Beds-WUO_ERR'!A260, ":"))))</f>
        <v/>
      </c>
    </row>
    <row r="261">
      <c r="A261" s="39">
        <f>IF('12 - Beds'!B261 = "", "", IF('12 - Beds-WUO_ERR'!A261 = "", "Validated", HYPERLINK("#" &amp; ADDRESS(261, '12 - Beds-WUO_TRK'!A261),_xlfn.TEXTAFTER('12 - Beds-WUO_ERR'!A261, ":"))))</f>
        <v/>
      </c>
    </row>
    <row r="262">
      <c r="A262" s="39">
        <f>IF('12 - Beds'!B262 = "", "", IF('12 - Beds-WUO_ERR'!A262 = "", "Validated", HYPERLINK("#" &amp; ADDRESS(262, '12 - Beds-WUO_TRK'!A262),_xlfn.TEXTAFTER('12 - Beds-WUO_ERR'!A262, ":"))))</f>
        <v/>
      </c>
    </row>
    <row r="263">
      <c r="A263" s="39">
        <f>IF('12 - Beds'!B263 = "", "", IF('12 - Beds-WUO_ERR'!A263 = "", "Validated", HYPERLINK("#" &amp; ADDRESS(263, '12 - Beds-WUO_TRK'!A263),_xlfn.TEXTAFTER('12 - Beds-WUO_ERR'!A263, ":"))))</f>
        <v/>
      </c>
    </row>
    <row r="264">
      <c r="A264" s="39">
        <f>IF('12 - Beds'!B264 = "", "", IF('12 - Beds-WUO_ERR'!A264 = "", "Validated", HYPERLINK("#" &amp; ADDRESS(264, '12 - Beds-WUO_TRK'!A264),_xlfn.TEXTAFTER('12 - Beds-WUO_ERR'!A264, ":"))))</f>
        <v/>
      </c>
    </row>
    <row r="265">
      <c r="A265" s="39">
        <f>IF('12 - Beds'!B265 = "", "", IF('12 - Beds-WUO_ERR'!A265 = "", "Validated", HYPERLINK("#" &amp; ADDRESS(265, '12 - Beds-WUO_TRK'!A265),_xlfn.TEXTAFTER('12 - Beds-WUO_ERR'!A265, ":"))))</f>
        <v/>
      </c>
    </row>
    <row r="266">
      <c r="A266" s="39">
        <f>IF('12 - Beds'!B266 = "", "", IF('12 - Beds-WUO_ERR'!A266 = "", "Validated", HYPERLINK("#" &amp; ADDRESS(266, '12 - Beds-WUO_TRK'!A266),_xlfn.TEXTAFTER('12 - Beds-WUO_ERR'!A266, ":"))))</f>
        <v/>
      </c>
    </row>
    <row r="267">
      <c r="A267" s="39">
        <f>IF('12 - Beds'!B267 = "", "", IF('12 - Beds-WUO_ERR'!A267 = "", "Validated", HYPERLINK("#" &amp; ADDRESS(267, '12 - Beds-WUO_TRK'!A267),_xlfn.TEXTAFTER('12 - Beds-WUO_ERR'!A267, ":"))))</f>
        <v/>
      </c>
    </row>
    <row r="268">
      <c r="A268" s="39">
        <f>IF('12 - Beds'!B268 = "", "", IF('12 - Beds-WUO_ERR'!A268 = "", "Validated", HYPERLINK("#" &amp; ADDRESS(268, '12 - Beds-WUO_TRK'!A268),_xlfn.TEXTAFTER('12 - Beds-WUO_ERR'!A268, ":"))))</f>
        <v/>
      </c>
    </row>
    <row r="269">
      <c r="A269" s="39">
        <f>IF('12 - Beds'!B269 = "", "", IF('12 - Beds-WUO_ERR'!A269 = "", "Validated", HYPERLINK("#" &amp; ADDRESS(269, '12 - Beds-WUO_TRK'!A269),_xlfn.TEXTAFTER('12 - Beds-WUO_ERR'!A269, ":"))))</f>
        <v/>
      </c>
    </row>
    <row r="270">
      <c r="A270" s="39">
        <f>IF('12 - Beds'!B270 = "", "", IF('12 - Beds-WUO_ERR'!A270 = "", "Validated", HYPERLINK("#" &amp; ADDRESS(270, '12 - Beds-WUO_TRK'!A270),_xlfn.TEXTAFTER('12 - Beds-WUO_ERR'!A270, ":"))))</f>
        <v/>
      </c>
    </row>
    <row r="271">
      <c r="A271" s="39">
        <f>IF('12 - Beds'!B271 = "", "", IF('12 - Beds-WUO_ERR'!A271 = "", "Validated", HYPERLINK("#" &amp; ADDRESS(271, '12 - Beds-WUO_TRK'!A271),_xlfn.TEXTAFTER('12 - Beds-WUO_ERR'!A271, ":"))))</f>
        <v/>
      </c>
    </row>
    <row r="272">
      <c r="A272" s="39">
        <f>IF('12 - Beds'!B272 = "", "", IF('12 - Beds-WUO_ERR'!A272 = "", "Validated", HYPERLINK("#" &amp; ADDRESS(272, '12 - Beds-WUO_TRK'!A272),_xlfn.TEXTAFTER('12 - Beds-WUO_ERR'!A272, ":"))))</f>
        <v/>
      </c>
    </row>
    <row r="273">
      <c r="A273" s="39">
        <f>IF('12 - Beds'!B273 = "", "", IF('12 - Beds-WUO_ERR'!A273 = "", "Validated", HYPERLINK("#" &amp; ADDRESS(273, '12 - Beds-WUO_TRK'!A273),_xlfn.TEXTAFTER('12 - Beds-WUO_ERR'!A273, ":"))))</f>
        <v/>
      </c>
    </row>
    <row r="274">
      <c r="A274" s="39">
        <f>IF('12 - Beds'!B274 = "", "", IF('12 - Beds-WUO_ERR'!A274 = "", "Validated", HYPERLINK("#" &amp; ADDRESS(274, '12 - Beds-WUO_TRK'!A274),_xlfn.TEXTAFTER('12 - Beds-WUO_ERR'!A274, ":"))))</f>
        <v/>
      </c>
    </row>
    <row r="275">
      <c r="A275" s="39">
        <f>IF('12 - Beds'!B275 = "", "", IF('12 - Beds-WUO_ERR'!A275 = "", "Validated", HYPERLINK("#" &amp; ADDRESS(275, '12 - Beds-WUO_TRK'!A275),_xlfn.TEXTAFTER('12 - Beds-WUO_ERR'!A275, ":"))))</f>
        <v/>
      </c>
    </row>
    <row r="276">
      <c r="A276" s="39">
        <f>IF('12 - Beds'!B276 = "", "", IF('12 - Beds-WUO_ERR'!A276 = "", "Validated", HYPERLINK("#" &amp; ADDRESS(276, '12 - Beds-WUO_TRK'!A276),_xlfn.TEXTAFTER('12 - Beds-WUO_ERR'!A276, ":"))))</f>
        <v/>
      </c>
    </row>
    <row r="277">
      <c r="A277" s="39">
        <f>IF('12 - Beds'!B277 = "", "", IF('12 - Beds-WUO_ERR'!A277 = "", "Validated", HYPERLINK("#" &amp; ADDRESS(277, '12 - Beds-WUO_TRK'!A277),_xlfn.TEXTAFTER('12 - Beds-WUO_ERR'!A277, ":"))))</f>
        <v/>
      </c>
    </row>
    <row r="278">
      <c r="A278" s="39">
        <f>IF('12 - Beds'!B278 = "", "", IF('12 - Beds-WUO_ERR'!A278 = "", "Validated", HYPERLINK("#" &amp; ADDRESS(278, '12 - Beds-WUO_TRK'!A278),_xlfn.TEXTAFTER('12 - Beds-WUO_ERR'!A278, ":"))))</f>
        <v/>
      </c>
    </row>
    <row r="279">
      <c r="A279" s="39">
        <f>IF('12 - Beds'!B279 = "", "", IF('12 - Beds-WUO_ERR'!A279 = "", "Validated", HYPERLINK("#" &amp; ADDRESS(279, '12 - Beds-WUO_TRK'!A279),_xlfn.TEXTAFTER('12 - Beds-WUO_ERR'!A279, ":"))))</f>
        <v/>
      </c>
    </row>
    <row r="280">
      <c r="A280" s="39">
        <f>IF('12 - Beds'!B280 = "", "", IF('12 - Beds-WUO_ERR'!A280 = "", "Validated", HYPERLINK("#" &amp; ADDRESS(280, '12 - Beds-WUO_TRK'!A280),_xlfn.TEXTAFTER('12 - Beds-WUO_ERR'!A280, ":"))))</f>
        <v/>
      </c>
    </row>
    <row r="281">
      <c r="A281" s="39">
        <f>IF('12 - Beds'!B281 = "", "", IF('12 - Beds-WUO_ERR'!A281 = "", "Validated", HYPERLINK("#" &amp; ADDRESS(281, '12 - Beds-WUO_TRK'!A281),_xlfn.TEXTAFTER('12 - Beds-WUO_ERR'!A281, ":"))))</f>
        <v/>
      </c>
    </row>
    <row r="282">
      <c r="A282" s="39">
        <f>IF('12 - Beds'!B282 = "", "", IF('12 - Beds-WUO_ERR'!A282 = "", "Validated", HYPERLINK("#" &amp; ADDRESS(282, '12 - Beds-WUO_TRK'!A282),_xlfn.TEXTAFTER('12 - Beds-WUO_ERR'!A282, ":"))))</f>
        <v/>
      </c>
    </row>
    <row r="283">
      <c r="A283" s="39">
        <f>IF('12 - Beds'!B283 = "", "", IF('12 - Beds-WUO_ERR'!A283 = "", "Validated", HYPERLINK("#" &amp; ADDRESS(283, '12 - Beds-WUO_TRK'!A283),_xlfn.TEXTAFTER('12 - Beds-WUO_ERR'!A283, ":"))))</f>
        <v/>
      </c>
    </row>
    <row r="284">
      <c r="A284" s="39">
        <f>IF('12 - Beds'!B284 = "", "", IF('12 - Beds-WUO_ERR'!A284 = "", "Validated", HYPERLINK("#" &amp; ADDRESS(284, '12 - Beds-WUO_TRK'!A284),_xlfn.TEXTAFTER('12 - Beds-WUO_ERR'!A284, ":"))))</f>
        <v/>
      </c>
    </row>
    <row r="285">
      <c r="A285" s="39">
        <f>IF('12 - Beds'!B285 = "", "", IF('12 - Beds-WUO_ERR'!A285 = "", "Validated", HYPERLINK("#" &amp; ADDRESS(285, '12 - Beds-WUO_TRK'!A285),_xlfn.TEXTAFTER('12 - Beds-WUO_ERR'!A285, ":"))))</f>
        <v/>
      </c>
    </row>
    <row r="286">
      <c r="A286" s="39">
        <f>IF('12 - Beds'!B286 = "", "", IF('12 - Beds-WUO_ERR'!A286 = "", "Validated", HYPERLINK("#" &amp; ADDRESS(286, '12 - Beds-WUO_TRK'!A286),_xlfn.TEXTAFTER('12 - Beds-WUO_ERR'!A286, ":"))))</f>
        <v/>
      </c>
    </row>
    <row r="287">
      <c r="A287" s="39">
        <f>IF('12 - Beds'!B287 = "", "", IF('12 - Beds-WUO_ERR'!A287 = "", "Validated", HYPERLINK("#" &amp; ADDRESS(287, '12 - Beds-WUO_TRK'!A287),_xlfn.TEXTAFTER('12 - Beds-WUO_ERR'!A287, ":"))))</f>
        <v/>
      </c>
    </row>
    <row r="288">
      <c r="A288" s="39">
        <f>IF('12 - Beds'!B288 = "", "", IF('12 - Beds-WUO_ERR'!A288 = "", "Validated", HYPERLINK("#" &amp; ADDRESS(288, '12 - Beds-WUO_TRK'!A288),_xlfn.TEXTAFTER('12 - Beds-WUO_ERR'!A288, ":"))))</f>
        <v/>
      </c>
    </row>
    <row r="289">
      <c r="A289" s="39">
        <f>IF('12 - Beds'!B289 = "", "", IF('12 - Beds-WUO_ERR'!A289 = "", "Validated", HYPERLINK("#" &amp; ADDRESS(289, '12 - Beds-WUO_TRK'!A289),_xlfn.TEXTAFTER('12 - Beds-WUO_ERR'!A289, ":"))))</f>
        <v/>
      </c>
    </row>
    <row r="290">
      <c r="A290" s="39">
        <f>IF('12 - Beds'!B290 = "", "", IF('12 - Beds-WUO_ERR'!A290 = "", "Validated", HYPERLINK("#" &amp; ADDRESS(290, '12 - Beds-WUO_TRK'!A290),_xlfn.TEXTAFTER('12 - Beds-WUO_ERR'!A290, ":"))))</f>
        <v/>
      </c>
    </row>
    <row r="291">
      <c r="A291" s="39">
        <f>IF('12 - Beds'!B291 = "", "", IF('12 - Beds-WUO_ERR'!A291 = "", "Validated", HYPERLINK("#" &amp; ADDRESS(291, '12 - Beds-WUO_TRK'!A291),_xlfn.TEXTAFTER('12 - Beds-WUO_ERR'!A291, ":"))))</f>
        <v/>
      </c>
    </row>
    <row r="292">
      <c r="A292" s="39">
        <f>IF('12 - Beds'!B292 = "", "", IF('12 - Beds-WUO_ERR'!A292 = "", "Validated", HYPERLINK("#" &amp; ADDRESS(292, '12 - Beds-WUO_TRK'!A292),_xlfn.TEXTAFTER('12 - Beds-WUO_ERR'!A292, ":"))))</f>
        <v/>
      </c>
    </row>
    <row r="293">
      <c r="A293" s="39">
        <f>IF('12 - Beds'!B293 = "", "", IF('12 - Beds-WUO_ERR'!A293 = "", "Validated", HYPERLINK("#" &amp; ADDRESS(293, '12 - Beds-WUO_TRK'!A293),_xlfn.TEXTAFTER('12 - Beds-WUO_ERR'!A293, ":"))))</f>
        <v/>
      </c>
    </row>
    <row r="294">
      <c r="A294" s="39">
        <f>IF('12 - Beds'!B294 = "", "", IF('12 - Beds-WUO_ERR'!A294 = "", "Validated", HYPERLINK("#" &amp; ADDRESS(294, '12 - Beds-WUO_TRK'!A294),_xlfn.TEXTAFTER('12 - Beds-WUO_ERR'!A294, ":"))))</f>
        <v/>
      </c>
    </row>
    <row r="295">
      <c r="A295" s="39">
        <f>IF('12 - Beds'!B295 = "", "", IF('12 - Beds-WUO_ERR'!A295 = "", "Validated", HYPERLINK("#" &amp; ADDRESS(295, '12 - Beds-WUO_TRK'!A295),_xlfn.TEXTAFTER('12 - Beds-WUO_ERR'!A295, ":"))))</f>
        <v/>
      </c>
    </row>
    <row r="296">
      <c r="A296" s="39">
        <f>IF('12 - Beds'!B296 = "", "", IF('12 - Beds-WUO_ERR'!A296 = "", "Validated", HYPERLINK("#" &amp; ADDRESS(296, '12 - Beds-WUO_TRK'!A296),_xlfn.TEXTAFTER('12 - Beds-WUO_ERR'!A296, ":"))))</f>
        <v/>
      </c>
    </row>
    <row r="297">
      <c r="A297" s="39">
        <f>IF('12 - Beds'!B297 = "", "", IF('12 - Beds-WUO_ERR'!A297 = "", "Validated", HYPERLINK("#" &amp; ADDRESS(297, '12 - Beds-WUO_TRK'!A297),_xlfn.TEXTAFTER('12 - Beds-WUO_ERR'!A297, ":"))))</f>
        <v/>
      </c>
    </row>
    <row r="298">
      <c r="A298" s="39">
        <f>IF('12 - Beds'!B298 = "", "", IF('12 - Beds-WUO_ERR'!A298 = "", "Validated", HYPERLINK("#" &amp; ADDRESS(298, '12 - Beds-WUO_TRK'!A298),_xlfn.TEXTAFTER('12 - Beds-WUO_ERR'!A298, ":"))))</f>
        <v/>
      </c>
    </row>
    <row r="299">
      <c r="A299" s="39">
        <f>IF('12 - Beds'!B299 = "", "", IF('12 - Beds-WUO_ERR'!A299 = "", "Validated", HYPERLINK("#" &amp; ADDRESS(299, '12 - Beds-WUO_TRK'!A299),_xlfn.TEXTAFTER('12 - Beds-WUO_ERR'!A299, ":"))))</f>
        <v/>
      </c>
    </row>
    <row r="300">
      <c r="A300" s="39">
        <f>IF('12 - Beds'!B300 = "", "", IF('12 - Beds-WUO_ERR'!A300 = "", "Validated", HYPERLINK("#" &amp; ADDRESS(300, '12 - Beds-WUO_TRK'!A300),_xlfn.TEXTAFTER('12 - Beds-WUO_ERR'!A300, ":"))))</f>
        <v/>
      </c>
    </row>
    <row r="301">
      <c r="A301" s="39">
        <f>IF('12 - Beds'!B301 = "", "", IF('12 - Beds-WUO_ERR'!A301 = "", "Validated", HYPERLINK("#" &amp; ADDRESS(301, '12 - Beds-WUO_TRK'!A301),_xlfn.TEXTAFTER('12 - Beds-WUO_ERR'!A301, ":"))))</f>
        <v/>
      </c>
    </row>
    <row r="302">
      <c r="A302" s="39">
        <f>IF('12 - Beds'!B302 = "", "", IF('12 - Beds-WUO_ERR'!A302 = "", "Validated", HYPERLINK("#" &amp; ADDRESS(302, '12 - Beds-WUO_TRK'!A302),_xlfn.TEXTAFTER('12 - Beds-WUO_ERR'!A302, ":"))))</f>
        <v/>
      </c>
    </row>
    <row r="303">
      <c r="A303" s="39">
        <f>IF('12 - Beds'!B303 = "", "", IF('12 - Beds-WUO_ERR'!A303 = "", "Validated", HYPERLINK("#" &amp; ADDRESS(303, '12 - Beds-WUO_TRK'!A303),_xlfn.TEXTAFTER('12 - Beds-WUO_ERR'!A303, ":"))))</f>
        <v/>
      </c>
    </row>
    <row r="304">
      <c r="A304" s="39">
        <f>IF('12 - Beds'!B304 = "", "", IF('12 - Beds-WUO_ERR'!A304 = "", "Validated", HYPERLINK("#" &amp; ADDRESS(304, '12 - Beds-WUO_TRK'!A304),_xlfn.TEXTAFTER('12 - Beds-WUO_ERR'!A304, ":"))))</f>
        <v/>
      </c>
    </row>
    <row r="305">
      <c r="A305" s="39">
        <f>IF('12 - Beds'!B305 = "", "", IF('12 - Beds-WUO_ERR'!A305 = "", "Validated", HYPERLINK("#" &amp; ADDRESS(305, '12 - Beds-WUO_TRK'!A305),_xlfn.TEXTAFTER('12 - Beds-WUO_ERR'!A305, ":"))))</f>
        <v/>
      </c>
    </row>
    <row r="306">
      <c r="A306" s="39">
        <f>IF('12 - Beds'!B306 = "", "", IF('12 - Beds-WUO_ERR'!A306 = "", "Validated", HYPERLINK("#" &amp; ADDRESS(306, '12 - Beds-WUO_TRK'!A306),_xlfn.TEXTAFTER('12 - Beds-WUO_ERR'!A306, ":"))))</f>
        <v/>
      </c>
    </row>
    <row r="307">
      <c r="A307" s="39">
        <f>IF('12 - Beds'!B307 = "", "", IF('12 - Beds-WUO_ERR'!A307 = "", "Validated", HYPERLINK("#" &amp; ADDRESS(307, '12 - Beds-WUO_TRK'!A307),_xlfn.TEXTAFTER('12 - Beds-WUO_ERR'!A307, ":"))))</f>
        <v/>
      </c>
    </row>
    <row r="308">
      <c r="A308" s="39">
        <f>IF('12 - Beds'!B308 = "", "", IF('12 - Beds-WUO_ERR'!A308 = "", "Validated", HYPERLINK("#" &amp; ADDRESS(308, '12 - Beds-WUO_TRK'!A308),_xlfn.TEXTAFTER('12 - Beds-WUO_ERR'!A308, ":"))))</f>
        <v/>
      </c>
    </row>
    <row r="309">
      <c r="A309" s="39">
        <f>IF('12 - Beds'!B309 = "", "", IF('12 - Beds-WUO_ERR'!A309 = "", "Validated", HYPERLINK("#" &amp; ADDRESS(309, '12 - Beds-WUO_TRK'!A309),_xlfn.TEXTAFTER('12 - Beds-WUO_ERR'!A309, ":"))))</f>
        <v/>
      </c>
    </row>
    <row r="310">
      <c r="A310" s="39">
        <f>IF('12 - Beds'!B310 = "", "", IF('12 - Beds-WUO_ERR'!A310 = "", "Validated", HYPERLINK("#" &amp; ADDRESS(310, '12 - Beds-WUO_TRK'!A310),_xlfn.TEXTAFTER('12 - Beds-WUO_ERR'!A310, ":"))))</f>
        <v/>
      </c>
    </row>
    <row r="311">
      <c r="A311" s="39">
        <f>IF('12 - Beds'!B311 = "", "", IF('12 - Beds-WUO_ERR'!A311 = "", "Validated", HYPERLINK("#" &amp; ADDRESS(311, '12 - Beds-WUO_TRK'!A311),_xlfn.TEXTAFTER('12 - Beds-WUO_ERR'!A311, ":"))))</f>
        <v/>
      </c>
    </row>
    <row r="312">
      <c r="A312" s="39">
        <f>IF('12 - Beds'!B312 = "", "", IF('12 - Beds-WUO_ERR'!A312 = "", "Validated", HYPERLINK("#" &amp; ADDRESS(312, '12 - Beds-WUO_TRK'!A312),_xlfn.TEXTAFTER('12 - Beds-WUO_ERR'!A312, ":"))))</f>
        <v/>
      </c>
    </row>
    <row r="313">
      <c r="A313" s="39">
        <f>IF('12 - Beds'!B313 = "", "", IF('12 - Beds-WUO_ERR'!A313 = "", "Validated", HYPERLINK("#" &amp; ADDRESS(313, '12 - Beds-WUO_TRK'!A313),_xlfn.TEXTAFTER('12 - Beds-WUO_ERR'!A313, ":"))))</f>
        <v/>
      </c>
    </row>
    <row r="314">
      <c r="A314" s="39">
        <f>IF('12 - Beds'!B314 = "", "", IF('12 - Beds-WUO_ERR'!A314 = "", "Validated", HYPERLINK("#" &amp; ADDRESS(314, '12 - Beds-WUO_TRK'!A314),_xlfn.TEXTAFTER('12 - Beds-WUO_ERR'!A314, ":"))))</f>
        <v/>
      </c>
    </row>
    <row r="315">
      <c r="A315" s="39">
        <f>IF('12 - Beds'!B315 = "", "", IF('12 - Beds-WUO_ERR'!A315 = "", "Validated", HYPERLINK("#" &amp; ADDRESS(315, '12 - Beds-WUO_TRK'!A315),_xlfn.TEXTAFTER('12 - Beds-WUO_ERR'!A315, ":"))))</f>
        <v/>
      </c>
    </row>
    <row r="316">
      <c r="A316" s="39">
        <f>IF('12 - Beds'!B316 = "", "", IF('12 - Beds-WUO_ERR'!A316 = "", "Validated", HYPERLINK("#" &amp; ADDRESS(316, '12 - Beds-WUO_TRK'!A316),_xlfn.TEXTAFTER('12 - Beds-WUO_ERR'!A316, ":"))))</f>
        <v/>
      </c>
    </row>
    <row r="317">
      <c r="A317" s="39">
        <f>IF('12 - Beds'!B317 = "", "", IF('12 - Beds-WUO_ERR'!A317 = "", "Validated", HYPERLINK("#" &amp; ADDRESS(317, '12 - Beds-WUO_TRK'!A317),_xlfn.TEXTAFTER('12 - Beds-WUO_ERR'!A317, ":"))))</f>
        <v/>
      </c>
    </row>
    <row r="318">
      <c r="A318" s="39">
        <f>IF('12 - Beds'!B318 = "", "", IF('12 - Beds-WUO_ERR'!A318 = "", "Validated", HYPERLINK("#" &amp; ADDRESS(318, '12 - Beds-WUO_TRK'!A318),_xlfn.TEXTAFTER('12 - Beds-WUO_ERR'!A318, ":"))))</f>
        <v/>
      </c>
    </row>
    <row r="319">
      <c r="A319" s="39">
        <f>IF('12 - Beds'!B319 = "", "", IF('12 - Beds-WUO_ERR'!A319 = "", "Validated", HYPERLINK("#" &amp; ADDRESS(319, '12 - Beds-WUO_TRK'!A319),_xlfn.TEXTAFTER('12 - Beds-WUO_ERR'!A319, ":"))))</f>
        <v/>
      </c>
    </row>
    <row r="320">
      <c r="A320" s="39">
        <f>IF('12 - Beds'!B320 = "", "", IF('12 - Beds-WUO_ERR'!A320 = "", "Validated", HYPERLINK("#" &amp; ADDRESS(320, '12 - Beds-WUO_TRK'!A320),_xlfn.TEXTAFTER('12 - Beds-WUO_ERR'!A320, ":"))))</f>
        <v/>
      </c>
    </row>
    <row r="321">
      <c r="A321" s="39">
        <f>IF('12 - Beds'!B321 = "", "", IF('12 - Beds-WUO_ERR'!A321 = "", "Validated", HYPERLINK("#" &amp; ADDRESS(321, '12 - Beds-WUO_TRK'!A321),_xlfn.TEXTAFTER('12 - Beds-WUO_ERR'!A321, ":"))))</f>
        <v/>
      </c>
    </row>
    <row r="322">
      <c r="A322" s="39">
        <f>IF('12 - Beds'!B322 = "", "", IF('12 - Beds-WUO_ERR'!A322 = "", "Validated", HYPERLINK("#" &amp; ADDRESS(322, '12 - Beds-WUO_TRK'!A322),_xlfn.TEXTAFTER('12 - Beds-WUO_ERR'!A322, ":"))))</f>
        <v/>
      </c>
    </row>
    <row r="323">
      <c r="A323" s="39">
        <f>IF('12 - Beds'!B323 = "", "", IF('12 - Beds-WUO_ERR'!A323 = "", "Validated", HYPERLINK("#" &amp; ADDRESS(323, '12 - Beds-WUO_TRK'!A323),_xlfn.TEXTAFTER('12 - Beds-WUO_ERR'!A323, ":"))))</f>
        <v/>
      </c>
    </row>
    <row r="324">
      <c r="A324" s="39">
        <f>IF('12 - Beds'!B324 = "", "", IF('12 - Beds-WUO_ERR'!A324 = "", "Validated", HYPERLINK("#" &amp; ADDRESS(324, '12 - Beds-WUO_TRK'!A324),_xlfn.TEXTAFTER('12 - Beds-WUO_ERR'!A324, ":"))))</f>
        <v/>
      </c>
    </row>
    <row r="325">
      <c r="A325" s="39">
        <f>IF('12 - Beds'!B325 = "", "", IF('12 - Beds-WUO_ERR'!A325 = "", "Validated", HYPERLINK("#" &amp; ADDRESS(325, '12 - Beds-WUO_TRK'!A325),_xlfn.TEXTAFTER('12 - Beds-WUO_ERR'!A325, ":"))))</f>
        <v/>
      </c>
    </row>
    <row r="326">
      <c r="A326" s="39">
        <f>IF('12 - Beds'!B326 = "", "", IF('12 - Beds-WUO_ERR'!A326 = "", "Validated", HYPERLINK("#" &amp; ADDRESS(326, '12 - Beds-WUO_TRK'!A326),_xlfn.TEXTAFTER('12 - Beds-WUO_ERR'!A326, ":"))))</f>
        <v/>
      </c>
    </row>
    <row r="327">
      <c r="A327" s="39">
        <f>IF('12 - Beds'!B327 = "", "", IF('12 - Beds-WUO_ERR'!A327 = "", "Validated", HYPERLINK("#" &amp; ADDRESS(327, '12 - Beds-WUO_TRK'!A327),_xlfn.TEXTAFTER('12 - Beds-WUO_ERR'!A327, ":"))))</f>
        <v/>
      </c>
    </row>
    <row r="328">
      <c r="A328" s="39">
        <f>IF('12 - Beds'!B328 = "", "", IF('12 - Beds-WUO_ERR'!A328 = "", "Validated", HYPERLINK("#" &amp; ADDRESS(328, '12 - Beds-WUO_TRK'!A328),_xlfn.TEXTAFTER('12 - Beds-WUO_ERR'!A328, ":"))))</f>
        <v/>
      </c>
    </row>
    <row r="329">
      <c r="A329" s="39">
        <f>IF('12 - Beds'!B329 = "", "", IF('12 - Beds-WUO_ERR'!A329 = "", "Validated", HYPERLINK("#" &amp; ADDRESS(329, '12 - Beds-WUO_TRK'!A329),_xlfn.TEXTAFTER('12 - Beds-WUO_ERR'!A329, ":"))))</f>
        <v/>
      </c>
    </row>
    <row r="330">
      <c r="A330" s="39">
        <f>IF('12 - Beds'!B330 = "", "", IF('12 - Beds-WUO_ERR'!A330 = "", "Validated", HYPERLINK("#" &amp; ADDRESS(330, '12 - Beds-WUO_TRK'!A330),_xlfn.TEXTAFTER('12 - Beds-WUO_ERR'!A330, ":"))))</f>
        <v/>
      </c>
    </row>
    <row r="331">
      <c r="A331" s="39">
        <f>IF('12 - Beds'!B331 = "", "", IF('12 - Beds-WUO_ERR'!A331 = "", "Validated", HYPERLINK("#" &amp; ADDRESS(331, '12 - Beds-WUO_TRK'!A331),_xlfn.TEXTAFTER('12 - Beds-WUO_ERR'!A331, ":"))))</f>
        <v/>
      </c>
    </row>
    <row r="332">
      <c r="A332" s="39">
        <f>IF('12 - Beds'!B332 = "", "", IF('12 - Beds-WUO_ERR'!A332 = "", "Validated", HYPERLINK("#" &amp; ADDRESS(332, '12 - Beds-WUO_TRK'!A332),_xlfn.TEXTAFTER('12 - Beds-WUO_ERR'!A332, ":"))))</f>
        <v/>
      </c>
    </row>
    <row r="333">
      <c r="A333" s="39">
        <f>IF('12 - Beds'!B333 = "", "", IF('12 - Beds-WUO_ERR'!A333 = "", "Validated", HYPERLINK("#" &amp; ADDRESS(333, '12 - Beds-WUO_TRK'!A333),_xlfn.TEXTAFTER('12 - Beds-WUO_ERR'!A333, ":"))))</f>
        <v/>
      </c>
    </row>
    <row r="334">
      <c r="A334" s="39">
        <f>IF('12 - Beds'!B334 = "", "", IF('12 - Beds-WUO_ERR'!A334 = "", "Validated", HYPERLINK("#" &amp; ADDRESS(334, '12 - Beds-WUO_TRK'!A334),_xlfn.TEXTAFTER('12 - Beds-WUO_ERR'!A334, ":"))))</f>
        <v/>
      </c>
    </row>
    <row r="335">
      <c r="A335" s="39">
        <f>IF('12 - Beds'!B335 = "", "", IF('12 - Beds-WUO_ERR'!A335 = "", "Validated", HYPERLINK("#" &amp; ADDRESS(335, '12 - Beds-WUO_TRK'!A335),_xlfn.TEXTAFTER('12 - Beds-WUO_ERR'!A335, ":"))))</f>
        <v/>
      </c>
    </row>
    <row r="336">
      <c r="A336" s="39">
        <f>IF('12 - Beds'!B336 = "", "", IF('12 - Beds-WUO_ERR'!A336 = "", "Validated", HYPERLINK("#" &amp; ADDRESS(336, '12 - Beds-WUO_TRK'!A336),_xlfn.TEXTAFTER('12 - Beds-WUO_ERR'!A336, ":"))))</f>
        <v/>
      </c>
    </row>
    <row r="337">
      <c r="A337" s="39">
        <f>IF('12 - Beds'!B337 = "", "", IF('12 - Beds-WUO_ERR'!A337 = "", "Validated", HYPERLINK("#" &amp; ADDRESS(337, '12 - Beds-WUO_TRK'!A337),_xlfn.TEXTAFTER('12 - Beds-WUO_ERR'!A337, ":"))))</f>
        <v/>
      </c>
    </row>
    <row r="338">
      <c r="A338" s="39">
        <f>IF('12 - Beds'!B338 = "", "", IF('12 - Beds-WUO_ERR'!A338 = "", "Validated", HYPERLINK("#" &amp; ADDRESS(338, '12 - Beds-WUO_TRK'!A338),_xlfn.TEXTAFTER('12 - Beds-WUO_ERR'!A338, ":"))))</f>
        <v/>
      </c>
    </row>
    <row r="339">
      <c r="A339" s="39">
        <f>IF('12 - Beds'!B339 = "", "", IF('12 - Beds-WUO_ERR'!A339 = "", "Validated", HYPERLINK("#" &amp; ADDRESS(339, '12 - Beds-WUO_TRK'!A339),_xlfn.TEXTAFTER('12 - Beds-WUO_ERR'!A339, ":"))))</f>
        <v/>
      </c>
    </row>
    <row r="340">
      <c r="A340" s="39">
        <f>IF('12 - Beds'!B340 = "", "", IF('12 - Beds-WUO_ERR'!A340 = "", "Validated", HYPERLINK("#" &amp; ADDRESS(340, '12 - Beds-WUO_TRK'!A340),_xlfn.TEXTAFTER('12 - Beds-WUO_ERR'!A340, ":"))))</f>
        <v/>
      </c>
    </row>
    <row r="341">
      <c r="A341" s="39">
        <f>IF('12 - Beds'!B341 = "", "", IF('12 - Beds-WUO_ERR'!A341 = "", "Validated", HYPERLINK("#" &amp; ADDRESS(341, '12 - Beds-WUO_TRK'!A341),_xlfn.TEXTAFTER('12 - Beds-WUO_ERR'!A341, ":"))))</f>
        <v/>
      </c>
    </row>
    <row r="342">
      <c r="A342" s="39">
        <f>IF('12 - Beds'!B342 = "", "", IF('12 - Beds-WUO_ERR'!A342 = "", "Validated", HYPERLINK("#" &amp; ADDRESS(342, '12 - Beds-WUO_TRK'!A342),_xlfn.TEXTAFTER('12 - Beds-WUO_ERR'!A342, ":"))))</f>
        <v/>
      </c>
    </row>
    <row r="343">
      <c r="A343" s="39">
        <f>IF('12 - Beds'!B343 = "", "", IF('12 - Beds-WUO_ERR'!A343 = "", "Validated", HYPERLINK("#" &amp; ADDRESS(343, '12 - Beds-WUO_TRK'!A343),_xlfn.TEXTAFTER('12 - Beds-WUO_ERR'!A343, ":"))))</f>
        <v/>
      </c>
    </row>
    <row r="344">
      <c r="A344" s="39">
        <f>IF('12 - Beds'!B344 = "", "", IF('12 - Beds-WUO_ERR'!A344 = "", "Validated", HYPERLINK("#" &amp; ADDRESS(344, '12 - Beds-WUO_TRK'!A344),_xlfn.TEXTAFTER('12 - Beds-WUO_ERR'!A344, ":"))))</f>
        <v/>
      </c>
    </row>
    <row r="345">
      <c r="A345" s="39">
        <f>IF('12 - Beds'!B345 = "", "", IF('12 - Beds-WUO_ERR'!A345 = "", "Validated", HYPERLINK("#" &amp; ADDRESS(345, '12 - Beds-WUO_TRK'!A345),_xlfn.TEXTAFTER('12 - Beds-WUO_ERR'!A345, ":"))))</f>
        <v/>
      </c>
    </row>
    <row r="346">
      <c r="A346" s="39">
        <f>IF('12 - Beds'!B346 = "", "", IF('12 - Beds-WUO_ERR'!A346 = "", "Validated", HYPERLINK("#" &amp; ADDRESS(346, '12 - Beds-WUO_TRK'!A346),_xlfn.TEXTAFTER('12 - Beds-WUO_ERR'!A346, ":"))))</f>
        <v/>
      </c>
    </row>
    <row r="347">
      <c r="A347" s="39">
        <f>IF('12 - Beds'!B347 = "", "", IF('12 - Beds-WUO_ERR'!A347 = "", "Validated", HYPERLINK("#" &amp; ADDRESS(347, '12 - Beds-WUO_TRK'!A347),_xlfn.TEXTAFTER('12 - Beds-WUO_ERR'!A347, ":"))))</f>
        <v/>
      </c>
    </row>
    <row r="348">
      <c r="A348" s="39">
        <f>IF('12 - Beds'!B348 = "", "", IF('12 - Beds-WUO_ERR'!A348 = "", "Validated", HYPERLINK("#" &amp; ADDRESS(348, '12 - Beds-WUO_TRK'!A348),_xlfn.TEXTAFTER('12 - Beds-WUO_ERR'!A348, ":"))))</f>
        <v/>
      </c>
    </row>
    <row r="349">
      <c r="A349" s="39">
        <f>IF('12 - Beds'!B349 = "", "", IF('12 - Beds-WUO_ERR'!A349 = "", "Validated", HYPERLINK("#" &amp; ADDRESS(349, '12 - Beds-WUO_TRK'!A349),_xlfn.TEXTAFTER('12 - Beds-WUO_ERR'!A349, ":"))))</f>
        <v/>
      </c>
    </row>
    <row r="350">
      <c r="A350" s="39">
        <f>IF('12 - Beds'!B350 = "", "", IF('12 - Beds-WUO_ERR'!A350 = "", "Validated", HYPERLINK("#" &amp; ADDRESS(350, '12 - Beds-WUO_TRK'!A350),_xlfn.TEXTAFTER('12 - Beds-WUO_ERR'!A350, ":"))))</f>
        <v/>
      </c>
    </row>
    <row r="351">
      <c r="A351" s="39">
        <f>IF('12 - Beds'!B351 = "", "", IF('12 - Beds-WUO_ERR'!A351 = "", "Validated", HYPERLINK("#" &amp; ADDRESS(351, '12 - Beds-WUO_TRK'!A351),_xlfn.TEXTAFTER('12 - Beds-WUO_ERR'!A351, ":"))))</f>
        <v/>
      </c>
    </row>
    <row r="352">
      <c r="A352" s="39">
        <f>IF('12 - Beds'!B352 = "", "", IF('12 - Beds-WUO_ERR'!A352 = "", "Validated", HYPERLINK("#" &amp; ADDRESS(352, '12 - Beds-WUO_TRK'!A352),_xlfn.TEXTAFTER('12 - Beds-WUO_ERR'!A352, ":"))))</f>
        <v/>
      </c>
    </row>
    <row r="353">
      <c r="A353" s="39">
        <f>IF('12 - Beds'!B353 = "", "", IF('12 - Beds-WUO_ERR'!A353 = "", "Validated", HYPERLINK("#" &amp; ADDRESS(353, '12 - Beds-WUO_TRK'!A353),_xlfn.TEXTAFTER('12 - Beds-WUO_ERR'!A353, ":"))))</f>
        <v/>
      </c>
    </row>
    <row r="354">
      <c r="A354" s="39">
        <f>IF('12 - Beds'!B354 = "", "", IF('12 - Beds-WUO_ERR'!A354 = "", "Validated", HYPERLINK("#" &amp; ADDRESS(354, '12 - Beds-WUO_TRK'!A354),_xlfn.TEXTAFTER('12 - Beds-WUO_ERR'!A354, ":"))))</f>
        <v/>
      </c>
    </row>
    <row r="355">
      <c r="A355" s="39">
        <f>IF('12 - Beds'!B355 = "", "", IF('12 - Beds-WUO_ERR'!A355 = "", "Validated", HYPERLINK("#" &amp; ADDRESS(355, '12 - Beds-WUO_TRK'!A355),_xlfn.TEXTAFTER('12 - Beds-WUO_ERR'!A355, ":"))))</f>
        <v/>
      </c>
    </row>
    <row r="356">
      <c r="A356" s="39">
        <f>IF('12 - Beds'!B356 = "", "", IF('12 - Beds-WUO_ERR'!A356 = "", "Validated", HYPERLINK("#" &amp; ADDRESS(356, '12 - Beds-WUO_TRK'!A356),_xlfn.TEXTAFTER('12 - Beds-WUO_ERR'!A356, ":"))))</f>
        <v/>
      </c>
    </row>
    <row r="357">
      <c r="A357" s="39">
        <f>IF('12 - Beds'!B357 = "", "", IF('12 - Beds-WUO_ERR'!A357 = "", "Validated", HYPERLINK("#" &amp; ADDRESS(357, '12 - Beds-WUO_TRK'!A357),_xlfn.TEXTAFTER('12 - Beds-WUO_ERR'!A357, ":"))))</f>
        <v/>
      </c>
    </row>
    <row r="358">
      <c r="A358" s="39">
        <f>IF('12 - Beds'!B358 = "", "", IF('12 - Beds-WUO_ERR'!A358 = "", "Validated", HYPERLINK("#" &amp; ADDRESS(358, '12 - Beds-WUO_TRK'!A358),_xlfn.TEXTAFTER('12 - Beds-WUO_ERR'!A358, ":"))))</f>
        <v/>
      </c>
    </row>
    <row r="359">
      <c r="A359" s="39">
        <f>IF('12 - Beds'!B359 = "", "", IF('12 - Beds-WUO_ERR'!A359 = "", "Validated", HYPERLINK("#" &amp; ADDRESS(359, '12 - Beds-WUO_TRK'!A359),_xlfn.TEXTAFTER('12 - Beds-WUO_ERR'!A359, ":"))))</f>
        <v/>
      </c>
    </row>
    <row r="360">
      <c r="A360" s="39">
        <f>IF('12 - Beds'!B360 = "", "", IF('12 - Beds-WUO_ERR'!A360 = "", "Validated", HYPERLINK("#" &amp; ADDRESS(360, '12 - Beds-WUO_TRK'!A360),_xlfn.TEXTAFTER('12 - Beds-WUO_ERR'!A360, ":"))))</f>
        <v/>
      </c>
    </row>
    <row r="361">
      <c r="A361" s="39">
        <f>IF('12 - Beds'!B361 = "", "", IF('12 - Beds-WUO_ERR'!A361 = "", "Validated", HYPERLINK("#" &amp; ADDRESS(361, '12 - Beds-WUO_TRK'!A361),_xlfn.TEXTAFTER('12 - Beds-WUO_ERR'!A361, ":"))))</f>
        <v/>
      </c>
    </row>
    <row r="362">
      <c r="A362" s="39">
        <f>IF('12 - Beds'!B362 = "", "", IF('12 - Beds-WUO_ERR'!A362 = "", "Validated", HYPERLINK("#" &amp; ADDRESS(362, '12 - Beds-WUO_TRK'!A362),_xlfn.TEXTAFTER('12 - Beds-WUO_ERR'!A362, ":"))))</f>
        <v/>
      </c>
    </row>
    <row r="363">
      <c r="A363" s="39">
        <f>IF('12 - Beds'!B363 = "", "", IF('12 - Beds-WUO_ERR'!A363 = "", "Validated", HYPERLINK("#" &amp; ADDRESS(363, '12 - Beds-WUO_TRK'!A363),_xlfn.TEXTAFTER('12 - Beds-WUO_ERR'!A363, ":"))))</f>
        <v/>
      </c>
    </row>
    <row r="364">
      <c r="A364" s="39">
        <f>IF('12 - Beds'!B364 = "", "", IF('12 - Beds-WUO_ERR'!A364 = "", "Validated", HYPERLINK("#" &amp; ADDRESS(364, '12 - Beds-WUO_TRK'!A364),_xlfn.TEXTAFTER('12 - Beds-WUO_ERR'!A364, ":"))))</f>
        <v/>
      </c>
    </row>
    <row r="365">
      <c r="A365" s="39">
        <f>IF('12 - Beds'!B365 = "", "", IF('12 - Beds-WUO_ERR'!A365 = "", "Validated", HYPERLINK("#" &amp; ADDRESS(365, '12 - Beds-WUO_TRK'!A365),_xlfn.TEXTAFTER('12 - Beds-WUO_ERR'!A365, ":"))))</f>
        <v/>
      </c>
    </row>
    <row r="366">
      <c r="A366" s="39">
        <f>IF('12 - Beds'!B366 = "", "", IF('12 - Beds-WUO_ERR'!A366 = "", "Validated", HYPERLINK("#" &amp; ADDRESS(366, '12 - Beds-WUO_TRK'!A366),_xlfn.TEXTAFTER('12 - Beds-WUO_ERR'!A366, ":"))))</f>
        <v/>
      </c>
    </row>
    <row r="367">
      <c r="A367" s="39">
        <f>IF('12 - Beds'!B367 = "", "", IF('12 - Beds-WUO_ERR'!A367 = "", "Validated", HYPERLINK("#" &amp; ADDRESS(367, '12 - Beds-WUO_TRK'!A367),_xlfn.TEXTAFTER('12 - Beds-WUO_ERR'!A367, ":"))))</f>
        <v/>
      </c>
    </row>
    <row r="368">
      <c r="A368" s="39">
        <f>IF('12 - Beds'!B368 = "", "", IF('12 - Beds-WUO_ERR'!A368 = "", "Validated", HYPERLINK("#" &amp; ADDRESS(368, '12 - Beds-WUO_TRK'!A368),_xlfn.TEXTAFTER('12 - Beds-WUO_ERR'!A368, ":"))))</f>
        <v/>
      </c>
    </row>
    <row r="369">
      <c r="A369" s="39">
        <f>IF('12 - Beds'!B369 = "", "", IF('12 - Beds-WUO_ERR'!A369 = "", "Validated", HYPERLINK("#" &amp; ADDRESS(369, '12 - Beds-WUO_TRK'!A369),_xlfn.TEXTAFTER('12 - Beds-WUO_ERR'!A369, ":"))))</f>
        <v/>
      </c>
    </row>
    <row r="370">
      <c r="A370" s="39">
        <f>IF('12 - Beds'!B370 = "", "", IF('12 - Beds-WUO_ERR'!A370 = "", "Validated", HYPERLINK("#" &amp; ADDRESS(370, '12 - Beds-WUO_TRK'!A370),_xlfn.TEXTAFTER('12 - Beds-WUO_ERR'!A370, ":"))))</f>
        <v/>
      </c>
    </row>
    <row r="371">
      <c r="A371" s="39">
        <f>IF('12 - Beds'!B371 = "", "", IF('12 - Beds-WUO_ERR'!A371 = "", "Validated", HYPERLINK("#" &amp; ADDRESS(371, '12 - Beds-WUO_TRK'!A371),_xlfn.TEXTAFTER('12 - Beds-WUO_ERR'!A371, ":"))))</f>
        <v/>
      </c>
    </row>
    <row r="372">
      <c r="A372" s="39">
        <f>IF('12 - Beds'!B372 = "", "", IF('12 - Beds-WUO_ERR'!A372 = "", "Validated", HYPERLINK("#" &amp; ADDRESS(372, '12 - Beds-WUO_TRK'!A372),_xlfn.TEXTAFTER('12 - Beds-WUO_ERR'!A372, ":"))))</f>
        <v/>
      </c>
    </row>
    <row r="373">
      <c r="A373" s="39">
        <f>IF('12 - Beds'!B373 = "", "", IF('12 - Beds-WUO_ERR'!A373 = "", "Validated", HYPERLINK("#" &amp; ADDRESS(373, '12 - Beds-WUO_TRK'!A373),_xlfn.TEXTAFTER('12 - Beds-WUO_ERR'!A373, ":"))))</f>
        <v/>
      </c>
    </row>
    <row r="374">
      <c r="A374" s="39">
        <f>IF('12 - Beds'!B374 = "", "", IF('12 - Beds-WUO_ERR'!A374 = "", "Validated", HYPERLINK("#" &amp; ADDRESS(374, '12 - Beds-WUO_TRK'!A374),_xlfn.TEXTAFTER('12 - Beds-WUO_ERR'!A374, ":"))))</f>
        <v/>
      </c>
    </row>
    <row r="375">
      <c r="A375" s="39">
        <f>IF('12 - Beds'!B375 = "", "", IF('12 - Beds-WUO_ERR'!A375 = "", "Validated", HYPERLINK("#" &amp; ADDRESS(375, '12 - Beds-WUO_TRK'!A375),_xlfn.TEXTAFTER('12 - Beds-WUO_ERR'!A375, ":"))))</f>
        <v/>
      </c>
    </row>
    <row r="376">
      <c r="A376" s="39">
        <f>IF('12 - Beds'!B376 = "", "", IF('12 - Beds-WUO_ERR'!A376 = "", "Validated", HYPERLINK("#" &amp; ADDRESS(376, '12 - Beds-WUO_TRK'!A376),_xlfn.TEXTAFTER('12 - Beds-WUO_ERR'!A376, ":"))))</f>
        <v/>
      </c>
    </row>
    <row r="377">
      <c r="A377" s="39">
        <f>IF('12 - Beds'!B377 = "", "", IF('12 - Beds-WUO_ERR'!A377 = "", "Validated", HYPERLINK("#" &amp; ADDRESS(377, '12 - Beds-WUO_TRK'!A377),_xlfn.TEXTAFTER('12 - Beds-WUO_ERR'!A377, ":"))))</f>
        <v/>
      </c>
    </row>
    <row r="378">
      <c r="A378" s="39">
        <f>IF('12 - Beds'!B378 = "", "", IF('12 - Beds-WUO_ERR'!A378 = "", "Validated", HYPERLINK("#" &amp; ADDRESS(378, '12 - Beds-WUO_TRK'!A378),_xlfn.TEXTAFTER('12 - Beds-WUO_ERR'!A378, ":"))))</f>
        <v/>
      </c>
    </row>
    <row r="379">
      <c r="A379" s="39">
        <f>IF('12 - Beds'!B379 = "", "", IF('12 - Beds-WUO_ERR'!A379 = "", "Validated", HYPERLINK("#" &amp; ADDRESS(379, '12 - Beds-WUO_TRK'!A379),_xlfn.TEXTAFTER('12 - Beds-WUO_ERR'!A379, ":"))))</f>
        <v/>
      </c>
    </row>
    <row r="380">
      <c r="A380" s="39">
        <f>IF('12 - Beds'!B380 = "", "", IF('12 - Beds-WUO_ERR'!A380 = "", "Validated", HYPERLINK("#" &amp; ADDRESS(380, '12 - Beds-WUO_TRK'!A380),_xlfn.TEXTAFTER('12 - Beds-WUO_ERR'!A380, ":"))))</f>
        <v/>
      </c>
    </row>
    <row r="381">
      <c r="A381" s="39">
        <f>IF('12 - Beds'!B381 = "", "", IF('12 - Beds-WUO_ERR'!A381 = "", "Validated", HYPERLINK("#" &amp; ADDRESS(381, '12 - Beds-WUO_TRK'!A381),_xlfn.TEXTAFTER('12 - Beds-WUO_ERR'!A381, ":"))))</f>
        <v/>
      </c>
    </row>
    <row r="382">
      <c r="A382" s="39">
        <f>IF('12 - Beds'!B382 = "", "", IF('12 - Beds-WUO_ERR'!A382 = "", "Validated", HYPERLINK("#" &amp; ADDRESS(382, '12 - Beds-WUO_TRK'!A382),_xlfn.TEXTAFTER('12 - Beds-WUO_ERR'!A382, ":"))))</f>
        <v/>
      </c>
    </row>
    <row r="383">
      <c r="A383" s="39">
        <f>IF('12 - Beds'!B383 = "", "", IF('12 - Beds-WUO_ERR'!A383 = "", "Validated", HYPERLINK("#" &amp; ADDRESS(383, '12 - Beds-WUO_TRK'!A383),_xlfn.TEXTAFTER('12 - Beds-WUO_ERR'!A383, ":"))))</f>
        <v/>
      </c>
    </row>
    <row r="384">
      <c r="A384" s="39">
        <f>IF('12 - Beds'!B384 = "", "", IF('12 - Beds-WUO_ERR'!A384 = "", "Validated", HYPERLINK("#" &amp; ADDRESS(384, '12 - Beds-WUO_TRK'!A384),_xlfn.TEXTAFTER('12 - Beds-WUO_ERR'!A384, ":"))))</f>
        <v/>
      </c>
    </row>
    <row r="385">
      <c r="A385" s="39">
        <f>IF('12 - Beds'!B385 = "", "", IF('12 - Beds-WUO_ERR'!A385 = "", "Validated", HYPERLINK("#" &amp; ADDRESS(385, '12 - Beds-WUO_TRK'!A385),_xlfn.TEXTAFTER('12 - Beds-WUO_ERR'!A385, ":"))))</f>
        <v/>
      </c>
    </row>
    <row r="386">
      <c r="A386" s="39">
        <f>IF('12 - Beds'!B386 = "", "", IF('12 - Beds-WUO_ERR'!A386 = "", "Validated", HYPERLINK("#" &amp; ADDRESS(386, '12 - Beds-WUO_TRK'!A386),_xlfn.TEXTAFTER('12 - Beds-WUO_ERR'!A386, ":"))))</f>
        <v/>
      </c>
    </row>
    <row r="387">
      <c r="A387" s="39">
        <f>IF('12 - Beds'!B387 = "", "", IF('12 - Beds-WUO_ERR'!A387 = "", "Validated", HYPERLINK("#" &amp; ADDRESS(387, '12 - Beds-WUO_TRK'!A387),_xlfn.TEXTAFTER('12 - Beds-WUO_ERR'!A387, ":"))))</f>
        <v/>
      </c>
    </row>
    <row r="388">
      <c r="A388" s="39">
        <f>IF('12 - Beds'!B388 = "", "", IF('12 - Beds-WUO_ERR'!A388 = "", "Validated", HYPERLINK("#" &amp; ADDRESS(388, '12 - Beds-WUO_TRK'!A388),_xlfn.TEXTAFTER('12 - Beds-WUO_ERR'!A388, ":"))))</f>
        <v/>
      </c>
    </row>
    <row r="389">
      <c r="A389" s="39">
        <f>IF('12 - Beds'!B389 = "", "", IF('12 - Beds-WUO_ERR'!A389 = "", "Validated", HYPERLINK("#" &amp; ADDRESS(389, '12 - Beds-WUO_TRK'!A389),_xlfn.TEXTAFTER('12 - Beds-WUO_ERR'!A389, ":"))))</f>
        <v/>
      </c>
    </row>
    <row r="390">
      <c r="A390" s="39">
        <f>IF('12 - Beds'!B390 = "", "", IF('12 - Beds-WUO_ERR'!A390 = "", "Validated", HYPERLINK("#" &amp; ADDRESS(390, '12 - Beds-WUO_TRK'!A390),_xlfn.TEXTAFTER('12 - Beds-WUO_ERR'!A390, ":"))))</f>
        <v/>
      </c>
    </row>
    <row r="391">
      <c r="A391" s="39">
        <f>IF('12 - Beds'!B391 = "", "", IF('12 - Beds-WUO_ERR'!A391 = "", "Validated", HYPERLINK("#" &amp; ADDRESS(391, '12 - Beds-WUO_TRK'!A391),_xlfn.TEXTAFTER('12 - Beds-WUO_ERR'!A391, ":"))))</f>
        <v/>
      </c>
    </row>
    <row r="392">
      <c r="A392" s="39">
        <f>IF('12 - Beds'!B392 = "", "", IF('12 - Beds-WUO_ERR'!A392 = "", "Validated", HYPERLINK("#" &amp; ADDRESS(392, '12 - Beds-WUO_TRK'!A392),_xlfn.TEXTAFTER('12 - Beds-WUO_ERR'!A392, ":"))))</f>
        <v/>
      </c>
    </row>
    <row r="393">
      <c r="A393" s="39">
        <f>IF('12 - Beds'!B393 = "", "", IF('12 - Beds-WUO_ERR'!A393 = "", "Validated", HYPERLINK("#" &amp; ADDRESS(393, '12 - Beds-WUO_TRK'!A393),_xlfn.TEXTAFTER('12 - Beds-WUO_ERR'!A393, ":"))))</f>
        <v/>
      </c>
    </row>
    <row r="394">
      <c r="A394" s="39">
        <f>IF('12 - Beds'!B394 = "", "", IF('12 - Beds-WUO_ERR'!A394 = "", "Validated", HYPERLINK("#" &amp; ADDRESS(394, '12 - Beds-WUO_TRK'!A394),_xlfn.TEXTAFTER('12 - Beds-WUO_ERR'!A394, ":"))))</f>
        <v/>
      </c>
    </row>
    <row r="395">
      <c r="A395" s="39">
        <f>IF('12 - Beds'!B395 = "", "", IF('12 - Beds-WUO_ERR'!A395 = "", "Validated", HYPERLINK("#" &amp; ADDRESS(395, '12 - Beds-WUO_TRK'!A395),_xlfn.TEXTAFTER('12 - Beds-WUO_ERR'!A395, ":"))))</f>
        <v/>
      </c>
    </row>
    <row r="396">
      <c r="A396" s="39">
        <f>IF('12 - Beds'!B396 = "", "", IF('12 - Beds-WUO_ERR'!A396 = "", "Validated", HYPERLINK("#" &amp; ADDRESS(396, '12 - Beds-WUO_TRK'!A396),_xlfn.TEXTAFTER('12 - Beds-WUO_ERR'!A396, ":"))))</f>
        <v/>
      </c>
    </row>
    <row r="397">
      <c r="A397" s="39">
        <f>IF('12 - Beds'!B397 = "", "", IF('12 - Beds-WUO_ERR'!A397 = "", "Validated", HYPERLINK("#" &amp; ADDRESS(397, '12 - Beds-WUO_TRK'!A397),_xlfn.TEXTAFTER('12 - Beds-WUO_ERR'!A397, ":"))))</f>
        <v/>
      </c>
    </row>
    <row r="398">
      <c r="A398" s="39">
        <f>IF('12 - Beds'!B398 = "", "", IF('12 - Beds-WUO_ERR'!A398 = "", "Validated", HYPERLINK("#" &amp; ADDRESS(398, '12 - Beds-WUO_TRK'!A398),_xlfn.TEXTAFTER('12 - Beds-WUO_ERR'!A398, ":"))))</f>
        <v/>
      </c>
    </row>
    <row r="399">
      <c r="A399" s="39">
        <f>IF('12 - Beds'!B399 = "", "", IF('12 - Beds-WUO_ERR'!A399 = "", "Validated", HYPERLINK("#" &amp; ADDRESS(399, '12 - Beds-WUO_TRK'!A399),_xlfn.TEXTAFTER('12 - Beds-WUO_ERR'!A399, ":"))))</f>
        <v/>
      </c>
    </row>
    <row r="400">
      <c r="A400" s="39">
        <f>IF('12 - Beds'!B400 = "", "", IF('12 - Beds-WUO_ERR'!A400 = "", "Validated", HYPERLINK("#" &amp; ADDRESS(400, '12 - Beds-WUO_TRK'!A400),_xlfn.TEXTAFTER('12 - Beds-WUO_ERR'!A400, ":"))))</f>
        <v/>
      </c>
    </row>
    <row r="401">
      <c r="A401" s="39">
        <f>IF('12 - Beds'!B401 = "", "", IF('12 - Beds-WUO_ERR'!A401 = "", "Validated", HYPERLINK("#" &amp; ADDRESS(401, '12 - Beds-WUO_TRK'!A401),_xlfn.TEXTAFTER('12 - Beds-WUO_ERR'!A401, ":"))))</f>
        <v/>
      </c>
    </row>
    <row r="402">
      <c r="A402" s="39">
        <f>IF('12 - Beds'!B402 = "", "", IF('12 - Beds-WUO_ERR'!A402 = "", "Validated", HYPERLINK("#" &amp; ADDRESS(402, '12 - Beds-WUO_TRK'!A402),_xlfn.TEXTAFTER('12 - Beds-WUO_ERR'!A402, ":"))))</f>
        <v/>
      </c>
    </row>
    <row r="403">
      <c r="A403" s="39">
        <f>IF('12 - Beds'!B403 = "", "", IF('12 - Beds-WUO_ERR'!A403 = "", "Validated", HYPERLINK("#" &amp; ADDRESS(403, '12 - Beds-WUO_TRK'!A403),_xlfn.TEXTAFTER('12 - Beds-WUO_ERR'!A403, ":"))))</f>
        <v/>
      </c>
    </row>
    <row r="404">
      <c r="A404" s="39">
        <f>IF('12 - Beds'!B404 = "", "", IF('12 - Beds-WUO_ERR'!A404 = "", "Validated", HYPERLINK("#" &amp; ADDRESS(404, '12 - Beds-WUO_TRK'!A404),_xlfn.TEXTAFTER('12 - Beds-WUO_ERR'!A404, ":"))))</f>
        <v/>
      </c>
    </row>
    <row r="405">
      <c r="A405" s="39">
        <f>IF('12 - Beds'!B405 = "", "", IF('12 - Beds-WUO_ERR'!A405 = "", "Validated", HYPERLINK("#" &amp; ADDRESS(405, '12 - Beds-WUO_TRK'!A405),_xlfn.TEXTAFTER('12 - Beds-WUO_ERR'!A405, ":"))))</f>
        <v/>
      </c>
    </row>
    <row r="406">
      <c r="A406" s="39">
        <f>IF('12 - Beds'!B406 = "", "", IF('12 - Beds-WUO_ERR'!A406 = "", "Validated", HYPERLINK("#" &amp; ADDRESS(406, '12 - Beds-WUO_TRK'!A406),_xlfn.TEXTAFTER('12 - Beds-WUO_ERR'!A406, ":"))))</f>
        <v/>
      </c>
    </row>
    <row r="407">
      <c r="A407" s="39">
        <f>IF('12 - Beds'!B407 = "", "", IF('12 - Beds-WUO_ERR'!A407 = "", "Validated", HYPERLINK("#" &amp; ADDRESS(407, '12 - Beds-WUO_TRK'!A407),_xlfn.TEXTAFTER('12 - Beds-WUO_ERR'!A407, ":"))))</f>
        <v/>
      </c>
    </row>
    <row r="408">
      <c r="A408" s="39">
        <f>IF('12 - Beds'!B408 = "", "", IF('12 - Beds-WUO_ERR'!A408 = "", "Validated", HYPERLINK("#" &amp; ADDRESS(408, '12 - Beds-WUO_TRK'!A408),_xlfn.TEXTAFTER('12 - Beds-WUO_ERR'!A408, ":"))))</f>
        <v/>
      </c>
    </row>
    <row r="409">
      <c r="A409" s="39">
        <f>IF('12 - Beds'!B409 = "", "", IF('12 - Beds-WUO_ERR'!A409 = "", "Validated", HYPERLINK("#" &amp; ADDRESS(409, '12 - Beds-WUO_TRK'!A409),_xlfn.TEXTAFTER('12 - Beds-WUO_ERR'!A409, ":"))))</f>
        <v/>
      </c>
    </row>
    <row r="410">
      <c r="A410" s="39">
        <f>IF('12 - Beds'!B410 = "", "", IF('12 - Beds-WUO_ERR'!A410 = "", "Validated", HYPERLINK("#" &amp; ADDRESS(410, '12 - Beds-WUO_TRK'!A410),_xlfn.TEXTAFTER('12 - Beds-WUO_ERR'!A410, ":"))))</f>
        <v/>
      </c>
    </row>
    <row r="411">
      <c r="A411" s="39">
        <f>IF('12 - Beds'!B411 = "", "", IF('12 - Beds-WUO_ERR'!A411 = "", "Validated", HYPERLINK("#" &amp; ADDRESS(411, '12 - Beds-WUO_TRK'!A411),_xlfn.TEXTAFTER('12 - Beds-WUO_ERR'!A411, ":"))))</f>
        <v/>
      </c>
    </row>
    <row r="412">
      <c r="A412" s="39">
        <f>IF('12 - Beds'!B412 = "", "", IF('12 - Beds-WUO_ERR'!A412 = "", "Validated", HYPERLINK("#" &amp; ADDRESS(412, '12 - Beds-WUO_TRK'!A412),_xlfn.TEXTAFTER('12 - Beds-WUO_ERR'!A412, ":"))))</f>
        <v/>
      </c>
    </row>
    <row r="413">
      <c r="A413" s="39">
        <f>IF('12 - Beds'!B413 = "", "", IF('12 - Beds-WUO_ERR'!A413 = "", "Validated", HYPERLINK("#" &amp; ADDRESS(413, '12 - Beds-WUO_TRK'!A413),_xlfn.TEXTAFTER('12 - Beds-WUO_ERR'!A413, ":"))))</f>
        <v/>
      </c>
    </row>
    <row r="414">
      <c r="A414" s="39">
        <f>IF('12 - Beds'!B414 = "", "", IF('12 - Beds-WUO_ERR'!A414 = "", "Validated", HYPERLINK("#" &amp; ADDRESS(414, '12 - Beds-WUO_TRK'!A414),_xlfn.TEXTAFTER('12 - Beds-WUO_ERR'!A414, ":"))))</f>
        <v/>
      </c>
    </row>
    <row r="415">
      <c r="A415" s="39">
        <f>IF('12 - Beds'!B415 = "", "", IF('12 - Beds-WUO_ERR'!A415 = "", "Validated", HYPERLINK("#" &amp; ADDRESS(415, '12 - Beds-WUO_TRK'!A415),_xlfn.TEXTAFTER('12 - Beds-WUO_ERR'!A415, ":"))))</f>
        <v/>
      </c>
    </row>
    <row r="416">
      <c r="A416" s="39">
        <f>IF('12 - Beds'!B416 = "", "", IF('12 - Beds-WUO_ERR'!A416 = "", "Validated", HYPERLINK("#" &amp; ADDRESS(416, '12 - Beds-WUO_TRK'!A416),_xlfn.TEXTAFTER('12 - Beds-WUO_ERR'!A416, ":"))))</f>
        <v/>
      </c>
    </row>
    <row r="417">
      <c r="A417" s="39">
        <f>IF('12 - Beds'!B417 = "", "", IF('12 - Beds-WUO_ERR'!A417 = "", "Validated", HYPERLINK("#" &amp; ADDRESS(417, '12 - Beds-WUO_TRK'!A417),_xlfn.TEXTAFTER('12 - Beds-WUO_ERR'!A417, ":"))))</f>
        <v/>
      </c>
    </row>
    <row r="418">
      <c r="A418" s="39">
        <f>IF('12 - Beds'!B418 = "", "", IF('12 - Beds-WUO_ERR'!A418 = "", "Validated", HYPERLINK("#" &amp; ADDRESS(418, '12 - Beds-WUO_TRK'!A418),_xlfn.TEXTAFTER('12 - Beds-WUO_ERR'!A418, ":"))))</f>
        <v/>
      </c>
    </row>
    <row r="419">
      <c r="A419" s="39">
        <f>IF('12 - Beds'!B419 = "", "", IF('12 - Beds-WUO_ERR'!A419 = "", "Validated", HYPERLINK("#" &amp; ADDRESS(419, '12 - Beds-WUO_TRK'!A419),_xlfn.TEXTAFTER('12 - Beds-WUO_ERR'!A419, ":"))))</f>
        <v/>
      </c>
    </row>
    <row r="420">
      <c r="A420" s="39">
        <f>IF('12 - Beds'!B420 = "", "", IF('12 - Beds-WUO_ERR'!A420 = "", "Validated", HYPERLINK("#" &amp; ADDRESS(420, '12 - Beds-WUO_TRK'!A420),_xlfn.TEXTAFTER('12 - Beds-WUO_ERR'!A420, ":"))))</f>
        <v/>
      </c>
    </row>
    <row r="421">
      <c r="A421" s="39">
        <f>IF('12 - Beds'!B421 = "", "", IF('12 - Beds-WUO_ERR'!A421 = "", "Validated", HYPERLINK("#" &amp; ADDRESS(421, '12 - Beds-WUO_TRK'!A421),_xlfn.TEXTAFTER('12 - Beds-WUO_ERR'!A421, ":"))))</f>
        <v/>
      </c>
    </row>
    <row r="422">
      <c r="A422" s="39">
        <f>IF('12 - Beds'!B422 = "", "", IF('12 - Beds-WUO_ERR'!A422 = "", "Validated", HYPERLINK("#" &amp; ADDRESS(422, '12 - Beds-WUO_TRK'!A422),_xlfn.TEXTAFTER('12 - Beds-WUO_ERR'!A422, ":"))))</f>
        <v/>
      </c>
    </row>
    <row r="423">
      <c r="A423" s="39">
        <f>IF('12 - Beds'!B423 = "", "", IF('12 - Beds-WUO_ERR'!A423 = "", "Validated", HYPERLINK("#" &amp; ADDRESS(423, '12 - Beds-WUO_TRK'!A423),_xlfn.TEXTAFTER('12 - Beds-WUO_ERR'!A423, ":"))))</f>
        <v/>
      </c>
    </row>
    <row r="424">
      <c r="A424" s="39">
        <f>IF('12 - Beds'!B424 = "", "", IF('12 - Beds-WUO_ERR'!A424 = "", "Validated", HYPERLINK("#" &amp; ADDRESS(424, '12 - Beds-WUO_TRK'!A424),_xlfn.TEXTAFTER('12 - Beds-WUO_ERR'!A424, ":"))))</f>
        <v/>
      </c>
    </row>
    <row r="425">
      <c r="A425" s="39">
        <f>IF('12 - Beds'!B425 = "", "", IF('12 - Beds-WUO_ERR'!A425 = "", "Validated", HYPERLINK("#" &amp; ADDRESS(425, '12 - Beds-WUO_TRK'!A425),_xlfn.TEXTAFTER('12 - Beds-WUO_ERR'!A425, ":"))))</f>
        <v/>
      </c>
    </row>
    <row r="426">
      <c r="A426" s="39">
        <f>IF('12 - Beds'!B426 = "", "", IF('12 - Beds-WUO_ERR'!A426 = "", "Validated", HYPERLINK("#" &amp; ADDRESS(426, '12 - Beds-WUO_TRK'!A426),_xlfn.TEXTAFTER('12 - Beds-WUO_ERR'!A426, ":"))))</f>
        <v/>
      </c>
    </row>
    <row r="427">
      <c r="A427" s="39">
        <f>IF('12 - Beds'!B427 = "", "", IF('12 - Beds-WUO_ERR'!A427 = "", "Validated", HYPERLINK("#" &amp; ADDRESS(427, '12 - Beds-WUO_TRK'!A427),_xlfn.TEXTAFTER('12 - Beds-WUO_ERR'!A427, ":"))))</f>
        <v/>
      </c>
    </row>
    <row r="428">
      <c r="A428" s="39">
        <f>IF('12 - Beds'!B428 = "", "", IF('12 - Beds-WUO_ERR'!A428 = "", "Validated", HYPERLINK("#" &amp; ADDRESS(428, '12 - Beds-WUO_TRK'!A428),_xlfn.TEXTAFTER('12 - Beds-WUO_ERR'!A428, ":"))))</f>
        <v/>
      </c>
    </row>
    <row r="429">
      <c r="A429" s="39">
        <f>IF('12 - Beds'!B429 = "", "", IF('12 - Beds-WUO_ERR'!A429 = "", "Validated", HYPERLINK("#" &amp; ADDRESS(429, '12 - Beds-WUO_TRK'!A429),_xlfn.TEXTAFTER('12 - Beds-WUO_ERR'!A429, ":"))))</f>
        <v/>
      </c>
    </row>
    <row r="430">
      <c r="A430" s="39">
        <f>IF('12 - Beds'!B430 = "", "", IF('12 - Beds-WUO_ERR'!A430 = "", "Validated", HYPERLINK("#" &amp; ADDRESS(430, '12 - Beds-WUO_TRK'!A430),_xlfn.TEXTAFTER('12 - Beds-WUO_ERR'!A430, ":"))))</f>
        <v/>
      </c>
    </row>
    <row r="431">
      <c r="A431" s="39">
        <f>IF('12 - Beds'!B431 = "", "", IF('12 - Beds-WUO_ERR'!A431 = "", "Validated", HYPERLINK("#" &amp; ADDRESS(431, '12 - Beds-WUO_TRK'!A431),_xlfn.TEXTAFTER('12 - Beds-WUO_ERR'!A431, ":"))))</f>
        <v/>
      </c>
    </row>
    <row r="432">
      <c r="A432" s="39">
        <f>IF('12 - Beds'!B432 = "", "", IF('12 - Beds-WUO_ERR'!A432 = "", "Validated", HYPERLINK("#" &amp; ADDRESS(432, '12 - Beds-WUO_TRK'!A432),_xlfn.TEXTAFTER('12 - Beds-WUO_ERR'!A432, ":"))))</f>
        <v/>
      </c>
    </row>
    <row r="433">
      <c r="A433" s="39">
        <f>IF('12 - Beds'!B433 = "", "", IF('12 - Beds-WUO_ERR'!A433 = "", "Validated", HYPERLINK("#" &amp; ADDRESS(433, '12 - Beds-WUO_TRK'!A433),_xlfn.TEXTAFTER('12 - Beds-WUO_ERR'!A433, ":"))))</f>
        <v/>
      </c>
    </row>
    <row r="434">
      <c r="A434" s="39">
        <f>IF('12 - Beds'!B434 = "", "", IF('12 - Beds-WUO_ERR'!A434 = "", "Validated", HYPERLINK("#" &amp; ADDRESS(434, '12 - Beds-WUO_TRK'!A434),_xlfn.TEXTAFTER('12 - Beds-WUO_ERR'!A434, ":"))))</f>
        <v/>
      </c>
    </row>
    <row r="435">
      <c r="A435" s="39">
        <f>IF('12 - Beds'!B435 = "", "", IF('12 - Beds-WUO_ERR'!A435 = "", "Validated", HYPERLINK("#" &amp; ADDRESS(435, '12 - Beds-WUO_TRK'!A435),_xlfn.TEXTAFTER('12 - Beds-WUO_ERR'!A435, ":"))))</f>
        <v/>
      </c>
    </row>
    <row r="436">
      <c r="A436" s="39">
        <f>IF('12 - Beds'!B436 = "", "", IF('12 - Beds-WUO_ERR'!A436 = "", "Validated", HYPERLINK("#" &amp; ADDRESS(436, '12 - Beds-WUO_TRK'!A436),_xlfn.TEXTAFTER('12 - Beds-WUO_ERR'!A436, ":"))))</f>
        <v/>
      </c>
    </row>
    <row r="437">
      <c r="A437" s="39">
        <f>IF('12 - Beds'!B437 = "", "", IF('12 - Beds-WUO_ERR'!A437 = "", "Validated", HYPERLINK("#" &amp; ADDRESS(437, '12 - Beds-WUO_TRK'!A437),_xlfn.TEXTAFTER('12 - Beds-WUO_ERR'!A437, ":"))))</f>
        <v/>
      </c>
    </row>
    <row r="438">
      <c r="A438" s="39">
        <f>IF('12 - Beds'!B438 = "", "", IF('12 - Beds-WUO_ERR'!A438 = "", "Validated", HYPERLINK("#" &amp; ADDRESS(438, '12 - Beds-WUO_TRK'!A438),_xlfn.TEXTAFTER('12 - Beds-WUO_ERR'!A438, ":"))))</f>
        <v/>
      </c>
    </row>
    <row r="439">
      <c r="A439" s="39">
        <f>IF('12 - Beds'!B439 = "", "", IF('12 - Beds-WUO_ERR'!A439 = "", "Validated", HYPERLINK("#" &amp; ADDRESS(439, '12 - Beds-WUO_TRK'!A439),_xlfn.TEXTAFTER('12 - Beds-WUO_ERR'!A439, ":"))))</f>
        <v/>
      </c>
    </row>
    <row r="440">
      <c r="A440" s="39">
        <f>IF('12 - Beds'!B440 = "", "", IF('12 - Beds-WUO_ERR'!A440 = "", "Validated", HYPERLINK("#" &amp; ADDRESS(440, '12 - Beds-WUO_TRK'!A440),_xlfn.TEXTAFTER('12 - Beds-WUO_ERR'!A440, ":"))))</f>
        <v/>
      </c>
    </row>
    <row r="441">
      <c r="A441" s="39">
        <f>IF('12 - Beds'!B441 = "", "", IF('12 - Beds-WUO_ERR'!A441 = "", "Validated", HYPERLINK("#" &amp; ADDRESS(441, '12 - Beds-WUO_TRK'!A441),_xlfn.TEXTAFTER('12 - Beds-WUO_ERR'!A441, ":"))))</f>
        <v/>
      </c>
    </row>
    <row r="442">
      <c r="A442" s="39">
        <f>IF('12 - Beds'!B442 = "", "", IF('12 - Beds-WUO_ERR'!A442 = "", "Validated", HYPERLINK("#" &amp; ADDRESS(442, '12 - Beds-WUO_TRK'!A442),_xlfn.TEXTAFTER('12 - Beds-WUO_ERR'!A442, ":"))))</f>
        <v/>
      </c>
    </row>
    <row r="443">
      <c r="A443" s="39">
        <f>IF('12 - Beds'!B443 = "", "", IF('12 - Beds-WUO_ERR'!A443 = "", "Validated", HYPERLINK("#" &amp; ADDRESS(443, '12 - Beds-WUO_TRK'!A443),_xlfn.TEXTAFTER('12 - Beds-WUO_ERR'!A443, ":"))))</f>
        <v/>
      </c>
    </row>
    <row r="444">
      <c r="A444" s="39">
        <f>IF('12 - Beds'!B444 = "", "", IF('12 - Beds-WUO_ERR'!A444 = "", "Validated", HYPERLINK("#" &amp; ADDRESS(444, '12 - Beds-WUO_TRK'!A444),_xlfn.TEXTAFTER('12 - Beds-WUO_ERR'!A444, ":"))))</f>
        <v/>
      </c>
    </row>
    <row r="445">
      <c r="A445" s="39">
        <f>IF('12 - Beds'!B445 = "", "", IF('12 - Beds-WUO_ERR'!A445 = "", "Validated", HYPERLINK("#" &amp; ADDRESS(445, '12 - Beds-WUO_TRK'!A445),_xlfn.TEXTAFTER('12 - Beds-WUO_ERR'!A445, ":"))))</f>
        <v/>
      </c>
    </row>
    <row r="446">
      <c r="A446" s="39">
        <f>IF('12 - Beds'!B446 = "", "", IF('12 - Beds-WUO_ERR'!A446 = "", "Validated", HYPERLINK("#" &amp; ADDRESS(446, '12 - Beds-WUO_TRK'!A446),_xlfn.TEXTAFTER('12 - Beds-WUO_ERR'!A446, ":"))))</f>
        <v/>
      </c>
    </row>
    <row r="447">
      <c r="A447" s="39">
        <f>IF('12 - Beds'!B447 = "", "", IF('12 - Beds-WUO_ERR'!A447 = "", "Validated", HYPERLINK("#" &amp; ADDRESS(447, '12 - Beds-WUO_TRK'!A447),_xlfn.TEXTAFTER('12 - Beds-WUO_ERR'!A447, ":"))))</f>
        <v/>
      </c>
    </row>
    <row r="448">
      <c r="A448" s="39">
        <f>IF('12 - Beds'!B448 = "", "", IF('12 - Beds-WUO_ERR'!A448 = "", "Validated", HYPERLINK("#" &amp; ADDRESS(448, '12 - Beds-WUO_TRK'!A448),_xlfn.TEXTAFTER('12 - Beds-WUO_ERR'!A448, ":"))))</f>
        <v/>
      </c>
    </row>
    <row r="449">
      <c r="A449" s="39">
        <f>IF('12 - Beds'!B449 = "", "", IF('12 - Beds-WUO_ERR'!A449 = "", "Validated", HYPERLINK("#" &amp; ADDRESS(449, '12 - Beds-WUO_TRK'!A449),_xlfn.TEXTAFTER('12 - Beds-WUO_ERR'!A449, ":"))))</f>
        <v/>
      </c>
    </row>
    <row r="450">
      <c r="A450" s="39">
        <f>IF('12 - Beds'!B450 = "", "", IF('12 - Beds-WUO_ERR'!A450 = "", "Validated", HYPERLINK("#" &amp; ADDRESS(450, '12 - Beds-WUO_TRK'!A450),_xlfn.TEXTAFTER('12 - Beds-WUO_ERR'!A450, ":"))))</f>
        <v/>
      </c>
    </row>
    <row r="451">
      <c r="A451" s="39">
        <f>IF('12 - Beds'!B451 = "", "", IF('12 - Beds-WUO_ERR'!A451 = "", "Validated", HYPERLINK("#" &amp; ADDRESS(451, '12 - Beds-WUO_TRK'!A451),_xlfn.TEXTAFTER('12 - Beds-WUO_ERR'!A451, ":"))))</f>
        <v/>
      </c>
    </row>
    <row r="452">
      <c r="A452" s="39">
        <f>IF('12 - Beds'!B452 = "", "", IF('12 - Beds-WUO_ERR'!A452 = "", "Validated", HYPERLINK("#" &amp; ADDRESS(452, '12 - Beds-WUO_TRK'!A452),_xlfn.TEXTAFTER('12 - Beds-WUO_ERR'!A452, ":"))))</f>
        <v/>
      </c>
    </row>
    <row r="453">
      <c r="A453" s="39">
        <f>IF('12 - Beds'!B453 = "", "", IF('12 - Beds-WUO_ERR'!A453 = "", "Validated", HYPERLINK("#" &amp; ADDRESS(453, '12 - Beds-WUO_TRK'!A453),_xlfn.TEXTAFTER('12 - Beds-WUO_ERR'!A453, ":"))))</f>
        <v/>
      </c>
    </row>
    <row r="454">
      <c r="A454" s="39">
        <f>IF('12 - Beds'!B454 = "", "", IF('12 - Beds-WUO_ERR'!A454 = "", "Validated", HYPERLINK("#" &amp; ADDRESS(454, '12 - Beds-WUO_TRK'!A454),_xlfn.TEXTAFTER('12 - Beds-WUO_ERR'!A454, ":"))))</f>
        <v/>
      </c>
    </row>
    <row r="455">
      <c r="A455" s="39">
        <f>IF('12 - Beds'!B455 = "", "", IF('12 - Beds-WUO_ERR'!A455 = "", "Validated", HYPERLINK("#" &amp; ADDRESS(455, '12 - Beds-WUO_TRK'!A455),_xlfn.TEXTAFTER('12 - Beds-WUO_ERR'!A455, ":"))))</f>
        <v/>
      </c>
    </row>
    <row r="456">
      <c r="A456" s="39">
        <f>IF('12 - Beds'!B456 = "", "", IF('12 - Beds-WUO_ERR'!A456 = "", "Validated", HYPERLINK("#" &amp; ADDRESS(456, '12 - Beds-WUO_TRK'!A456),_xlfn.TEXTAFTER('12 - Beds-WUO_ERR'!A456, ":"))))</f>
        <v/>
      </c>
    </row>
    <row r="457">
      <c r="A457" s="39">
        <f>IF('12 - Beds'!B457 = "", "", IF('12 - Beds-WUO_ERR'!A457 = "", "Validated", HYPERLINK("#" &amp; ADDRESS(457, '12 - Beds-WUO_TRK'!A457),_xlfn.TEXTAFTER('12 - Beds-WUO_ERR'!A457, ":"))))</f>
        <v/>
      </c>
    </row>
    <row r="458">
      <c r="A458" s="39">
        <f>IF('12 - Beds'!B458 = "", "", IF('12 - Beds-WUO_ERR'!A458 = "", "Validated", HYPERLINK("#" &amp; ADDRESS(458, '12 - Beds-WUO_TRK'!A458),_xlfn.TEXTAFTER('12 - Beds-WUO_ERR'!A458, ":"))))</f>
        <v/>
      </c>
    </row>
    <row r="459">
      <c r="A459" s="39">
        <f>IF('12 - Beds'!B459 = "", "", IF('12 - Beds-WUO_ERR'!A459 = "", "Validated", HYPERLINK("#" &amp; ADDRESS(459, '12 - Beds-WUO_TRK'!A459),_xlfn.TEXTAFTER('12 - Beds-WUO_ERR'!A459, ":"))))</f>
        <v/>
      </c>
    </row>
    <row r="460">
      <c r="A460" s="39">
        <f>IF('12 - Beds'!B460 = "", "", IF('12 - Beds-WUO_ERR'!A460 = "", "Validated", HYPERLINK("#" &amp; ADDRESS(460, '12 - Beds-WUO_TRK'!A460),_xlfn.TEXTAFTER('12 - Beds-WUO_ERR'!A460, ":"))))</f>
        <v/>
      </c>
    </row>
    <row r="461">
      <c r="A461" s="39">
        <f>IF('12 - Beds'!B461 = "", "", IF('12 - Beds-WUO_ERR'!A461 = "", "Validated", HYPERLINK("#" &amp; ADDRESS(461, '12 - Beds-WUO_TRK'!A461),_xlfn.TEXTAFTER('12 - Beds-WUO_ERR'!A461, ":"))))</f>
        <v/>
      </c>
    </row>
    <row r="462">
      <c r="A462" s="39">
        <f>IF('12 - Beds'!B462 = "", "", IF('12 - Beds-WUO_ERR'!A462 = "", "Validated", HYPERLINK("#" &amp; ADDRESS(462, '12 - Beds-WUO_TRK'!A462),_xlfn.TEXTAFTER('12 - Beds-WUO_ERR'!A462, ":"))))</f>
        <v/>
      </c>
    </row>
    <row r="463">
      <c r="A463" s="39">
        <f>IF('12 - Beds'!B463 = "", "", IF('12 - Beds-WUO_ERR'!A463 = "", "Validated", HYPERLINK("#" &amp; ADDRESS(463, '12 - Beds-WUO_TRK'!A463),_xlfn.TEXTAFTER('12 - Beds-WUO_ERR'!A463, ":"))))</f>
        <v/>
      </c>
    </row>
    <row r="464">
      <c r="A464" s="39">
        <f>IF('12 - Beds'!B464 = "", "", IF('12 - Beds-WUO_ERR'!A464 = "", "Validated", HYPERLINK("#" &amp; ADDRESS(464, '12 - Beds-WUO_TRK'!A464),_xlfn.TEXTAFTER('12 - Beds-WUO_ERR'!A464, ":"))))</f>
        <v/>
      </c>
    </row>
    <row r="465">
      <c r="A465" s="39">
        <f>IF('12 - Beds'!B465 = "", "", IF('12 - Beds-WUO_ERR'!A465 = "", "Validated", HYPERLINK("#" &amp; ADDRESS(465, '12 - Beds-WUO_TRK'!A465),_xlfn.TEXTAFTER('12 - Beds-WUO_ERR'!A465, ":"))))</f>
        <v/>
      </c>
    </row>
    <row r="466">
      <c r="A466" s="39">
        <f>IF('12 - Beds'!B466 = "", "", IF('12 - Beds-WUO_ERR'!A466 = "", "Validated", HYPERLINK("#" &amp; ADDRESS(466, '12 - Beds-WUO_TRK'!A466),_xlfn.TEXTAFTER('12 - Beds-WUO_ERR'!A466, ":"))))</f>
        <v/>
      </c>
    </row>
    <row r="467">
      <c r="A467" s="39">
        <f>IF('12 - Beds'!B467 = "", "", IF('12 - Beds-WUO_ERR'!A467 = "", "Validated", HYPERLINK("#" &amp; ADDRESS(467, '12 - Beds-WUO_TRK'!A467),_xlfn.TEXTAFTER('12 - Beds-WUO_ERR'!A467, ":"))))</f>
        <v/>
      </c>
    </row>
    <row r="468">
      <c r="A468" s="39">
        <f>IF('12 - Beds'!B468 = "", "", IF('12 - Beds-WUO_ERR'!A468 = "", "Validated", HYPERLINK("#" &amp; ADDRESS(468, '12 - Beds-WUO_TRK'!A468),_xlfn.TEXTAFTER('12 - Beds-WUO_ERR'!A468, ":"))))</f>
        <v/>
      </c>
    </row>
    <row r="469">
      <c r="A469" s="39">
        <f>IF('12 - Beds'!B469 = "", "", IF('12 - Beds-WUO_ERR'!A469 = "", "Validated", HYPERLINK("#" &amp; ADDRESS(469, '12 - Beds-WUO_TRK'!A469),_xlfn.TEXTAFTER('12 - Beds-WUO_ERR'!A469, ":"))))</f>
        <v/>
      </c>
    </row>
    <row r="470">
      <c r="A470" s="39">
        <f>IF('12 - Beds'!B470 = "", "", IF('12 - Beds-WUO_ERR'!A470 = "", "Validated", HYPERLINK("#" &amp; ADDRESS(470, '12 - Beds-WUO_TRK'!A470),_xlfn.TEXTAFTER('12 - Beds-WUO_ERR'!A470, ":"))))</f>
        <v/>
      </c>
    </row>
    <row r="471">
      <c r="A471" s="39">
        <f>IF('12 - Beds'!B471 = "", "", IF('12 - Beds-WUO_ERR'!A471 = "", "Validated", HYPERLINK("#" &amp; ADDRESS(471, '12 - Beds-WUO_TRK'!A471),_xlfn.TEXTAFTER('12 - Beds-WUO_ERR'!A471, ":"))))</f>
        <v/>
      </c>
    </row>
    <row r="472">
      <c r="A472" s="39">
        <f>IF('12 - Beds'!B472 = "", "", IF('12 - Beds-WUO_ERR'!A472 = "", "Validated", HYPERLINK("#" &amp; ADDRESS(472, '12 - Beds-WUO_TRK'!A472),_xlfn.TEXTAFTER('12 - Beds-WUO_ERR'!A472, ":"))))</f>
        <v/>
      </c>
    </row>
    <row r="473">
      <c r="A473" s="39">
        <f>IF('12 - Beds'!B473 = "", "", IF('12 - Beds-WUO_ERR'!A473 = "", "Validated", HYPERLINK("#" &amp; ADDRESS(473, '12 - Beds-WUO_TRK'!A473),_xlfn.TEXTAFTER('12 - Beds-WUO_ERR'!A473, ":"))))</f>
        <v/>
      </c>
    </row>
    <row r="474">
      <c r="A474" s="39">
        <f>IF('12 - Beds'!B474 = "", "", IF('12 - Beds-WUO_ERR'!A474 = "", "Validated", HYPERLINK("#" &amp; ADDRESS(474, '12 - Beds-WUO_TRK'!A474),_xlfn.TEXTAFTER('12 - Beds-WUO_ERR'!A474, ":"))))</f>
        <v/>
      </c>
    </row>
    <row r="475">
      <c r="A475" s="39">
        <f>IF('12 - Beds'!B475 = "", "", IF('12 - Beds-WUO_ERR'!A475 = "", "Validated", HYPERLINK("#" &amp; ADDRESS(475, '12 - Beds-WUO_TRK'!A475),_xlfn.TEXTAFTER('12 - Beds-WUO_ERR'!A475, ":"))))</f>
        <v/>
      </c>
    </row>
    <row r="476">
      <c r="A476" s="39">
        <f>IF('12 - Beds'!B476 = "", "", IF('12 - Beds-WUO_ERR'!A476 = "", "Validated", HYPERLINK("#" &amp; ADDRESS(476, '12 - Beds-WUO_TRK'!A476),_xlfn.TEXTAFTER('12 - Beds-WUO_ERR'!A476, ":"))))</f>
        <v/>
      </c>
    </row>
    <row r="477">
      <c r="A477" s="39">
        <f>IF('12 - Beds'!B477 = "", "", IF('12 - Beds-WUO_ERR'!A477 = "", "Validated", HYPERLINK("#" &amp; ADDRESS(477, '12 - Beds-WUO_TRK'!A477),_xlfn.TEXTAFTER('12 - Beds-WUO_ERR'!A477, ":"))))</f>
        <v/>
      </c>
    </row>
    <row r="478">
      <c r="A478" s="39">
        <f>IF('12 - Beds'!B478 = "", "", IF('12 - Beds-WUO_ERR'!A478 = "", "Validated", HYPERLINK("#" &amp; ADDRESS(478, '12 - Beds-WUO_TRK'!A478),_xlfn.TEXTAFTER('12 - Beds-WUO_ERR'!A478, ":"))))</f>
        <v/>
      </c>
    </row>
    <row r="479">
      <c r="A479" s="39">
        <f>IF('12 - Beds'!B479 = "", "", IF('12 - Beds-WUO_ERR'!A479 = "", "Validated", HYPERLINK("#" &amp; ADDRESS(479, '12 - Beds-WUO_TRK'!A479),_xlfn.TEXTAFTER('12 - Beds-WUO_ERR'!A479, ":"))))</f>
        <v/>
      </c>
    </row>
    <row r="480">
      <c r="A480" s="39">
        <f>IF('12 - Beds'!B480 = "", "", IF('12 - Beds-WUO_ERR'!A480 = "", "Validated", HYPERLINK("#" &amp; ADDRESS(480, '12 - Beds-WUO_TRK'!A480),_xlfn.TEXTAFTER('12 - Beds-WUO_ERR'!A480, ":"))))</f>
        <v/>
      </c>
    </row>
    <row r="481">
      <c r="A481" s="39">
        <f>IF('12 - Beds'!B481 = "", "", IF('12 - Beds-WUO_ERR'!A481 = "", "Validated", HYPERLINK("#" &amp; ADDRESS(481, '12 - Beds-WUO_TRK'!A481),_xlfn.TEXTAFTER('12 - Beds-WUO_ERR'!A481, ":"))))</f>
        <v/>
      </c>
    </row>
    <row r="482">
      <c r="A482" s="39">
        <f>IF('12 - Beds'!B482 = "", "", IF('12 - Beds-WUO_ERR'!A482 = "", "Validated", HYPERLINK("#" &amp; ADDRESS(482, '12 - Beds-WUO_TRK'!A482),_xlfn.TEXTAFTER('12 - Beds-WUO_ERR'!A482, ":"))))</f>
        <v/>
      </c>
    </row>
    <row r="483">
      <c r="A483" s="39">
        <f>IF('12 - Beds'!B483 = "", "", IF('12 - Beds-WUO_ERR'!A483 = "", "Validated", HYPERLINK("#" &amp; ADDRESS(483, '12 - Beds-WUO_TRK'!A483),_xlfn.TEXTAFTER('12 - Beds-WUO_ERR'!A483, ":"))))</f>
        <v/>
      </c>
    </row>
    <row r="484">
      <c r="A484" s="39">
        <f>IF('12 - Beds'!B484 = "", "", IF('12 - Beds-WUO_ERR'!A484 = "", "Validated", HYPERLINK("#" &amp; ADDRESS(484, '12 - Beds-WUO_TRK'!A484),_xlfn.TEXTAFTER('12 - Beds-WUO_ERR'!A484, ":"))))</f>
        <v/>
      </c>
    </row>
    <row r="485">
      <c r="A485" s="39">
        <f>IF('12 - Beds'!B485 = "", "", IF('12 - Beds-WUO_ERR'!A485 = "", "Validated", HYPERLINK("#" &amp; ADDRESS(485, '12 - Beds-WUO_TRK'!A485),_xlfn.TEXTAFTER('12 - Beds-WUO_ERR'!A485, ":"))))</f>
        <v/>
      </c>
    </row>
    <row r="486">
      <c r="A486" s="39">
        <f>IF('12 - Beds'!B486 = "", "", IF('12 - Beds-WUO_ERR'!A486 = "", "Validated", HYPERLINK("#" &amp; ADDRESS(486, '12 - Beds-WUO_TRK'!A486),_xlfn.TEXTAFTER('12 - Beds-WUO_ERR'!A486, ":"))))</f>
        <v/>
      </c>
    </row>
    <row r="487">
      <c r="A487" s="39">
        <f>IF('12 - Beds'!B487 = "", "", IF('12 - Beds-WUO_ERR'!A487 = "", "Validated", HYPERLINK("#" &amp; ADDRESS(487, '12 - Beds-WUO_TRK'!A487),_xlfn.TEXTAFTER('12 - Beds-WUO_ERR'!A487, ":"))))</f>
        <v/>
      </c>
    </row>
    <row r="488">
      <c r="A488" s="39">
        <f>IF('12 - Beds'!B488 = "", "", IF('12 - Beds-WUO_ERR'!A488 = "", "Validated", HYPERLINK("#" &amp; ADDRESS(488, '12 - Beds-WUO_TRK'!A488),_xlfn.TEXTAFTER('12 - Beds-WUO_ERR'!A488, ":"))))</f>
        <v/>
      </c>
    </row>
    <row r="489">
      <c r="A489" s="39">
        <f>IF('12 - Beds'!B489 = "", "", IF('12 - Beds-WUO_ERR'!A489 = "", "Validated", HYPERLINK("#" &amp; ADDRESS(489, '12 - Beds-WUO_TRK'!A489),_xlfn.TEXTAFTER('12 - Beds-WUO_ERR'!A489, ":"))))</f>
        <v/>
      </c>
    </row>
    <row r="490">
      <c r="A490" s="39">
        <f>IF('12 - Beds'!B490 = "", "", IF('12 - Beds-WUO_ERR'!A490 = "", "Validated", HYPERLINK("#" &amp; ADDRESS(490, '12 - Beds-WUO_TRK'!A490),_xlfn.TEXTAFTER('12 - Beds-WUO_ERR'!A490, ":"))))</f>
        <v/>
      </c>
    </row>
    <row r="491">
      <c r="A491" s="39">
        <f>IF('12 - Beds'!B491 = "", "", IF('12 - Beds-WUO_ERR'!A491 = "", "Validated", HYPERLINK("#" &amp; ADDRESS(491, '12 - Beds-WUO_TRK'!A491),_xlfn.TEXTAFTER('12 - Beds-WUO_ERR'!A491, ":"))))</f>
        <v/>
      </c>
    </row>
    <row r="492">
      <c r="A492" s="39">
        <f>IF('12 - Beds'!B492 = "", "", IF('12 - Beds-WUO_ERR'!A492 = "", "Validated", HYPERLINK("#" &amp; ADDRESS(492, '12 - Beds-WUO_TRK'!A492),_xlfn.TEXTAFTER('12 - Beds-WUO_ERR'!A492, ":"))))</f>
        <v/>
      </c>
    </row>
    <row r="493">
      <c r="A493" s="39">
        <f>IF('12 - Beds'!B493 = "", "", IF('12 - Beds-WUO_ERR'!A493 = "", "Validated", HYPERLINK("#" &amp; ADDRESS(493, '12 - Beds-WUO_TRK'!A493),_xlfn.TEXTAFTER('12 - Beds-WUO_ERR'!A493, ":"))))</f>
        <v/>
      </c>
    </row>
    <row r="494">
      <c r="A494" s="39">
        <f>IF('12 - Beds'!B494 = "", "", IF('12 - Beds-WUO_ERR'!A494 = "", "Validated", HYPERLINK("#" &amp; ADDRESS(494, '12 - Beds-WUO_TRK'!A494),_xlfn.TEXTAFTER('12 - Beds-WUO_ERR'!A494, ":"))))</f>
        <v/>
      </c>
    </row>
    <row r="495">
      <c r="A495" s="39">
        <f>IF('12 - Beds'!B495 = "", "", IF('12 - Beds-WUO_ERR'!A495 = "", "Validated", HYPERLINK("#" &amp; ADDRESS(495, '12 - Beds-WUO_TRK'!A495),_xlfn.TEXTAFTER('12 - Beds-WUO_ERR'!A495, ":"))))</f>
        <v/>
      </c>
    </row>
    <row r="496">
      <c r="A496" s="39">
        <f>IF('12 - Beds'!B496 = "", "", IF('12 - Beds-WUO_ERR'!A496 = "", "Validated", HYPERLINK("#" &amp; ADDRESS(496, '12 - Beds-WUO_TRK'!A496),_xlfn.TEXTAFTER('12 - Beds-WUO_ERR'!A496, ":"))))</f>
        <v/>
      </c>
    </row>
    <row r="497">
      <c r="A497" s="39">
        <f>IF('12 - Beds'!B497 = "", "", IF('12 - Beds-WUO_ERR'!A497 = "", "Validated", HYPERLINK("#" &amp; ADDRESS(497, '12 - Beds-WUO_TRK'!A497),_xlfn.TEXTAFTER('12 - Beds-WUO_ERR'!A497, ":"))))</f>
        <v/>
      </c>
    </row>
    <row r="498">
      <c r="A498" s="39">
        <f>IF('12 - Beds'!B498 = "", "", IF('12 - Beds-WUO_ERR'!A498 = "", "Validated", HYPERLINK("#" &amp; ADDRESS(498, '12 - Beds-WUO_TRK'!A498),_xlfn.TEXTAFTER('12 - Beds-WUO_ERR'!A498, ":"))))</f>
        <v/>
      </c>
    </row>
    <row r="499">
      <c r="A499" s="39">
        <f>IF('12 - Beds'!B499 = "", "", IF('12 - Beds-WUO_ERR'!A499 = "", "Validated", HYPERLINK("#" &amp; ADDRESS(499, '12 - Beds-WUO_TRK'!A499),_xlfn.TEXTAFTER('12 - Beds-WUO_ERR'!A499, ":"))))</f>
        <v/>
      </c>
    </row>
    <row r="500">
      <c r="A500" s="39">
        <f>IF('12 - Beds'!B500 = "", "", IF('12 - Beds-WUO_ERR'!A500 = "", "Validated", HYPERLINK("#" &amp; ADDRESS(500, '12 - Beds-WUO_TRK'!A500),_xlfn.TEXTAFTER('12 - Beds-WUO_ERR'!A500, ":"))))</f>
        <v/>
      </c>
    </row>
    <row r="501">
      <c r="A501" s="39">
        <f>IF('12 - Beds'!B501 = "", "", IF('12 - Beds-WUO_ERR'!A501 = "", "Validated", HYPERLINK("#" &amp; ADDRESS(501, '12 - Beds-WUO_TRK'!A501),_xlfn.TEXTAFTER('12 - Beds-WUO_ERR'!A501, ":"))))</f>
        <v/>
      </c>
    </row>
    <row r="502">
      <c r="A502" s="39">
        <f>IF('12 - Beds'!B502 = "", "", IF('12 - Beds-WUO_ERR'!A502 = "", "Validated", HYPERLINK("#" &amp; ADDRESS(502, '12 - Beds-WUO_TRK'!A502),_xlfn.TEXTAFTER('12 - Beds-WUO_ERR'!A502, ":"))))</f>
        <v/>
      </c>
    </row>
    <row r="503">
      <c r="A503" s="39">
        <f>IF('12 - Beds'!B503 = "", "", IF('12 - Beds-WUO_ERR'!A503 = "", "Validated", HYPERLINK("#" &amp; ADDRESS(503, '12 - Beds-WUO_TRK'!A503),_xlfn.TEXTAFTER('12 - Beds-WUO_ERR'!A503, ":"))))</f>
        <v/>
      </c>
    </row>
    <row r="504">
      <c r="A504" s="39">
        <f>IF('12 - Beds'!B504 = "", "", IF('12 - Beds-WUO_ERR'!A504 = "", "Validated", HYPERLINK("#" &amp; ADDRESS(504, '12 - Beds-WUO_TRK'!A504),_xlfn.TEXTAFTER('12 - Beds-WUO_ERR'!A504, ":"))))</f>
        <v/>
      </c>
    </row>
    <row r="505">
      <c r="A505" s="39">
        <f>IF('12 - Beds'!B505 = "", "", IF('12 - Beds-WUO_ERR'!A505 = "", "Validated", HYPERLINK("#" &amp; ADDRESS(505, '12 - Beds-WUO_TRK'!A505),_xlfn.TEXTAFTER('12 - Beds-WUO_ERR'!A505, ":"))))</f>
        <v/>
      </c>
    </row>
    <row r="506">
      <c r="A506" s="39">
        <f>IF('12 - Beds'!B506 = "", "", IF('12 - Beds-WUO_ERR'!A506 = "", "Validated", HYPERLINK("#" &amp; ADDRESS(506, '12 - Beds-WUO_TRK'!A506),_xlfn.TEXTAFTER('12 - Beds-WUO_ERR'!A506, ":"))))</f>
        <v/>
      </c>
    </row>
    <row r="507">
      <c r="A507" s="39">
        <f>IF('12 - Beds'!B507 = "", "", IF('12 - Beds-WUO_ERR'!A507 = "", "Validated", HYPERLINK("#" &amp; ADDRESS(507, '12 - Beds-WUO_TRK'!A507),_xlfn.TEXTAFTER('12 - Beds-WUO_ERR'!A507, ":"))))</f>
        <v/>
      </c>
    </row>
  </sheetData>
  <sheetProtection selectLockedCells="0" selectUnlockedCells="0" sheet="1" objects="1" insertRows="1" insertHyperlinks="1" autoFilter="1" scenarios="1" formatColumns="0" deleteColumns="1" insertColumns="1" pivotTables="1" deleteRows="1" formatCells="1" formatRows="0" sort="1" password="E939"/>
  <mergeCells count="9">
    <mergeCell ref="AL2:AO2"/>
    <mergeCell ref="BO2:FC2"/>
    <mergeCell ref="AP2:AS2"/>
    <mergeCell ref="U2:Z2"/>
    <mergeCell ref="R2:T2"/>
    <mergeCell ref="B2:I2"/>
    <mergeCell ref="AA2:AK2"/>
    <mergeCell ref="AT2:BN2"/>
    <mergeCell ref="J2:Q2"/>
  </mergeCells>
  <conditionalFormatting sqref="A8:A507">
    <cfRule type="expression" priority="5" dxfId="4">
      <formula>A8="Validated"</formula>
    </cfRule>
    <cfRule type="expression" priority="6" dxfId="5">
      <formula>OR(COUNTIF('12 - Beds-WUO_TRK'!B8:FD8,"Error"),COUNTIF('12 - Beds-WUO_TRK'!B8:FD8,"Required"))</formula>
    </cfRule>
    <cfRule type="expression" priority="7" dxfId="6">
      <formula>COUNTIF('12 - Beds-WUO_TRK'!B8:FD8,"Warning")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D507">
    <cfRule type="expression" priority="1" dxfId="0">
      <formula>'12 - Beds-WUO_TRK'!B8="Error"</formula>
    </cfRule>
    <cfRule type="expression" priority="2" dxfId="1">
      <formula>'12 - Beds-WUO_TRK'!B8="Required"</formula>
    </cfRule>
    <cfRule type="expression" priority="3" dxfId="2">
      <formula>'12 - Beds-WUO_TRK'!B8="Warning"</formula>
    </cfRule>
    <cfRule type="expression" priority="4" dxfId="3">
      <formula>'12 - Beds-WUO_TRK'!B8="Disabled"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FC7">
    <cfRule type="notContainsBlanks" priority="416" dxfId="7">
      <formula>LEN(TRIM(FC7))&gt;0</formula>
    </cfRule>
    <cfRule type="containsBlanks" priority="417" dxfId="8">
      <formula>LEN(TRIM(FC7))=0</formula>
    </cfRule>
  </conditionalFormatting>
  <conditionalFormatting sqref="FC8:FC2501">
    <cfRule type="expression" priority="418" dxfId="7">
      <formula>AND($FC$7&lt;&gt;"", FC8="")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86">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Mattress Size" error="The value provided is not a valid Mattress Size." promptTitle="Mattress Size" prompt="Please select a valid Mattress Size" type="list">
      <formula1>'WAYFAIR_USE_ONLY'!$HX$7:$HX25</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Bed Design" error="The value provided is not a valid Bed Design. Would you like to provide a custom answer?" promptTitle="Bed Design" prompt="Please select a valid Bed Design" type="list" errorStyle="warning">
      <formula1>'WAYFAIR_USE_ONLY'!$HY$7:$HY22</formula1>
    </dataValidation>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1" errorTitle="Invalid Wooden Components" error="The value provided is not a valid Wooden Components." promptTitle="Wooden Components" prompt="Please select a valid Wooden Components" type="list">
      <formula1>'WAYFAIR_USE_ONLY'!$HZ$7:$HZ11</formula1>
    </dataValidation>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8:BT2500" showDropDown="0" showInputMessage="1" showErrorMessage="1" allowBlank="1" errorTitle="Invalid Upholstered" error="The value provided is not a valid Upholstered." promptTitle="Upholstered" prompt="Please select a valid Upholstered" type="list">
      <formula1>'WAYFAIR_USE_ONLY'!$IA$7:$IA9</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8:BV2500" showDropDown="0" showInputMessage="1" showErrorMessage="1" allowBlank="1" errorTitle="Invalid Faux Leather Type" error="The value provided is not a valid Faux Leather Type. Would you like to provide a custom answer?" promptTitle="Faux Leather Type" prompt="Please select a valid Faux Leather Type" type="list" errorStyle="warning">
      <formula1>'WAYFAIR_USE_ONLY'!$IB$7:$IB18</formula1>
    </dataValidation>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8:BW2500" showDropDown="0" showInputMessage="1" showErrorMessage="1" allowBlank="1" errorTitle="Invalid Box Spring Required" error="The value provided is not a valid Box Spring Required." promptTitle="Box Spring Required" prompt="Please select a valid Box Spring Required" type="list">
      <formula1>'WAYFAIR_USE_ONLY'!$IC$7:$IC9</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8:BY2500" showDropDown="0" showInputMessage="1" showErrorMessage="1" allowBlank="1" errorTitle="Invalid Center Support Legs" error="The value provided is not a valid Center Support Legs." promptTitle="Center Support Legs" prompt="Please select a valid Center Support Legs" type="list">
      <formula1>'WAYFAIR_USE_ONLY'!$ID$7:$ID10</formula1>
    </dataValidation>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8:BZ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8:CA2500" showDropDown="0" showInputMessage="1" showErrorMessage="1" allowBlank="1" errorTitle="Invalid Footboard Included" error="The value provided is not a valid Footboard Included." promptTitle="Footboard Included" prompt="Please select a valid Footboard Included" type="list">
      <formula1>'WAYFAIR_USE_ONLY'!$IE$7:$IE10</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8:CC2500" showDropDown="0" showInputMessage="1" showErrorMessage="1" allowBlank="1" errorTitle="Invalid Drawers Included" error="The value provided is not a valid Drawers Included." promptTitle="Drawers Included" prompt="Please select a valid Drawers Included" type="list">
      <formula1>'WAYFAIR_USE_ONLY'!$IF$7:$IF9</formula1>
    </dataValidation>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8:CD2500" showDropDown="0" showInputMessage="1" showErrorMessage="1" allowBlank="1" errorTitle="Invalid Compatible with Adjustab" error="The value provided is not a valid Compatible with Adjustable Bed Base." promptTitle="Compatible with Adjustable Bed B" prompt="Please select a valid Compatible with Adjustable Bed Base" type="list">
      <formula1>'WAYFAIR_USE_ONLY'!$IG$7:$IG10</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8:CE2500" showDropDown="0" showInputMessage="1" showErrorMessage="1" allowBlank="1" errorTitle="Invalid Plug-In" error="The value provided is not a valid Plug-In." promptTitle="Plug-In" prompt="Please select a valid Plug-In" type="list">
      <formula1>'WAYFAIR_USE_ONLY'!$IH$7:$IH9</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8:CJ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'WAYFAIR_USE_ONLY'!$II$7:$II26</formula1>
    </dataValidation>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8:CK2500" showDropDown="0" showInputMessage="1" showErrorMessage="1" allowBlank="1" errorTitle="Invalid Kiln-Dried Wood" error="The value provided is not a valid Kiln-Dried Wood." promptTitle="Kiln-Dried Wood" prompt="Please select a valid Kiln-Dried Wood" type="list">
      <formula1>'WAYFAIR_USE_ONLY'!$IJ$7:$IJ11</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8:CN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'WAYFAIR_USE_ONLY'!$IR$7:$IR10</formula1>
    </dataValidation>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8:CO2500" showDropDown="0" showInputMessage="1" showErrorMessage="1" allowBlank="1" errorTitle="Invalid Battery Composition" error="The value provided is not a valid Battery Composition." promptTitle="Battery Composition" prompt="Please select a valid Battery Composition" type="list">
      <formula1>'WAYFAIR_USE_ONLY'!$IL$7:$IL17</formula1>
    </dataValidation>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8:CP2500" showDropDown="0" showInputMessage="1" showErrorMessage="1" allowBlank="1" errorTitle="Invalid Battery Type" error="The value provided is not a valid Battery Type." promptTitle="Battery Type" prompt="Please select a valid Battery Type" type="list">
      <formula1>'WAYFAIR_USE_ONLY'!$IK$7:$IK11</formula1>
    </dataValidation>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8:CQ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'WAYFAIR_USE_ONLY'!$IM$7:$IM19</formula1>
    </dataValidation>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8:CR2500" showDropDown="0" showInputMessage="1" showErrorMessage="1" allowBlank="1" errorTitle="Invalid Battery Shipment" error="The value provided is not a valid Battery Shipment." promptTitle="Battery Shipment" prompt="Please select a valid Battery Shipment" type="list">
      <formula1>'WAYFAIR_USE_ONLY'!$IN$7:$IN11</formula1>
    </dataValidation>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8:CS2500" showDropDown="0" showInputMessage="1" showErrorMessage="1" allowBlank="1" errorTitle="Invalid Lithium Content" error="The value provided is not a valid Lithium Content." promptTitle="Lithium Content" prompt="Please select a valid Lithium Content" type="list">
      <formula1>'WAYFAIR_USE_ONLY'!$IO$7:$IO14</formula1>
    </dataValidation>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8:CT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'WAYFAIR_USE_ONLY'!$IP$7:$IP14</formula1>
    </dataValidation>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8:CU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'WAYFAIR_USE_ONLY'!$IQ$7:$IQ12</formula1>
    </dataValidation>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8:CV2500" showDropDown="0" showInputMessage="1" showErrorMessage="1" allowBlank="1" errorTitle="Invalid Tufted" error="The value provided is not a valid Tufted." promptTitle="Tufted" prompt="Please select a valid Tufted" type="list">
      <formula1>'WAYFAIR_USE_ONLY'!$IS$7:$IS10</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8:CW2500" showDropDown="0" showInputMessage="1" showErrorMessage="1" allowBlank="1" errorTitle="Invalid Nailhead Trim" error="The value provided is not a valid Nailhead Trim." promptTitle="Nailhead Trim" prompt="Please select a valid Nailhead Trim" type="list">
      <formula1>'WAYFAIR_USE_ONLY'!$IT$7:$IT9</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8:CX2500" showDropDown="0" showInputMessage="1" showErrorMessage="1" allowBlank="1" errorTitle="Invalid Unfinished" error="The value provided is not a valid Unfinished." promptTitle="Unfinished" prompt="Please select a valid Unfinished" type="list">
      <formula1>'WAYFAIR_USE_ONLY'!$IU$7:$IU10</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8:CY2500" showDropDown="0" showInputMessage="1" showErrorMessage="1" allowBlank="1" errorTitle="Invalid Finished Back" error="The value provided is not a valid Finished Back." promptTitle="Finished Back" prompt="Please select a valid Finished Back" type="list">
      <formula1>'WAYFAIR_USE_ONLY'!$IV$7:$IV10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8:CZ2500" showDropDown="0" showInputMessage="1" showErrorMessage="1" allowBlank="1" errorTitle="Invalid Manufactured Wood Type" error="The value provided is not a valid Manufactured Wood Type." promptTitle="Manufactured Wood Type" prompt="Please select a valid Manufactured Wood Type" type="list">
      <formula1>'WAYFAIR_USE_ONLY'!$IW$7:$IW12</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8:DA2500" showDropDown="0" showInputMessage="1" showErrorMessage="1" allowBlank="1" errorTitle="Invalid Lighted Headboard" error="The value provided is not a valid Lighted Headboard." promptTitle="Lighted Headboard" prompt="Please select a valid Lighted Headboard" type="list">
      <formula1>'WAYFAIR_USE_ONLY'!$IX$7:$IX10</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8:DB2500" showDropDown="0" showInputMessage="1" showErrorMessage="1" allowBlank="1" errorTitle="Invalid Leather Type" error="The value provided is not a valid Leather Type. Would you like to provide a custom answer?" promptTitle="Leather Type" prompt="Please select a valid Leather Type" type="list" errorStyle="warning">
      <formula1>'WAYFAIR_USE_ONLY'!$IY$7:$IY19</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8:DC2500" showDropDown="0" showInputMessage="1" showErrorMessage="1" allowBlank="1" errorTitle="Invalid Upholstery Fabric Qualit" error="The value provided is not a valid Upholstery Fabric Quality. Would you like to provide a custom answer?" promptTitle="Upholstery Fabric Quality" prompt="Please select a valid Upholstery Fabric Quality" type="list" errorStyle="warning">
      <formula1>'WAYFAIR_USE_ONLY'!$IZ$7:$IZ15</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8:DD2500" showDropDown="0" showInputMessage="1" showErrorMessage="1" allowBlank="1" errorTitle="Invalid Headboard Shape" error="The value provided is not a valid Headboard Shape." promptTitle="Headboard Shape" prompt="Please select a valid Headboard Shape" type="list">
      <formula1>'WAYFAIR_USE_ONLY'!$JA$7:$JA18</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8:DF2500" showDropDown="0" showInputMessage="1" showErrorMessage="1" allowBlank="1" errorTitle="Invalid Ribbed Detailing" error="The value provided is not a valid Ribbed Detailing." promptTitle="Ribbed Detailing" prompt="Please select a valid Ribbed Detailing" type="list">
      <formula1>'WAYFAIR_USE_ONLY'!$JB$7:$JB11</formula1>
    </dataValidation>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8:DG2500" showDropDown="0" showInputMessage="1" showErrorMessage="1" allowBlank="1" errorTitle="Invalid Fluted Detailing" error="The value provided is not a valid Fluted Detailing." promptTitle="Fluted Detailing" prompt="Please select a valid Fluted Detailing" type="list">
      <formula1>'WAYFAIR_USE_ONLY'!$JC$7:$JC11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8:DI2500" showDropDown="0" showInputMessage="1" showErrorMessage="1" allowBlank="0" errorTitle="Invalid Whole Number" error="The value provided is not a valid Whole Number." promptTitle="Number of Center Support Legs" prompt="Please enter Whole Number" type="textLength" errorStyle="warning" operator="lessThanOrEqual">
      <formula1>32767</formula1>
    </dataValidation>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8:DK2500" showDropDown="0" showInputMessage="1" showErrorMessage="1" allowBlank="1" errorTitle="Invalid Additional Intended Use " error="The value provided is not a valid Additional Intended Use For Child." promptTitle="Additional Intended Use For Chil" prompt="Please select a valid Additional Intended Use For Child" type="list">
      <formula1>'WAYFAIR_USE_ONLY'!$JD$7:$JD9</formula1>
    </dataValidation>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8:DL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'WAYFAIR_USE_ONLY'!$JH$7:$JH10</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8:DM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'WAYFAIR_USE_ONLY'!$JE$7:$JE11</formula1>
    </dataValidation>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8:DN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'WAYFAIR_USE_ONLY'!$JF$7:$JF11</formula1>
    </dataValidation>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8:DO2500" showDropDown="0" showInputMessage="1" showErrorMessage="1" allowBlank="1" errorTitle="Invalid CANFER Compliant" error="The value provided is not a valid CANFER Compliant." promptTitle="CANFER Compliant" prompt="Please select a valid CANFER Compliant" type="list">
      <formula1>'WAYFAIR_USE_ONLY'!$JG$7:$JG11</formula1>
    </dataValidation>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8:DP2500" showDropDown="0" showInputMessage="1" showErrorMessage="1" allowBlank="1" errorTitle="Invalid SOR/2016-183 Compliant" error="The value provided is not a valid SOR/2016-183 Compliant." promptTitle="SOR/2016-183 Compliant" prompt="Please select a valid SOR/2016-183 Compliant" type="list">
      <formula1>'WAYFAIR_USE_ONLY'!$JI$7:$JI11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8:DQ2500" showDropDown="0" showInputMessage="1" showErrorMessage="1" allowBlank="1" errorTitle="Invalid CAL TB 116 Compliant" error="The value provided is not a valid CAL TB 116 Compliant." promptTitle="CAL TB 116 Compliant" prompt="Please select a valid CAL TB 116 Compliant" type="list">
      <formula1>'WAYFAIR_USE_ONLY'!$JJ$7:$JJ12</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8:DR2500" showDropDown="0" showInputMessage="1" showErrorMessage="1" allowBlank="1" errorTitle="Invalid CAL TB 117-2013 Complian" error="The value provided is not a valid CAL TB 117-2013 Compliant." promptTitle="CAL TB 117-2013 Compliant" prompt="Please select a valid CAL TB 117-2013 Compliant" type="list">
      <formula1>'WAYFAIR_USE_ONLY'!$JK$7:$JK12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8:DS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'WAYFAIR_USE_ONLY'!$JL$7:$JL10</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8:DT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'WAYFAIR_USE_ONLY'!$JM$7:$JM9</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8:DV2500" showDropDown="0" showInputMessage="1" showErrorMessage="1" allowBlank="1" errorTitle="Invalid Textile Labelling and Ad" error="The value provided is not a valid Textile Labelling and Advertising Regulations (C.R.C., c. 1551)." promptTitle="Textile Labelling and Advertisin" prompt="Please select a valid Textile Labelling and Advertising Regulations (C.R.C., c. 1551)" type="list">
      <formula1>'WAYFAIR_USE_ONLY'!$JN$7:$JN11</formula1>
    </dataValidation>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8:DW2500" showDropDown="0" showInputMessage="1" showErrorMessage="1" allowBlank="1" errorTitle="Invalid SOR/2016-194 - Textile F" error="The value provided is not a valid SOR/2016-194 - Textile Flammability Regulations." promptTitle="SOR/2016-194 - Textile Flammabil" prompt="Please select a valid SOR/2016-194 - Textile Flammability Regulations" type="list">
      <formula1>'WAYFAIR_USE_ONLY'!$JO$7:$JO11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8:DX2500" showDropDown="0" showInputMessage="1" showErrorMessage="1" allowBlank="1" errorTitle="Invalid SOFFA Compliant" error="The value provided is not a valid SOFFA Compliant." promptTitle="SOFFA Compliant" prompt="Please select a valid SOFFA Compliant" type="list">
      <formula1>'WAYFAIR_USE_ONLY'!$JP$7:$JP10</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8:DY2500" showDropDown="0" showInputMessage="1" showErrorMessage="1" allowBlank="1" errorTitle="Invalid Children’s Product Certi" error="The value provided is not a valid Children’s Product Certificate (CPC)." promptTitle="Children’s Product Certificate (" prompt="Please select a valid Children’s Product Certificate (CPC)" type="list">
      <formula1>'WAYFAIR_USE_ONLY'!$JQ$7:$JQ11</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8:DZ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'WAYFAIR_USE_ONLY'!$JR$7:$JR11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8:EA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'WAYFAIR_USE_ONLY'!$JV$7:$JV9</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8:EC2500" showDropDown="0" showInputMessage="1" showErrorMessage="1" allowBlank="1" errorTitle="Invalid Hazard Class(es)" error="The value provided is not a valid Hazard Class(es)." promptTitle="Hazard Class(es)" prompt="Please select a valid Hazard Class(es)" type="list">
      <formula1>'WAYFAIR_USE_ONLY'!$JS$7:$JS23</formula1>
    </dataValidation>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8:ED2500" showDropDown="0" showInputMessage="1" showErrorMessage="1" allowBlank="1" errorTitle="Invalid Packing Group" error="The value provided is not a valid Packing Group." promptTitle="Packing Group" prompt="Please select a valid Packing Group" type="list">
      <formula1>'WAYFAIR_USE_ONLY'!$JT$7:$JT12</formula1>
    </dataValidation>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8:EE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'WAYFAIR_USE_ONLY'!$JU$7:$JU19</formula1>
    </dataValidation>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8:EF250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'WAYFAIR_USE_ONLY'!$JW$7:$JW11</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8:EG2500" showDropDown="0" showInputMessage="1" showErrorMessage="1" allowBlank="1" errorTitle="Invalid ISTA Certified" error="The value provided is not a valid ISTA Certified." promptTitle="ISTA Certified" prompt="Please select a valid ISTA Certified" type="list">
      <formula1>'WAYFAIR_USE_ONLY'!$JX$7:$JX10</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8:EH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'WAYFAIR_USE_ONLY'!$JY$7:$JY11</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8:EI2500" showDropDown="0" showInputMessage="1" showErrorMessage="1" allowBlank="1" errorTitle="Invalid SOR/2016-193 - Surface C" error="The value provided is not a valid SOR/2016-193 - Surface Coating Materials Regulations." promptTitle="SOR/2016-193 - Surface Coating M" prompt="Please select a valid SOR/2016-193 - Surface Coating Materials Regulations" type="list">
      <formula1>'WAYFAIR_USE_ONLY'!$JZ$7:$JZ11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8:EJ2500" showDropDown="0" showInputMessage="1" showErrorMessage="1" allowBlank="1" errorTitle="Invalid Consumer Product Safety " error="The value provided is not a valid Consumer Product Safety Improvement Act (CPSIA) Compliant." promptTitle="Consumer Product Safety Improvem" prompt="Please select a valid Consumer Product Safety Improvement Act (CPSIA) Compliant" type="list">
      <formula1>'WAYFAIR_USE_ONLY'!$KA$7:$KA11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8:EK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'WAYFAIR_USE_ONLY'!$KB$7:$KB10</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8:EL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'WAYFAIR_USE_ONLY'!$KC$7:$KC10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8:EM2500" showDropDown="0" showInputMessage="1" showErrorMessage="1" allowBlank="1" errorTitle="Invalid US Mattress Flammability" error="The value provided is not a valid US Mattress Flammability Regulations Compliant." promptTitle="US Mattress Flammability Regulat" prompt="Please select a valid US Mattress Flammability Regulations Compliant" type="list">
      <formula1>'WAYFAIR_USE_ONLY'!$KD$7:$KD12</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8:EN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8:EO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8:EP2500" showDropDown="0" showInputMessage="1" showErrorMessage="1" allowBlank="0" errorTitle="Invalid Number" error="The value provided is not a valid Number." promptTitle="Overall Length - Head to Toe" prompt="Please enter Number"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8:EQ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8:ER2500" showDropDown="0" showInputMessage="1" showErrorMessage="1" allowBlank="0" errorTitle="Invalid Number" error="The value provided is not a valid Number." promptTitle="Clearance - Floor to Bottom" prompt="Please enter Number"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8:ES2500" showDropDown="0" showInputMessage="1" showErrorMessage="1" allowBlank="0" errorTitle="Invalid Number" error="The value provided is not a valid Number." promptTitle="Headboard Height - Top to Bottom" prompt="Please enter Number"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8:ET2500" showDropDown="0" showInputMessage="1" showErrorMessage="1" allowBlank="0" errorTitle="Invalid Number" error="The value provided is not a valid Number." promptTitle="Headboard Width - Side to Side" prompt="Please enter Number"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8:EU2500" showDropDown="0" showInputMessage="1" showErrorMessage="1" allowBlank="0" errorTitle="Invalid Number" error="The value provided is not a valid Number." promptTitle="Headboard Depth - Front to Back" prompt="Please enter Number"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8:EV2500" showDropDown="0" showInputMessage="1" showErrorMessage="1" allowBlank="1" errorTitle="Invalid Assembly Required" error="The value provided is not a valid Assembly Required." promptTitle="Assembly Required" prompt="Please select a valid Assembly Required" type="list">
      <formula1>'WAYFAIR_USE_ONLY'!$KE$7:$KE9</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8:EW2500" showDropDown="0" showInputMessage="1" showErrorMessage="1" allowBlank="1" errorTitle="Invalid Level of Assembly" error="The value provided is not a valid Level of Assembly." promptTitle="Level of Assembly" prompt="Please select a valid Level of Assembly" type="list">
      <formula1>'WAYFAIR_USE_ONLY'!$KF$7:$KF11</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8:EY2500" showDropDown="0" showInputMessage="1" showErrorMessage="1" allowBlank="1" errorTitle="Invalid Commercial Warranty" error="The value provided is not a valid Commercial Warranty." promptTitle="Commercial Warranty" prompt="Please select a valid Commercial Warranty" type="list">
      <formula1>'WAYFAIR_USE_ONLY'!$KH$7:$KH10</formula1>
    </dataValidation>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8:EZ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'WAYFAIR_USE_ONLY'!$KG$7:$KG32</formula1>
    </dataValidation>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8:FA2500" showDropDown="0" showInputMessage="1" showErrorMessage="1" allowBlank="1" errorTitle="Invalid Product Warranty" error="The value provided is not a valid Product Warranty." promptTitle="Product Warranty" prompt="Please select a valid Product Warranty" type="list">
      <formula1>'WAYFAIR_USE_ONLY'!$KI$7:$KI9</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8:FB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'WAYFAIR_USE_ONLY'!$KJ$7:$KJ10</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FC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f t="array" ref="A8">_xlfn.BYROW(B8:FD507,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_xlfn.MAP('12 - Beds'!B8:B507, '12 - Beds'!B8:B507,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IF(OR('12 - Beds'!B$7 = "", '12 - Beds'!B$7 = "N/A"), "3:Supplier Part Number - Value is required", ""), ""))))))))</f>
        <v/>
      </c>
      <c r="C8" s="22">
        <f t="array" ref="C8">_xlfn.MAP('12 - Beds'!B8:B507, '12 - Beds'!C8:C507, _xlfn.LAMBDA(_xlpm.part, _xlpm.val, IF(_xlpm.part = "", "", IF(AND(_xlpm.val = "", C$3="Required"), IF(OR('12 - Beds'!C$7 = "", '12 - Beds'!C$7 = "N/A"), "3:ASIN or Amazon Seller SKU - Value is required", ""), ""))))</f>
        <v/>
      </c>
      <c r="D8" s="22">
        <f t="array" ref="D8">_xlfn.MAP('12 - Beds'!B8:B507, '12 - Beds'!D8:D507, '12 - Beds'!J8:J507, _xlfn.LAMBDA(_xlpm.part, _xlpm.val, _xlpm.dep1, IF(_xlpm.part = "", "", _xlfn.LET(_xlpm.check1, IF(AND(_xlpm.val = "", _xlpm.dep1 = "NON-PRIMARY VARIANT"), "2:Autofill", ""), IF(LEN(_xlpm.check1) &gt; 0, _xlpm.check1, IF(AND(_xlpm.val = "", D$3="Required"), IF(OR('12 - Beds'!D$7 = "", '12 - Beds'!D$7 = "N/A"), "3:Brand - Value is required", ""), ""))))))</f>
        <v/>
      </c>
      <c r="E8" s="22">
        <f t="array" ref="E8">_xlfn.MAP('12 - Beds'!B8:B507, '12 - Beds'!E8:E507,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IF(OR('12 - Beds'!E$7 = "", '12 - Beds'!E$7 = "N/A"), "3:Manufacturer Part Number - Value is required", ""), ""))))))))))</f>
        <v/>
      </c>
      <c r="F8" s="22">
        <f t="array" ref="F8">_xlfn.MAP('12 - Beds'!B8:B507, '12 - Beds'!F8:F507,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IF(OR('12 - Beds'!F$7 = "", '12 - Beds'!F$7 = "N/A"), "3:Universal Product Code - Value is required", ""), ""))))))))</f>
        <v/>
      </c>
      <c r="G8" s="22">
        <f t="array" ref="G8">_xlfn.MAP('12 - Beds'!B8:B507, '12 - Beds'!G8:G507, _xlfn.LAMBDA(_xlpm.part, _xlpm.val, IF(_xlpm.part = "", "", _xlfn.LET(_xlpm.check1, IF(OR(ISNUMBER(SEARCH({"&lt;","&gt;","^","Ø","•","‣","⁃","⁌","™","∙","⌀","◦"}, _xlpm.val))), "1:Product name cannot contain special characters ([™Ø⌀•‣◦⁃⁌⁍∙&lt;&gt;])", ""), IF(LEN(_xlpm.check1) &gt; 0, _xlpm.check1, IF(AND(_xlpm.val = "", G$3="Required"), IF(OR('12 - Beds'!G$7 = "", '12 - Beds'!G$7 = "N/A"), "3:Product Name - Value is required", ""), ""))))))</f>
        <v/>
      </c>
      <c r="H8" s="22">
        <f t="array" ref="H8">_xlfn.MAP('12 - Beds'!B8:B507, '12 - Beds'!H8:H507, '12 - Beds'!J8:J507, _xlfn.LAMBDA(_xlpm.part, _xlpm.val, _xlpm.dep1, IF(_xlpm.part = "", "", _xlfn.LET(_xlpm.check1, IF(AND(_xlpm.val = "", _xlpm.dep1 = "NON-PRIMARY VARIANT"), "2:Autofill", ""), IF(LEN(_xlpm.check1) &gt; 0, _xlpm.check1, IF(AND(_xlpm.val = "", H$3="Required"), IF(OR('12 - Beds'!H$7 = "", '12 - Beds'!H$7 = "N/A"), "3:Collection Name - Value is required", ""), ""))))))</f>
        <v/>
      </c>
      <c r="I8" s="22">
        <f t="array" ref="I8">_xlfn.MAP('12 - Beds'!B8:B507, '12 - Beds'!I8:I507, _xlfn.LAMBDA(_xlpm.part, _xlpm.val, IF(_xlpm.part = "", "", IF(AND(_xlpm.val = "", I$3="Required"), IF(OR('12 - Beds'!I$7 = "", '12 - Beds'!I$7 = "N/A"), "3:Manufacturer Product URL - Value is required", ""), ""))))</f>
        <v/>
      </c>
      <c r="J8" s="22">
        <f t="array" ref="J8">_xlfn.MAP('12 - Beds'!B8:B507, '12 - Beds'!J8:J507, _xlfn.LAMBDA(_xlpm.part, _xlpm.val, IF(_xlpm.part = "", "", IF(AND(_xlpm.val = "", J$3="Required"), IF(OR('12 - Beds'!J$7 = "", '12 - Beds'!J$7 = "N/A"), "3:Variant Type - Value is required", ""), ""))))</f>
        <v/>
      </c>
      <c r="K8" s="22">
        <f t="array" ref="K8">_xlfn.MAP('12 - Beds'!B8:B507, '12 - Beds'!K8:K507, '12 - Beds'!J8:J507,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IF(OR('12 - Beds'!K$7 = "", '12 - Beds'!K$7 = "N/A"), "3:Group Reference ID - Value is required", ""), ""), IF(LEN(_xlpm.check2) &gt; 0, _xlpm.check2, _xlfn.LET(_xlpm.check3, IF(_xlpm.dep1 = "PRIMARY VARIANT", IF(_xlpm.val = "", IF(OR('12 - Beds'!K$7 = "", '12 - Beds'!K$7 = "N/A"), "3:Variant Group Reference Id is required for primary-variant", ""), ""), ""), IF(LEN(_xlpm.check3) &gt; 0, _xlpm.check3, IF(_xlpm.dep1 = "NON-PRIMARY VARIANT", IF(_xlpm.val = "", IF(OR('12 - Beds'!K$7 = "", '12 - Beds'!K$7 = "N/A"), "3:Variant Group Reference Id is required for non-primary variant", ""), ""), ""))))))))))</f>
        <v/>
      </c>
      <c r="L8" s="22">
        <f t="array" ref="L8">_xlfn.MAP('12 - Beds'!B8:B507, '12 - Beds'!L8:L507,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IF(OR('12 - Beds'!L$7 = "", '12 - Beds'!L$7 = "N/A"), "3:Variant Grouping - Value is required", ""), ""), IF(LEN(_xlpm.check5) &gt; 0, _xlpm.check5, IF(_xlpm.dep1 = "PRIMARY VARIANT", IF(_xlpm.val = "", IF(OR('12 - Beds'!L$7 = "", '12 - Beds'!L$7 = "N/A"), "3:Variant grouping value must be specified for primary variant", ""), ""), ""))))))))))))))</f>
        <v/>
      </c>
      <c r="M8" s="22">
        <f t="array" ref="M8">_xlfn.MAP('12 - Beds'!B8:B507, '12 - Beds'!M8:M507, '12 - Beds'!J8:J507, '12 - Beds'!L8:L507,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IF(OR('12 - Beds'!M$7 = "", '12 - Beds'!M$7 = "N/A"), "3:Variant Attribute Name On Site - Value is required", ""), ""), IF(LEN(_xlpm.check3) &gt; 0, _xlpm.check3, _xlfn.LET(_xlpm.check4, IF(AND(_xlpm.dep2 &lt;&gt; "", _xlpm.dep2 &lt;&gt; "Finish", _xlpm.dep2 &lt;&gt; "Assembly"), IF(_xlpm.val = "", IF(OR('12 - Beds'!M$7 = "", '12 - Beds'!M$7 = "N/A"), "3:Name on site is required when variant grouping value is provided", ""), ""), ""), IF(LEN(_xlpm.check4) &gt; 0, _xlpm.check4, _xlfn.LET(_xlpm.check5, IF(AND(_xlpm.dep2 &lt;&gt; "", _xlpm.dep2 &lt;&gt; "Color", _xlpm.dep2 &lt;&gt; "Material", _xlpm.dep2 &lt;&gt; "Size", _xlpm.dep2 &lt;&gt; "Fireplace Included"), IF(_xlpm.val = "", IF(OR('12 - Beds'!M$7 = "", '12 - Beds'!M$7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Beds'!M$7 = "", '12 - Beds'!M$7 = "N/A"), "3:Name on site is required when variant grouping value is provided", ""), ""), ""), IF(LEN(_xlpm.check6) &gt; 0, _xlpm.check6, _xlfn.LET(_xlpm.check7, IF(AND(_xlpm.dep2 &lt;&gt; "", _xlpm.dep2 &lt;&gt; "Color"), IF(_xlpm.val = "", IF(OR('12 - Beds'!M$7 = "", '12 - Beds'!M$7 = "N/A"), "3:Name on site is required when variant grouping value is provided", ""), ""), ""), IF(LEN(_xlpm.check7) &gt; 0, _xlpm.check7, IF(AND(_xlpm.dep2 &lt;&gt; "", _xlpm.dep2 &lt;&gt; "Size", _xlpm.dep2 &lt;&gt; "Color", _xlpm.dep2 &lt;&gt; "Frame Material", _xlpm.dep2 &lt;&gt; "Print/Pattern", _xlpm.dep2 &lt;&gt; "Storage"), IF(_xlpm.val = "", IF(OR('12 - Beds'!M$7 = "", '12 - Beds'!M$7 = "N/A"), "3:Name on site is required when variant grouping value is provided", ""), ""), ""))))))))))))))))))</f>
        <v/>
      </c>
      <c r="N8" s="22">
        <f t="array" ref="N8">_xlfn.MAP('12 - Beds'!B8:B507, '12 - Beds'!N8:N507,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IF(OR('12 - Beds'!N$7 = "", '12 - Beds'!N$7 = "N/A"), "3:Variant Grouping - Value is required", ""), ""))))))))))))</f>
        <v/>
      </c>
      <c r="O8" s="22">
        <f t="array" ref="O8">_xlfn.MAP('12 - Beds'!B8:B507, '12 - Beds'!O8:O507, '12 - Beds'!J8:J507, '12 - Beds'!N8:N507,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IF(OR('12 - Beds'!O$7 = "", '12 - Beds'!O$7 = "N/A"), "3:Variant Attribute Name On Site - Value is required", ""), ""), IF(LEN(_xlpm.check3) &gt; 0, _xlpm.check3, _xlfn.LET(_xlpm.check4, IF(AND(_xlpm.dep2 &lt;&gt; "", _xlpm.dep2 &lt;&gt; "Finish", _xlpm.dep2 &lt;&gt; "Assembly"), IF(_xlpm.val = "", IF(OR('12 - Beds'!O$7 = "", '12 - Beds'!O$7 = "N/A"), "3:Name on site is required when variant grouping value is provided", ""), ""), ""), IF(LEN(_xlpm.check4) &gt; 0, _xlpm.check4, _xlfn.LET(_xlpm.check5, IF(AND(_xlpm.dep2 &lt;&gt; "", _xlpm.dep2 &lt;&gt; "Color", _xlpm.dep2 &lt;&gt; "Material", _xlpm.dep2 &lt;&gt; "Size", _xlpm.dep2 &lt;&gt; "Fireplace Included"), IF(_xlpm.val = "", IF(OR('12 - Beds'!O$7 = "", '12 - Beds'!O$7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Beds'!O$7 = "", '12 - Beds'!O$7 = "N/A"), "3:Name on site is required when variant grouping value is provided", ""), ""), ""), IF(LEN(_xlpm.check6) &gt; 0, _xlpm.check6, _xlfn.LET(_xlpm.check7, IF(AND(_xlpm.dep2 &lt;&gt; "", _xlpm.dep2 &lt;&gt; "Color"), IF(_xlpm.val = "", IF(OR('12 - Beds'!O$7 = "", '12 - Beds'!O$7 = "N/A"), "3:Name on site is required when variant grouping value is provided", ""), ""), ""), IF(LEN(_xlpm.check7) &gt; 0, _xlpm.check7, IF(AND(_xlpm.dep2 &lt;&gt; "", _xlpm.dep2 &lt;&gt; "Size", _xlpm.dep2 &lt;&gt; "Color", _xlpm.dep2 &lt;&gt; "Frame Material", _xlpm.dep2 &lt;&gt; "Print/Pattern", _xlpm.dep2 &lt;&gt; "Storage"), IF(_xlpm.val = "", IF(OR('12 - Beds'!O$7 = "", '12 - Beds'!O$7 = "N/A"), "3:Name on site is required when variant grouping value is provided", ""), ""), ""))))))))))))))))))</f>
        <v/>
      </c>
      <c r="P8" s="22">
        <f t="array" ref="P8">_xlfn.MAP('12 - Beds'!B8:B507, '12 - Beds'!P8:P507,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IF(OR('12 - Beds'!P$7 = "", '12 - Beds'!P$7 = "N/A"), "3:Variant Grouping - Value is required", ""), ""))))))))))))</f>
        <v/>
      </c>
      <c r="Q8" s="22">
        <f t="array" ref="Q8">_xlfn.MAP('12 - Beds'!B8:B507, '12 - Beds'!Q8:Q507, '12 - Beds'!J8:J507, '12 - Beds'!P8:P507,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IF(OR('12 - Beds'!Q$7 = "", '12 - Beds'!Q$7 = "N/A"), "3:Variant Attribute Name On Site - Value is required", ""), ""), IF(LEN(_xlpm.check3) &gt; 0, _xlpm.check3, _xlfn.LET(_xlpm.check4, IF(AND(_xlpm.dep2 &lt;&gt; "", _xlpm.dep2 &lt;&gt; "Finish", _xlpm.dep2 &lt;&gt; "Assembly"), IF(_xlpm.val = "", IF(OR('12 - Beds'!Q$7 = "", '12 - Beds'!Q$7 = "N/A"), "3:Name on site is required when variant grouping value is provided", ""), ""), ""), IF(LEN(_xlpm.check4) &gt; 0, _xlpm.check4, _xlfn.LET(_xlpm.check5, IF(AND(_xlpm.dep2 &lt;&gt; "", _xlpm.dep2 &lt;&gt; "Color", _xlpm.dep2 &lt;&gt; "Material", _xlpm.dep2 &lt;&gt; "Size", _xlpm.dep2 &lt;&gt; "Fireplace Included"), IF(_xlpm.val = "", IF(OR('12 - Beds'!Q$7 = "", '12 - Beds'!Q$7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Beds'!Q$7 = "", '12 - Beds'!Q$7 = "N/A"), "3:Name on site is required when variant grouping value is provided", ""), ""), ""), IF(LEN(_xlpm.check6) &gt; 0, _xlpm.check6, _xlfn.LET(_xlpm.check7, IF(AND(_xlpm.dep2 &lt;&gt; "", _xlpm.dep2 &lt;&gt; "Color"), IF(_xlpm.val = "", IF(OR('12 - Beds'!Q$7 = "", '12 - Beds'!Q$7 = "N/A"), "3:Name on site is required when variant grouping value is provided", ""), ""), ""), IF(LEN(_xlpm.check7) &gt; 0, _xlpm.check7, IF(AND(_xlpm.dep2 &lt;&gt; "", _xlpm.dep2 &lt;&gt; "Size", _xlpm.dep2 &lt;&gt; "Color", _xlpm.dep2 &lt;&gt; "Frame Material", _xlpm.dep2 &lt;&gt; "Print/Pattern", _xlpm.dep2 &lt;&gt; "Storage"), IF(_xlpm.val = "", IF(OR('12 - Beds'!Q$7 = "", '12 - Beds'!Q$7 = "N/A"), "3:Name on site is required when variant grouping value is provided", ""), ""), ""))))))))))))))))))</f>
        <v/>
      </c>
      <c r="R8" s="22">
        <f t="array" ref="R8">_xlfn.MAP('12 - Beds'!B8:B507, '12 - Beds'!R8:R507, _xlfn.LAMBDA(_xlpm.part, _xlpm.val, IF(_xlpm.part = "", "", _xlfn.LET(_xlpm.check1, IF(AND(NOT(ISBLANK(_xlpm.val)),OR(NOT(ISNUMBER(IFERROR(VALUE(_xlpm.val), ""))), IFERROR(VALUE(_xlpm.val), -1) &lt; 0)), "1:Base Cost - Value should be numeric", ""), IF(LEN(_xlpm.check1) &gt; 0, _xlpm.check1, IF(AND(_xlpm.val = "", R$3="Required"), IF(OR('12 - Beds'!R$7 = "", '12 - Beds'!R$7 = "N/A"), "3:Base Cost - Value is required", ""), ""))))))</f>
        <v/>
      </c>
      <c r="S8" s="22">
        <f t="array" ref="S8">_xlfn.MAP('12 - Beds'!B8:B507, '12 - Beds'!S8:S507, _xlfn.LAMBDA(_xlpm.part, _xlpm.val, IF(_xlpm.part = "", "", _xlfn.LET(_xlpm.check1, IF(AND(NOT(ISBLANK(_xlpm.val)),OR(NOT(ISNUMBER(IFERROR(VALUE(_xlpm.val), ""))), IFERROR(VALUE(_xlpm.val), -1) &lt; 0)), "1:Minimum Advertised Price - Value should be numeric", ""), IF(LEN(_xlpm.check1) &gt; 0, _xlpm.check1, IF(AND(_xlpm.val = "", S$3="Required"), IF(OR('12 - Beds'!S$7 = "", '12 - Beds'!S$7 = "N/A"), "3:Minimum Advertised Price - Value is required", ""), ""))))))</f>
        <v/>
      </c>
      <c r="T8" s="22">
        <f t="array" ref="T8">_xlfn.MAP('12 - Beds'!B8:B507, '12 - Beds'!T8:T507,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IF(OR('12 - Beds'!T$7 = "", '12 - Beds'!T$7 = "N/A"), "3:Manufacturer Suggested Retail Price - Value is required", ""), ""))))))</f>
        <v/>
      </c>
      <c r="U8" s="22">
        <f t="array" ref="U8">_xlfn.MAP('12 - Beds'!B8:B507, '12 - Beds'!U8:U507, '12 - Beds'!J8:J507, '12 - Beds'!V8:V507, '12 - Beds'!W8:W507, '12 - Beds'!X8:X507,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IF(OR('12 - Beds'!U$7 = "", '12 - Beds'!U$7 = "N/A"), "3:Marketing Copy - Value is required", ""), ""), IF(LEN(_xlpm.check4) &gt; 0, _xlpm.check4, IF(OR(_xlpm.dep2 = "", _xlpm.dep3 = "", _xlpm.dep4 = ""), IF(_xlpm.val = "", IF(OR('12 - Beds'!U$7 = "", '12 - Beds'!U$7 = "N/A"), "3:Either the Marketing Copy or at least three Feature Bullets are required for this part.", ""), ""), ""))))))))))))</f>
        <v/>
      </c>
      <c r="V8" s="22">
        <f t="array" ref="V8">_xlfn.MAP('12 - Beds'!B8:B507, '12 - Beds'!V8:V507, '12 - Beds'!J8:J507, '12 - Beds'!W8:W507, '12 - Beds'!X8:X507,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IF(OR('12 - Beds'!V$7 = "", '12 - Beds'!V$7 = "N/A"), "3:Feature Bullet - Value is required", ""), ""), IF(LEN(_xlpm.check3) &gt; 0, _xlpm.check3, _xlfn.LET(_xlpm.check4, IF(AND(AND(_xlpm.dep2 = "", _xlpm.dep3 = ""), _xlpm.dep4 = ""), IF(_xlpm.val = "", IF(OR('12 - Beds'!V$7 = "", '12 - Beds'!V$7 = "N/A"), "3:Either the Marketing Copy or at least three Feature Bullets are required for this part.", ""), ""), ""), IF(LEN(_xlpm.check4) &gt; 0, _xlpm.check4, IF(_xlpm.dep4 = "", IF(_xlpm.val = "", IF(OR('12 - Beds'!V$7 = "", '12 - Beds'!V$7 = "N/A"), "3:Three feature bullets must be filled", ""), ""), ""))))))))))))</f>
        <v/>
      </c>
      <c r="W8" s="22">
        <f t="array" ref="W8">_xlfn.MAP('12 - Beds'!B8:B507, '12 - Beds'!W8:W507, '12 - Beds'!J8:J507, '12 - Beds'!V8:V507, '12 - Beds'!X8:X507,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IF(OR('12 - Beds'!W$7 = "", '12 - Beds'!W$7 = "N/A"), "3:Feature Bullet - Value is required", ""), ""), IF(LEN(_xlpm.check3) &gt; 0, _xlpm.check3, _xlfn.LET(_xlpm.check4, IF(AND(AND(_xlpm.dep2 = "", _xlpm.dep3 = ""), _xlpm.dep4 = ""), IF(_xlpm.val = "", IF(OR('12 - Beds'!W$7 = "", '12 - Beds'!W$7 = "N/A"), "3:Either the Marketing Copy or at least three Feature Bullets are required for this part.", ""), ""), ""), IF(LEN(_xlpm.check4) &gt; 0, _xlpm.check4, IF(_xlpm.dep4 = "", IF(_xlpm.val = "", IF(OR('12 - Beds'!W$7 = "", '12 - Beds'!W$7 = "N/A"), "3:Three feature bullets must be filled", ""), ""), ""))))))))))))</f>
        <v/>
      </c>
      <c r="X8" s="22">
        <f t="array" ref="X8">_xlfn.MAP('12 - Beds'!B8:B507, '12 - Beds'!X8:X507, '12 - Beds'!J8:J507, '12 - Beds'!V8:V507, '12 - Beds'!W8:W507,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IF(OR('12 - Beds'!X$7 = "", '12 - Beds'!X$7 = "N/A"), "3:Feature Bullet - Value is required", ""), ""), IF(LEN(_xlpm.check3) &gt; 0, _xlpm.check3, _xlfn.LET(_xlpm.check4, IF(AND(AND(_xlpm.dep2 = "", _xlpm.dep3 = ""), _xlpm.dep4 = ""), IF(_xlpm.val = "", IF(OR('12 - Beds'!X$7 = "", '12 - Beds'!X$7 = "N/A"), "3:Either the Marketing Copy or at least three Feature Bullets are required for this part.", ""), ""), ""), IF(LEN(_xlpm.check4) &gt; 0, _xlpm.check4, IF(_xlpm.dep4 = "", IF(_xlpm.val = "", IF(OR('12 - Beds'!X$7 = "", '12 - Beds'!X$7 = "N/A"), "3:Three feature bullets must be filled", ""), ""), ""))))))))))))</f>
        <v/>
      </c>
      <c r="Y8" s="22">
        <f t="array" ref="Y8">_xlfn.MAP('12 - Beds'!B8:B507, '12 - Beds'!Y8:Y507, '12 - Beds'!J8:J507,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IF(OR('12 - Beds'!Y$7 = "", '12 - Beds'!Y$7 = "N/A"), "3:Feature Bullet - Value is required", ""), ""))))))))</f>
        <v/>
      </c>
      <c r="Z8" s="22">
        <f t="array" ref="Z8">_xlfn.MAP('12 - Beds'!B8:B507, '12 - Beds'!Z8:Z507, '12 - Beds'!J8:J507,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IF(OR('12 - Beds'!Z$7 = "", '12 - Beds'!Z$7 = "N/A"), "3:Feature Bullet - Value is required", ""), ""))))))))</f>
        <v/>
      </c>
      <c r="AA8" s="22">
        <f t="array" ref="AA8">_xlfn.MAP('12 - Beds'!B8:B507, '12 - Beds'!AA8:AA507,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IF(OR('12 - Beds'!AA$7 = "", '12 - Beds'!AA$7 = "N/A"), "3:Minimum Order Quantity - Value is required", ""), ""))))))))))))</f>
        <v/>
      </c>
      <c r="AB8" s="22">
        <f t="array" ref="AB8">_xlfn.MAP('12 - Beds'!B8:B507, '12 - Beds'!AB8:AB507,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IF(OR('12 - Beds'!AB$7 = "", '12 - Beds'!AB$7 = "N/A"), "3:Force Quantity Multiplier - Value is required", ""), ""))))))))))))</f>
        <v/>
      </c>
      <c r="AC8" s="22">
        <f t="array" ref="AC8">_xlfn.MAP('12 - Beds'!B8:B507, '12 - Beds'!AC8:AC507,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IF(OR('12 - Beds'!AC$7 = "", '12 - Beds'!AC$7 = "N/A"), "3:Display Set Quantity - Value is required", ""), ""))))))))))))</f>
        <v/>
      </c>
      <c r="AD8" s="22">
        <f t="array" ref="AD8">_xlfn.MAP('12 - Beds'!B8:B507, '12 - Beds'!AD8:AD507,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IF(OR('12 - Beds'!AD$7 = "", '12 - Beds'!AD$7 = "N/A"), "3:Product Weight - Value is required", ""), ""))))))))))</f>
        <v/>
      </c>
      <c r="AE8" s="22">
        <f t="array" ref="AE8">_xlfn.MAP('12 - Beds'!B8:B507, '12 - Beds'!AE8:AE507, '12 - Beds'!J8:J507, _xlfn.LAMBDA(_xlpm.part, _xlpm.val, _xlpm.dep1, IF(_xlpm.part = "", "", _xlfn.LET(_xlpm.check1, IF(AND(_xlpm.val = "", _xlpm.dep1 = "NON-PRIMARY VARIANT"), "2:Autofill", ""), IF(LEN(_xlpm.check1) &gt; 0, _xlpm.check1, IF(AND(_xlpm.val = "", AE$3="Required"), IF(OR('12 - Beds'!AE$7 = "", '12 - Beds'!AE$7 = "N/A"), "3:Ship Type - Value is required", ""), ""))))))</f>
        <v/>
      </c>
      <c r="AF8" s="22">
        <f t="array" ref="AF8">_xlfn.MAP('12 - Beds'!B8:B507, '12 - Beds'!AF8:AF507, '12 - Beds'!J8:J507, _xlfn.LAMBDA(_xlpm.part, _xlpm.val, _xlpm.dep1, IF(_xlpm.part = "", "", _xlfn.LET(_xlpm.check1, IF(AND(_xlpm.val = "", _xlpm.dep1 = "NON-PRIMARY VARIANT"), "2:Autofill", ""), IF(LEN(_xlpm.check1) &gt; 0, _xlpm.check1, IF(AND(_xlpm.val = "", AF$3="Required"), IF(OR('12 - Beds'!AF$7 = "", '12 - Beds'!AF$7 = "N/A"), "3:Freight Class - Value is required", ""), ""))))))</f>
        <v/>
      </c>
      <c r="AG8" s="22">
        <f t="array" ref="AG8">_xlfn.MAP('12 - Beds'!B8:B507, '12 - Beds'!AG8:AG507, '12 - Beds'!J8:J507, _xlfn.LAMBDA(_xlpm.part, _xlpm.val, _xlpm.dep1, IF(_xlpm.part = "", "", _xlfn.LET(_xlpm.check1, IF(AND(_xlpm.val = "", _xlpm.dep1 = "NON-PRIMARY VARIANT"), "2:Autofill", ""), IF(LEN(_xlpm.check1) &gt; 0, _xlpm.check1, IF(AND(_xlpm.val = "", AG$3="Required"), IF(OR('12 - Beds'!AG$7 = "", '12 - Beds'!AG$7 = "N/A"), "3:Lead Time - Value is required", ""), ""))))))</f>
        <v/>
      </c>
      <c r="AH8" s="22">
        <f t="array" ref="AH8">_xlfn.MAP('12 - Beds'!B8:B507, '12 - Beds'!AH8:AH507, '12 - Beds'!J8:J507, _xlfn.LAMBDA(_xlpm.part, _xlpm.val, _xlpm.dep1, IF(_xlpm.part = "", "", _xlfn.LET(_xlpm.check1, IF(AND(_xlpm.val = "", _xlpm.dep1 = "NON-PRIMARY VARIANT"), "2:Autofill", ""), IF(LEN(_xlpm.check1) &gt; 0, _xlpm.check1, IF(AND(_xlpm.val = "", AH$3="Required"), IF(OR('12 - Beds'!AH$7 = "", '12 - Beds'!AH$7 = "N/A"), "3:Replacement Lead Time - Value is required", ""), ""))))))</f>
        <v/>
      </c>
      <c r="AI8" s="22">
        <f t="array" ref="AI8">_xlfn.MAP('12 - Beds'!B8:B507, '12 - Beds'!AI8:AI507, '12 - Beds'!J8:J507,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IF(OR('12 - Beds'!AI$7 = "", '12 - Beds'!AI$7 = "N/A"), "3:National Motor Freight Class - Value is required", ""), ""))))))))</f>
        <v/>
      </c>
      <c r="AJ8" s="22">
        <f t="array" ref="AJ8">_xlfn.MAP('12 - Beds'!B8:B507, '12 - Beds'!AJ8:AJ507, '12 - Beds'!J8:J507, _xlfn.LAMBDA(_xlpm.part, _xlpm.val, _xlpm.dep1, IF(_xlpm.part = "", "", _xlfn.LET(_xlpm.check1, IF(AND(_xlpm.val = "", _xlpm.dep1 = "NON-PRIMARY VARIANT"), "2:Autofill", ""), IF(LEN(_xlpm.check1) &gt; 0, _xlpm.check1, IF(AND(_xlpm.val = "", AJ$3="Required"), IF(OR('12 - Beds'!AJ$7 = "", '12 - Beds'!AJ$7 = "N/A"), "3:Flat Pack - Value is required", ""), ""))))))</f>
        <v/>
      </c>
      <c r="AK8" s="22">
        <f t="array" ref="AK8">_xlfn.MAP('12 - Beds'!B8:B507, '12 - Beds'!AK8:AK507, '12 - Beds'!J8:J507, _xlfn.LAMBDA(_xlpm.part, _xlpm.val, _xlpm.dep1, IF(_xlpm.part = "", "", _xlfn.LET(_xlpm.check1, IF(AND(_xlpm.val = "", _xlpm.dep1 = "NON-PRIMARY VARIANT"), "2:Autofill", ""), IF(LEN(_xlpm.check1) &gt; 0, _xlpm.check1, IF(AND(_xlpm.val = "", AK$3="Required"), IF(OR('12 - Beds'!AK$7 = "", '12 - Beds'!AK$7 = "N/A"), "3:Ship Palletized - Value is required", ""), ""))))))</f>
        <v/>
      </c>
      <c r="AL8" s="22">
        <f t="array" ref="AL8">_xlfn.MAP('12 - Beds'!B8:B507, '12 - Beds'!AL8:AL507, '12 - Beds'!AM8:AM507, '12 - Beds'!AN8:AN507, '12 - Beds'!AO8:AO507,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IF(OR('12 - Beds'!AL$7 = "", '12 - Beds'!AL$7 = "N/A"), "3:Carton Weight - Value is required", ""), ""), IF(LEN(_xlpm.check3) &gt; 0, _xlpm.check3, _xlfn.LET(_xlpm.check4, IF(OR(_xlpm.dep1 &lt;&gt; "", _xlpm.dep2 &lt;&gt; "", _xlpm.dep3 &lt;&gt; ""), IF(_xlpm.val = "", IF(OR('12 - Beds'!AL$7 = "", '12 - Beds'!AL$7 = "N/A"), "3:Shipping weight is required", ""), ""), ""), IF(LEN(_xlpm.check4) &gt; 0, _xlpm.check4, IF(AND(_xlpm.dep3 = "", _xlpm.dep1 = "", _xlpm.dep2 = ""), IF(_xlpm.val = "", IF(OR('12 - Beds'!AL$7 = "", '12 - Beds'!AL$7 = "N/A"), "3:Shipping weight is required", ""), ""), ""))))))))))))</f>
        <v/>
      </c>
      <c r="AM8" s="22">
        <f t="array" ref="AM8">_xlfn.MAP('12 - Beds'!B8:B507, '12 - Beds'!AM8:AM507, '12 - Beds'!AL8:AL507, '12 - Beds'!AN8:AN507, '12 - Beds'!AO8:AO507,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IF(OR('12 - Beds'!AM$7 = "", '12 - Beds'!AM$7 = "N/A"), "3:Carton Height - Value is required", ""), ""), IF(LEN(_xlpm.check3) &gt; 0, _xlpm.check3, _xlfn.LET(_xlpm.check4, IF(OR(_xlpm.dep1 &lt;&gt; "", _xlpm.dep2 &lt;&gt; "", _xlpm.dep3 &lt;&gt; ""), IF(_xlpm.val = "", IF(OR('12 - Beds'!AM$7 = "", '12 - Beds'!AM$7 = "N/A"), "3:Carton height is required", ""), ""), ""), IF(LEN(_xlpm.check4) &gt; 0, _xlpm.check4, IF(AND(_xlpm.dep1 = "", _xlpm.dep3 = "", _xlpm.dep2 = ""), IF(_xlpm.val = "", IF(OR('12 - Beds'!AM$7 = "", '12 - Beds'!AM$7 = "N/A"), "3:Carton height is required", ""), ""), ""))))))))))))</f>
        <v/>
      </c>
      <c r="AN8" s="22">
        <f t="array" ref="AN8">_xlfn.MAP('12 - Beds'!B8:B507, '12 - Beds'!AN8:AN507, '12 - Beds'!AL8:AL507, '12 - Beds'!AM8:AM507, '12 - Beds'!AO8:AO507,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IF(OR('12 - Beds'!AN$7 = "", '12 - Beds'!AN$7 = "N/A"), "3:Carton Width - Value is required", ""), ""), IF(LEN(_xlpm.check3) &gt; 0, _xlpm.check3, _xlfn.LET(_xlpm.check4, IF(OR(_xlpm.dep1 &lt;&gt; "", _xlpm.dep2 &lt;&gt; "", _xlpm.dep3 &lt;&gt; ""), IF(_xlpm.val = "", IF(OR('12 - Beds'!AN$7 = "", '12 - Beds'!AN$7 = "N/A"), "3:Carton width is required", ""), ""), ""), IF(LEN(_xlpm.check4) &gt; 0, _xlpm.check4, IF(AND(_xlpm.dep1 = "", _xlpm.dep2 = "", _xlpm.dep3 = ""), IF(_xlpm.val = "", IF(OR('12 - Beds'!AN$7 = "", '12 - Beds'!AN$7 = "N/A"), "3:Carton width is required", ""), ""), ""))))))))))))</f>
        <v/>
      </c>
      <c r="AO8" s="22">
        <f t="array" ref="AO8">_xlfn.MAP('12 - Beds'!B8:B507, '12 - Beds'!AO8:AO507, '12 - Beds'!AL8:AL507, '12 - Beds'!AM8:AM507, '12 - Beds'!AN8:AN507,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IF(OR('12 - Beds'!AO$7 = "", '12 - Beds'!AO$7 = "N/A"), "3:Carton Depth - Value is required", ""), ""), IF(LEN(_xlpm.check3) &gt; 0, _xlpm.check3, _xlfn.LET(_xlpm.check4, IF(OR(_xlpm.dep1 &lt;&gt; "", _xlpm.dep2 &lt;&gt; "", _xlpm.dep3 &lt;&gt; ""), IF(_xlpm.val = "", IF(OR('12 - Beds'!AO$7 = "", '12 - Beds'!AO$7 = "N/A"), "3:Carton depth is required", ""), ""), ""), IF(LEN(_xlpm.check4) &gt; 0, _xlpm.check4, IF(AND(_xlpm.dep1 = "", _xlpm.dep2 = "", _xlpm.dep3 = ""), IF(_xlpm.val = "", IF(OR('12 - Beds'!AO$7 = "", '12 - Beds'!AO$7 = "N/A"), "3:Carton depth is required", ""), ""), ""))))))))))))</f>
        <v/>
      </c>
      <c r="AP8" s="22">
        <f t="array" ref="AP8">_xlfn.MAP('12 - Beds'!B8:B507, '12 - Beds'!AP8:AP507, _xlfn.LAMBDA(_xlpm.part, _xlpm.val, IF(_xlpm.part = "", "", IF(AND(_xlpm.val = "", AP$3="Required"), IF(OR('12 - Beds'!AP$7 = "", '12 - Beds'!AP$7 = "N/A"), "3:Warning Required - Value is required", ""), ""))))</f>
        <v/>
      </c>
      <c r="AQ8" s="22">
        <f t="array" ref="AQ8">_xlfn.MAP('12 - Beds'!B8:B507, '12 - Beds'!AQ8:AQ507, '12 - Beds'!AR8:AR507, '12 - Beds'!AP8:AP507, _xlfn.LAMBDA(_xlpm.part, _xlpm.val, _xlpm.dep1, _xlpm.dep2, IF(_xlpm.part = "", "", _xlfn.LET(_xlpm.check1, IF(AND(_xlpm.val = "", AQ$3="Required"), IF(OR('12 - Beds'!AQ$7 = "", '12 - Beds'!AQ$7 = "N/A"), "3:Chemical - Value is required", ""), ""), IF(LEN(_xlpm.check1) &gt; 0, _xlpm.check1, _xlfn.LET(_xlpm.check2, IF(_xlpm.dep1 &lt;&gt; "", IF(_xlpm.val = "", IF(OR('12 - Beds'!AQ$7 = "", '12 - Beds'!AQ$7 = "N/A"), "3:Please provide a chemical", ""), ""), ""), IF(LEN(_xlpm.check2) &gt; 0, _xlpm.check2, IF(_xlpm.dep2 = "Yes", IF(_xlpm.val = "", IF(OR('12 - Beds'!AQ$7 = "", '12 - Beds'!AQ$7 = "N/A"), "3:If a warning is required, then a chemical must also be provided", ""), ""), ""))))))))</f>
        <v/>
      </c>
      <c r="AR8" s="22">
        <f t="array" ref="AR8">_xlfn.MAP('12 - Beds'!B8:B507, '12 - Beds'!AR8:AR507, '12 - Beds'!AQ8:AQ507, '12 - Beds'!AP8:AP507,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IF(OR('12 - Beds'!AR$7 = "", '12 - Beds'!AR$7 = "N/A"), "3:Toxicity - Value is required", ""), ""), IF(LEN(_xlpm.check2) &gt; 0, _xlpm.check2, _xlfn.LET(_xlpm.check3, IF(_xlpm.dep1 &lt;&gt; "", IF(_xlpm.val = "", IF(OR('12 - Beds'!AR$7 = "", '12 - Beds'!AR$7 = "N/A"), "3:Please select a toxicity from the provided dropdown", ""), ""), ""), IF(LEN(_xlpm.check3) &gt; 0, _xlpm.check3, IF(_xlpm.dep2 = "Yes", IF(_xlpm.val = "", IF(OR('12 - Beds'!AR$7 = "", '12 - Beds'!AR$7 = "N/A"), "3:If a warning is required, then a chemical must also be provided", ""), ""), ""))))))))))</f>
        <v/>
      </c>
      <c r="AS8" s="22">
        <f t="array" ref="AS8">_xlfn.MAP('12 - Beds'!B8:B507, '12 - Beds'!AS8:AS507, '12 - Beds'!J8:J507, _xlfn.LAMBDA(_xlpm.part, _xlpm.val, _xlpm.dep1, IF(_xlpm.part = "", "", _xlfn.LET(_xlpm.check1, IF(AND(_xlpm.val = "", _xlpm.dep1 = "NON-PRIMARY VARIANT"), "2:Autofill", ""), IF(LEN(_xlpm.check1) &gt; 0, _xlpm.check1, IF(AND(_xlpm.val = "", AS$3="Required"), IF(OR('12 - Beds'!AS$7 = "", '12 - Beds'!AS$7 = "N/A"), "3:Country Of Manufacturer - Value is required", ""), ""))))))</f>
        <v/>
      </c>
      <c r="AT8" s="22">
        <f t="array" ref="AT8">_xlfn.MAP('12 - Beds'!B8:B507, '12 - Beds'!AT8:AT507, _xlfn.LAMBDA(_xlpm.part, _xlpm.val, IF(_xlpm.part = "", "", IF(AND(_xlpm.val = "", AT$3="Required"), IF(OR('12 - Beds'!AT$7 = "", '12 - Beds'!AT$7 = "N/A"), "3:Image File Name or URL - Value is required", ""), ""))))</f>
        <v/>
      </c>
      <c r="AU8" s="22">
        <f t="array" ref="AU8">_xlfn.MAP('12 - Beds'!B8:B507, '12 - Beds'!AU8:AU507, _xlfn.LAMBDA(_xlpm.part, _xlpm.val, IF(_xlpm.part = "", "", IF(AND(_xlpm.val = "", AU$3="Required"), IF(OR('12 - Beds'!AU$7 = "", '12 - Beds'!AU$7 = "N/A"), "3:Image File Name or URL - Value is required", ""), ""))))</f>
        <v/>
      </c>
      <c r="AV8" s="22">
        <f t="array" ref="AV8">_xlfn.MAP('12 - Beds'!B8:B507, '12 - Beds'!AV8:AV507, _xlfn.LAMBDA(_xlpm.part, _xlpm.val, IF(_xlpm.part = "", "", IF(AND(_xlpm.val = "", AV$3="Required"), IF(OR('12 - Beds'!AV$7 = "", '12 - Beds'!AV$7 = "N/A"), "3:Image File Name or URL - Value is required", ""), ""))))</f>
        <v/>
      </c>
      <c r="AW8" s="22">
        <f t="array" ref="AW8">_xlfn.MAP('12 - Beds'!B8:B507, '12 - Beds'!AW8:AW507, _xlfn.LAMBDA(_xlpm.part, _xlpm.val, IF(_xlpm.part = "", "", IF(AND(_xlpm.val = "", AW$3="Required"), IF(OR('12 - Beds'!AW$7 = "", '12 - Beds'!AW$7 = "N/A"), "3:Image File Name or URL - Value is required", ""), ""))))</f>
        <v/>
      </c>
      <c r="AX8" s="22">
        <f t="array" ref="AX8">_xlfn.MAP('12 - Beds'!B8:B507, '12 - Beds'!AX8:AX507, _xlfn.LAMBDA(_xlpm.part, _xlpm.val, IF(_xlpm.part = "", "", IF(AND(_xlpm.val = "", AX$3="Required"), IF(OR('12 - Beds'!AX$7 = "", '12 - Beds'!AX$7 = "N/A"), "3:Image File Name or URL - Value is required", ""), ""))))</f>
        <v/>
      </c>
      <c r="AY8" s="22">
        <f t="array" ref="AY8">_xlfn.MAP('12 - Beds'!B8:B507, '12 - Beds'!AY8:AY507, _xlfn.LAMBDA(_xlpm.part, _xlpm.val, IF(_xlpm.part = "", "", IF(AND(_xlpm.val = "", AY$3="Required"), IF(OR('12 - Beds'!AY$7 = "", '12 - Beds'!AY$7 = "N/A"), "3:Video File Name or URL - Value is required", ""), ""))))</f>
        <v/>
      </c>
      <c r="AZ8" s="22">
        <f t="array" ref="AZ8">_xlfn.MAP('12 - Beds'!B8:B507, '12 - Beds'!AZ8:AZ507, '12 - Beds'!BA8:BA507, '12 - Beds'!BB8:BB507, '12 - Beds'!BC8:BC507, '12 - Beds'!BD8:BD507, _xlfn.LAMBDA(_xlpm.part, _xlpm.val, _xlpm.dep1, _xlpm.dep2, _xlpm.dep3, _xlpm.dep4, IF(_xlpm.part = "", "", _xlfn.LET(_xlpm.check1, IF(AND(_xlpm.val = "", AZ$3="Required"), IF(OR('12 - Beds'!AZ$7 = "", '12 - Beds'!AZ$7 = "N/A"), "3:Document File Name or URL - Value is required", ""), ""), IF(LEN(_xlpm.check1) &gt; 0, _xlpm.check1, IF(OR(_xlpm.dep1 &lt;&gt; "", _xlpm.dep2 &lt;&gt; "", _xlpm.dep3 &lt;&gt; "", _xlpm.dep4 &lt;&gt; ""), IF(_xlpm.val = "", IF(OR('12 - Beds'!AZ$7 = "", '12 - Beds'!AZ$7 = "N/A"), "3:Document value is required", ""), ""), ""))))))</f>
        <v/>
      </c>
      <c r="BA8" s="22">
        <f t="array" ref="BA8">_xlfn.MAP('12 - Beds'!B8:B507, '12 - Beds'!BA8:BA507,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IF(OR('12 - Beds'!BA$7 = "", '12 - Beds'!BA$7 = "N/A"), "3:Document Type - Value is required", ""), ""))))))</f>
        <v/>
      </c>
      <c r="BB8" s="22">
        <f t="array" ref="BB8">_xlfn.MAP('12 - Beds'!B8:B507, '12 - Beds'!BB8:BB507,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IF(OR('12 - Beds'!BB$7 = "", '12 - Beds'!BB$7 = "N/A"), "3:Legal Document Type - Value is required", ""), ""))))))</f>
        <v/>
      </c>
      <c r="BC8" s="22">
        <f t="array" ref="BC8">_xlfn.MAP('12 - Beds'!B8:B507, '12 - Beds'!BC8:BC507, _xlfn.LAMBDA(_xlpm.part, _xlpm.val, IF(_xlpm.part = "", "", IF(AND(_xlpm.val = "", BC$3="Required"), IF(OR('12 - Beds'!BC$7 = "", '12 - Beds'!BC$7 = "N/A"), "3:Document Region - Value is required", ""), ""))))</f>
        <v/>
      </c>
      <c r="BD8" s="22">
        <f t="array" ref="BD8">_xlfn.MAP('12 - Beds'!B8:B507, '12 - Beds'!BD8:BD507, _xlfn.LAMBDA(_xlpm.part, _xlpm.val, IF(_xlpm.part = "", "", IF(AND(_xlpm.val = "", BD$3="Required"), IF(OR('12 - Beds'!BD$7 = "", '12 - Beds'!BD$7 = "N/A"), "3:Document Language - Value is required", ""), ""))))</f>
        <v/>
      </c>
      <c r="BE8" s="22">
        <f t="array" ref="BE8">_xlfn.MAP('12 - Beds'!B8:B507, '12 - Beds'!BE8:BE507, '12 - Beds'!BF8:BF507, '12 - Beds'!BG8:BG507, '12 - Beds'!BH8:BH507, '12 - Beds'!BI8:BI507, _xlfn.LAMBDA(_xlpm.part, _xlpm.val, _xlpm.dep1, _xlpm.dep2, _xlpm.dep3, _xlpm.dep4, IF(_xlpm.part = "", "", _xlfn.LET(_xlpm.check1, IF(AND(_xlpm.val = "", BE$3="Required"), IF(OR('12 - Beds'!BE$7 = "", '12 - Beds'!BE$7 = "N/A"), "3:Document File Name or URL - Value is required", ""), ""), IF(LEN(_xlpm.check1) &gt; 0, _xlpm.check1, IF(OR(_xlpm.dep1 &lt;&gt; "", _xlpm.dep2 &lt;&gt; "", _xlpm.dep3 &lt;&gt; "", _xlpm.dep4 &lt;&gt; ""), IF(_xlpm.val = "", IF(OR('12 - Beds'!BE$7 = "", '12 - Beds'!BE$7 = "N/A"), "3:Document value is required", ""), ""), ""))))))</f>
        <v/>
      </c>
      <c r="BF8" s="22">
        <f t="array" ref="BF8">_xlfn.MAP('12 - Beds'!B8:B507, '12 - Beds'!BF8:BF507,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IF(OR('12 - Beds'!BF$7 = "", '12 - Beds'!BF$7 = "N/A"), "3:Document Type - Value is required", ""), ""))))))</f>
        <v/>
      </c>
      <c r="BG8" s="22">
        <f t="array" ref="BG8">_xlfn.MAP('12 - Beds'!B8:B507, '12 - Beds'!BG8:BG507,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IF(OR('12 - Beds'!BG$7 = "", '12 - Beds'!BG$7 = "N/A"), "3:Legal Document Type - Value is required", ""), ""))))))</f>
        <v/>
      </c>
      <c r="BH8" s="22">
        <f t="array" ref="BH8">_xlfn.MAP('12 - Beds'!B8:B507, '12 - Beds'!BH8:BH507, _xlfn.LAMBDA(_xlpm.part, _xlpm.val, IF(_xlpm.part = "", "", IF(AND(_xlpm.val = "", BH$3="Required"), IF(OR('12 - Beds'!BH$7 = "", '12 - Beds'!BH$7 = "N/A"), "3:Document Region - Value is required", ""), ""))))</f>
        <v/>
      </c>
      <c r="BI8" s="22">
        <f t="array" ref="BI8">_xlfn.MAP('12 - Beds'!B8:B507, '12 - Beds'!BI8:BI507, _xlfn.LAMBDA(_xlpm.part, _xlpm.val, IF(_xlpm.part = "", "", IF(AND(_xlpm.val = "", BI$3="Required"), IF(OR('12 - Beds'!BI$7 = "", '12 - Beds'!BI$7 = "N/A"), "3:Document Language - Value is required", ""), ""))))</f>
        <v/>
      </c>
      <c r="BJ8" s="22">
        <f t="array" ref="BJ8">_xlfn.MAP('12 - Beds'!B8:B507, '12 - Beds'!BJ8:BJ507, '12 - Beds'!BK8:BK507, '12 - Beds'!BL8:BL507, '12 - Beds'!BM8:BM507, '12 - Beds'!BN8:BN507, _xlfn.LAMBDA(_xlpm.part, _xlpm.val, _xlpm.dep1, _xlpm.dep2, _xlpm.dep3, _xlpm.dep4, IF(_xlpm.part = "", "", _xlfn.LET(_xlpm.check1, IF(AND(_xlpm.val = "", BJ$3="Required"), IF(OR('12 - Beds'!BJ$7 = "", '12 - Beds'!BJ$7 = "N/A"), "3:Document File Name or URL - Value is required", ""), ""), IF(LEN(_xlpm.check1) &gt; 0, _xlpm.check1, IF(OR(_xlpm.dep1 &lt;&gt; "", _xlpm.dep2 &lt;&gt; "", _xlpm.dep3 &lt;&gt; "", _xlpm.dep4 &lt;&gt; ""), IF(_xlpm.val = "", IF(OR('12 - Beds'!BJ$7 = "", '12 - Beds'!BJ$7 = "N/A"), "3:Document value is required", ""), ""), ""))))))</f>
        <v/>
      </c>
      <c r="BK8" s="22">
        <f t="array" ref="BK8">_xlfn.MAP('12 - Beds'!B8:B507, '12 - Beds'!BK8:BK507,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IF(OR('12 - Beds'!BK$7 = "", '12 - Beds'!BK$7 = "N/A"), "3:Document Type - Value is required", ""), ""))))))</f>
        <v/>
      </c>
      <c r="BL8" s="22">
        <f t="array" ref="BL8">_xlfn.MAP('12 - Beds'!B8:B507, '12 - Beds'!BL8:BL507,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IF(OR('12 - Beds'!BL$7 = "", '12 - Beds'!BL$7 = "N/A"), "3:Legal Document Type - Value is required", ""), ""))))))</f>
        <v/>
      </c>
      <c r="BM8" s="22">
        <f t="array" ref="BM8">_xlfn.MAP('12 - Beds'!B8:B507, '12 - Beds'!BM8:BM507, _xlfn.LAMBDA(_xlpm.part, _xlpm.val, IF(_xlpm.part = "", "", IF(AND(_xlpm.val = "", BM$3="Required"), IF(OR('12 - Beds'!BM$7 = "", '12 - Beds'!BM$7 = "N/A"), "3:Document Region - Value is required", ""), ""))))</f>
        <v/>
      </c>
      <c r="BN8" s="22">
        <f t="array" ref="BN8">_xlfn.MAP('12 - Beds'!B8:B507, '12 - Beds'!BN8:BN507, _xlfn.LAMBDA(_xlpm.part, _xlpm.val, IF(_xlpm.part = "", "", IF(AND(_xlpm.val = "", BN$3="Required"), IF(OR('12 - Beds'!BN$7 = "", '12 - Beds'!BN$7 = "N/A"), "3:Document Language - Value is required", ""), ""))))</f>
        <v/>
      </c>
      <c r="BO8" s="22">
        <f t="array" ref="BO8">_xlfn.MAP('12 - Beds'!B8:B507, '12 - Beds'!BO8:BO507, _xlfn.LAMBDA(_xlpm.part, _xlpm.val, IF(_xlpm.part = "", "", IF(AND(_xlpm.val = "", BO$3="Required"), IF(OR('12 - Beds'!BO$7 = "", '12 - Beds'!BO$7 = "N/A"), "3:Mattress Size - Value is required", ""), ""))))</f>
        <v/>
      </c>
      <c r="BP8" s="22">
        <f t="array" ref="BP8">_xlfn.MAP('12 - Beds'!B8:B507, '12 - Beds'!BP8:BP507, _xlfn.LAMBDA(_xlpm.part, _xlpm.val, IF(_xlpm.part = "", "", IF(AND(_xlpm.val = "", BP$3="Required"), IF(OR('12 - Beds'!BP$7 = "", '12 - Beds'!BP$7 = "N/A"), "3:Color - Value is required", ""), ""))))</f>
        <v/>
      </c>
      <c r="BQ8" s="22">
        <f t="array" ref="BQ8">_xlfn.MAP('12 - Beds'!B8:B507, '12 - Beds'!BQ8:BQ507, _xlfn.LAMBDA(_xlpm.part, _xlpm.val, IF(_xlpm.part = "", "", IF(AND(_xlpm.val = "", BQ$3="Required"), IF(OR('12 - Beds'!BQ$7 = "", '12 - Beds'!BQ$7 = "N/A"), "3:Bed Design - Value is required", ""), ""))))</f>
        <v/>
      </c>
      <c r="BR8" s="22">
        <f t="array" ref="BR8">_xlfn.MAP('12 - Beds'!B8:B507, '12 - Beds'!BR8:BR507, _xlfn.LAMBDA(_xlpm.part, _xlpm.val, IF(_xlpm.part = "", "", IF(AND(_xlpm.val = "", BR$3="Required"), IF(OR('12 - Beds'!BR$7 = "", '12 - Beds'!BR$7 = "N/A"), "3:Bed Frame Material - Value is required", ""), ""))))</f>
        <v/>
      </c>
      <c r="BS8" s="22">
        <f t="array" ref="BS8">_xlfn.MAP('12 - Beds'!B8:B507, '12 - Beds'!BS8:BS507, '12 - Beds'!BR8:BR507, _xlfn.LAMBDA(_xlpm.part, _xlpm.val, _xlpm.dep1, IF(_xlpm.part = "", "", _xlfn.LET(_xlpm.check1, IF(AND(_xlpm.val = "", OR(OR(ISNUMBER(SEARCH("Solid + Manufactured Wood", _xlpm.dep1)), ISNUMBER(SEARCH("Manufactured Wood", _xlpm.dep1)), ISNUMBER(SEARCH("Solid Wood", _xlpm.dep1))), AND(NOT(OR(ISNUMBER(SEARCH("Solid + Manufactured Wood", _xlpm.dep1)), ISNUMBER(SEARCH("Manufactured Wood", _xlpm.dep1)), ISNUMBER(SEARCH("Solid Wood", _xlpm.dep1)))), _xlpm.dep1 &lt;&gt; ""))), "2:Autofill", ""), IF(LEN(_xlpm.check1) &gt; 0, _xlpm.check1, IF(AND(_xlpm.val = "", BS$3="Required"), IF(OR('12 - Beds'!BS$7 = "", '12 - Beds'!BS$7 = "N/A"), "3:Wooden Components - Value is required", ""), ""))))))</f>
        <v/>
      </c>
      <c r="BT8" s="22">
        <f t="array" ref="BT8">_xlfn.MAP('12 - Beds'!B8:B507, '12 - Beds'!BT8:BT507, _xlfn.LAMBDA(_xlpm.part, _xlpm.val, IF(_xlpm.part = "", "", IF(AND(_xlpm.val = "", BT$3="Required"), IF(OR('12 - Beds'!BT$7 = "", '12 - Beds'!BT$7 = "N/A"), "3:Upholstered - Value is required", ""), ""))))</f>
        <v/>
      </c>
      <c r="BU8" s="22">
        <f t="array" ref="BU8">_xlfn.MAP('12 - Beds'!B8:B507, '12 - Beds'!BU8:BU507, '12 - Beds'!BT8:BT507, _xlfn.LAMBDA(_xlpm.part, _xlpm.val, _xlpm.dep1, IF(_xlpm.part = "", "", _xlfn.LET(_xlpm.check1, IF(AND(_xlpm.val = "", _xlpm.dep1 = "No"), "2:Autofill", ""), IF(LEN(_xlpm.check1) &gt; 0, _xlpm.check1, IF(AND(_xlpm.val = "", BU$3="Required"), IF(OR('12 - Beds'!BU$7 = "", '12 - Beds'!BU$7 = "N/A"), "3:Upholstery Material - Value is required", ""), ""))))))</f>
        <v/>
      </c>
      <c r="BV8" s="22">
        <f t="array" ref="BV8">_xlfn.MAP('12 - Beds'!B8:B507, '12 - Beds'!BV8:BV507, '12 - Beds'!BT8:BT507, '12 - Beds'!BU8:BU507, _xlfn.LAMBDA(_xlpm.part, _xlpm.val, _xlpm.dep1, _xlpm.dep2, IF(_xlpm.part = "", "", _xlfn.LET(_xlpm.check1, IF(AND(_xlpm.val = "", OR(_xlpm.dep1 = "No", AND(NOT(OR(ISNUMBER(SEARCH("Faux Leather", _xlpm.dep2)), ISNUMBER(SEARCH("Leather Match", _xlpm.dep2)))), _xlpm.dep2 &lt;&gt; ""))), "2:Autofill", ""), IF(LEN(_xlpm.check1) &gt; 0, _xlpm.check1, _xlfn.LET(_xlpm.check2, IF(_xlpm.dep1 = "No", IF(_xlpm.val &lt;&gt; "Does Not Apply", "1:Based on Upholstered, value should be Does Not Apply", ""), ""), IF(LEN(_xlpm.check2) &gt; 0, _xlpm.check2, _xlfn.LET(_xlpm.check3, IF(AND(NOT(OR(ISNUMBER(SEARCH("Faux Leather", _xlpm.dep2)), ISNUMBER(SEARCH("Leather Match", _xlpm.dep2)))), _xlpm.dep2 &lt;&gt; ""), IF(_xlpm.val &lt;&gt; "Does Not Apply", "1:Based on Upholstery Material, value should be Does Not Apply", ""), ""), IF(LEN(_xlpm.check3) &gt; 0, _xlpm.check3, IF(AND(_xlpm.val = "", BV$3="Required"), IF(OR('12 - Beds'!BV$7 = "", '12 - Beds'!BV$7 = "N/A"), "3:Faux Leather Type - Value is required", ""), ""))))))))))</f>
        <v/>
      </c>
      <c r="BW8" s="22">
        <f t="array" ref="BW8">_xlfn.MAP('12 - Beds'!B8:B507, '12 - Beds'!BW8:BW507, _xlfn.LAMBDA(_xlpm.part, _xlpm.val, IF(_xlpm.part = "", "", IF(AND(_xlpm.val = "", BW$3="Required"), IF(OR('12 - Beds'!BW$7 = "", '12 - Beds'!BW$7 = "N/A"), "3:Box Spring Required - Value is required", ""), ""))))</f>
        <v/>
      </c>
      <c r="BX8" s="22">
        <f t="array" ref="BX8">_xlfn.MAP('12 - Beds'!B8:B507, '12 - Beds'!BX8:BX507, _xlfn.LAMBDA(_xlpm.part, _xlpm.val, IF(_xlpm.part = "", "", IF(AND(_xlpm.val = "", BX$3="Required"), IF(OR('12 - Beds'!BX$7 = "", '12 - Beds'!BX$7 = "N/A"), "3:Slat Material - Value is required", ""), ""))))</f>
        <v/>
      </c>
      <c r="BY8" s="22">
        <f t="array" ref="BY8">_xlfn.MAP('12 - Beds'!B8:B507, '12 - Beds'!BY8:BY507, _xlfn.LAMBDA(_xlpm.part, _xlpm.val, IF(_xlpm.part = "", "", IF(AND(_xlpm.val = "", BY$3="Required"), IF(OR('12 - Beds'!BY$7 = "", '12 - Beds'!BY$7 = "N/A"), "3:Center Support Legs - Value is required", ""), ""))))</f>
        <v/>
      </c>
      <c r="BZ8" s="22">
        <f t="array" ref="BZ8">_xlfn.MAP('12 - Beds'!B8:B507, '12 - Beds'!BZ8:BZ507, _xlfn.LAMBDA(_xlpm.part, _xlpm.val, IF(_xlpm.part = "", "", IF(AND(_xlpm.val = "", BZ$3="Required"), IF(OR('12 - Beds'!BZ$7 = "", '12 - Beds'!BZ$7 = "N/A"), "3:Weight Capacity - Value is required", ""), ""))))</f>
        <v/>
      </c>
      <c r="CA8" s="22">
        <f t="array" ref="CA8">_xlfn.MAP('12 - Beds'!B8:B507, '12 - Beds'!CA8:CA507, _xlfn.LAMBDA(_xlpm.part, _xlpm.val, IF(_xlpm.part = "", "", IF(AND(_xlpm.val = "", CA$3="Required"), IF(OR('12 - Beds'!CA$7 = "", '12 - Beds'!CA$7 = "N/A"), "3:Footboard Included - Value is required", ""), ""))))</f>
        <v/>
      </c>
      <c r="CB8" s="22">
        <f t="array" ref="CB8">_xlfn.MAP('12 - Beds'!B8:B507, '12 - Beds'!CB8:CB507, _xlfn.LAMBDA(_xlpm.part, _xlpm.val, IF(_xlpm.part = "", "", IF(AND(_xlpm.val = "", CB$3="Required"), IF(OR('12 - Beds'!CB$7 = "", '12 - Beds'!CB$7 = "N/A"), "3:Type of Storage Included - Value is required", ""), ""))))</f>
        <v/>
      </c>
      <c r="CC8" s="22">
        <f t="array" ref="CC8">_xlfn.MAP('12 - Beds'!B8:B507, '12 - Beds'!CC8:CC507, '12 - Beds'!CB8:CB507, _xlfn.LAMBDA(_xlpm.part, _xlpm.val, _xlpm.dep1, IF(_xlpm.part = "", "", _xlfn.LET(_xlpm.check1, IF(AND(_xlpm.val = "", OR(ISNUMBER(SEARCH("Drawers", _xlpm.dep1)), _xlpm.dep1 = "No Storage Included", AND(NOT(ISNUMBER(SEARCH("Drawers", _xlpm.dep1))), _xlpm.dep1 &lt;&gt; ""))), "2:Autofill", ""), IF(LEN(_xlpm.check1) &gt; 0, _xlpm.check1, IF(AND(_xlpm.val = "", CC$3="Required"), IF(OR('12 - Beds'!CC$7 = "", '12 - Beds'!CC$7 = "N/A"), "3:Drawers Included - Value is required", ""), ""))))))</f>
        <v/>
      </c>
      <c r="CD8" s="22">
        <f t="array" ref="CD8">_xlfn.MAP('12 - Beds'!B8:B507, '12 - Beds'!CD8:CD507, _xlfn.LAMBDA(_xlpm.part, _xlpm.val, IF(_xlpm.part = "", "", IF(AND(_xlpm.val = "", CD$3="Required"), IF(OR('12 - Beds'!CD$7 = "", '12 - Beds'!CD$7 = "N/A"), "3:Compatible with Adjustable Bed Base - Value is required", ""), ""))))</f>
        <v/>
      </c>
      <c r="CE8" s="22">
        <f t="array" ref="CE8">_xlfn.MAP('12 - Beds'!B8:B507, '12 - Beds'!CE8:CE507, _xlfn.LAMBDA(_xlpm.part, _xlpm.val, IF(_xlpm.part = "", "", IF(AND(_xlpm.val = "", CE$3="Required"), IF(OR('12 - Beds'!CE$7 = "", '12 - Beds'!CE$7 = "N/A"), "3:Plug-In - Value is required", ""), ""))))</f>
        <v/>
      </c>
      <c r="CF8" s="22">
        <f t="array" ref="CF8">_xlfn.MAP('12 - Beds'!B8:B507, '12 - Beds'!CF8:CF507, _xlfn.LAMBDA(_xlpm.part, _xlpm.val, IF(_xlpm.part = "", "", IF(AND(_xlpm.val = "", CF$3="Required"), IF(OR('12 - Beds'!CF$7 = "", '12 - Beds'!CF$7 = "N/A"), "3:Natural Variation Type - Value is required", ""), ""))))</f>
        <v/>
      </c>
      <c r="CG8" s="22">
        <f t="array" ref="CG8">_xlfn.MAP('12 - Beds'!B8:B507, '12 - Beds'!CG8:CG507, _xlfn.LAMBDA(_xlpm.part, _xlpm.val, IF(_xlpm.part = "", "", IF(AND(_xlpm.val = "", CG$3="Required"), IF(OR('12 - Beds'!CG$7 = "", '12 - Beds'!CG$7 = "N/A"), "3:Purposeful Distressing Type - Value is required", ""), ""))))</f>
        <v/>
      </c>
      <c r="CH8" s="22">
        <f t="array" ref="CH8">_xlfn.MAP('12 - Beds'!B8:B507, '12 - Beds'!CH8:CH507, _xlfn.LAMBDA(_xlpm.part, _xlpm.val, IF(_xlpm.part = "", "", _xlfn.LET(_xlpm.check1, IF(NOT(ISBLANK(_xlpm.val)),_xlfn.LET(_xlpm.items, _xlfn.TEXTSPLIT(_xlpm.val, ";"),_xlpm.trimmed, _xlfn.MAP(_xlpm.items, _xlfn.LAMBDA(_xlpm.x, TRIM(_xlpm.x))),_xlpm.invalid, _xlfn._xlws.FILTER(_xlpm.trimmed, ISNA(MATCH(_xlpm.trimmed, allowed223513, 0)), ""),IF(AND(_xlpm.invalid&lt;&gt;"", COUNTA(_xlpm.invalid)&gt;0),"1:Please select valid values from the provided list. Answers are case-sensitive and must be separated by a semicolon.","")), ""), IF(LEN(_xlpm.check1) &gt; 0, _xlpm.check1, IF(AND(_xlpm.val = "", CH$3="Required"), IF(OR('12 - Beds'!CH$7 = "", '12 - Beds'!CH$7 = "N/A"), "3:Supplier Intended and Approved Use - Value is required", ""), ""))))))</f>
        <v/>
      </c>
      <c r="CI8" s="22">
        <f t="array" ref="CI8">_xlfn.MAP('12 - Beds'!B8:B507, '12 - Beds'!CI8:CI507, _xlfn.LAMBDA(_xlpm.part, _xlpm.val, IF(_xlpm.part = "", "", IF(AND(_xlpm.val = "", CI$3="Required"), IF(OR('12 - Beds'!CI$7 = "", '12 - Beds'!CI$7 = "N/A"), "3:Country of Origin - Additional Details - Value is required", ""), ""))))</f>
        <v/>
      </c>
      <c r="CJ8" s="22">
        <f t="array" ref="CJ8">_xlfn.MAP('12 - Beds'!B8:B507, '12 - Beds'!CJ8:CJ507, '12 - Beds'!BR8:BR507, _xlfn.LAMBDA(_xlpm.part, _xlpm.val, _xlpm.dep1, IF(_xlpm.part = "", "", _xlfn.LET(_xlpm.check1, IF(AND(_xlpm.val = "", OR(OR(ISNUMBER(SEARCH("Solid + Manufactured Wood", _xlpm.dep1)), ISNUMBER(SEARCH("Manufactured Wood", _xlpm.dep1)), ISNUMBER(SEARCH("Solid Wood", _xlpm.dep1))), AND(NOT(OR(ISNUMBER(SEARCH("Solid + Manufactured Wood", _xlpm.dep1)), ISNUMBER(SEARCH("Manufactured Wood", _xlpm.dep1)), ISNUMBER(SEARCH("Solid Wood", _xlpm.dep1)))), _xlpm.dep1 &lt;&gt; ""))), "2:Autofill", ""), IF(LEN(_xlpm.check1) &gt; 0, _xlpm.check1, IF(AND(_xlpm.val = "", CJ$3="Required"), IF(OR('12 - Beds'!CJ$7 = "", '12 - Beds'!CJ$7 = "N/A"), "3:Main Wood Joinery Method - Value is required", ""), ""))))))</f>
        <v/>
      </c>
      <c r="CK8" s="22">
        <f t="array" ref="CK8">_xlfn.MAP('12 - Beds'!B8:B507, '12 - Beds'!CK8:CK507, _xlfn.LAMBDA(_xlpm.part, _xlpm.val, IF(_xlpm.part = "", "", IF(AND(_xlpm.val = "", CK$3="Required"), IF(OR('12 - Beds'!CK$7 = "", '12 - Beds'!CK$7 = "N/A"), "3:Kiln-Dried Wood - Value is required", ""), ""))))</f>
        <v/>
      </c>
      <c r="CL8" s="22">
        <f t="array" ref="CL8">_xlfn.MAP('12 - Beds'!B8:B507, '12 - Beds'!CL8:CL507, _xlfn.LAMBDA(_xlpm.part, _xlpm.val, IF(_xlpm.part = "", "", IF(AND(_xlpm.val = "", CL$3="Required"), IF(OR('12 - Beds'!CL$7 = "", '12 - Beds'!CL$7 = "N/A"), "3:Wood Species - Value is required", ""), ""))))</f>
        <v/>
      </c>
      <c r="CM8" s="22">
        <f t="array" ref="CM8">_xlfn.MAP('12 - Beds'!B8:B507, '12 - Beds'!CM8:CM507, _xlfn.LAMBDA(_xlpm.part, _xlpm.val, IF(_xlpm.part = "", "", _xlfn.LET(_xlpm.check1, IF(NOT(ISBLANK(_xlpm.val)),_xlfn.LET(_xlpm.items, _xlfn.TEXTSPLIT(_xlpm.val, ";"),_xlpm.trimmed, _xlfn.MAP(_xlpm.items, _xlfn.LAMBDA(_xlpm.x, TRIM(_xlpm.x))),_xlpm.invalid, _xlfn._xlws.FILTER(_xlpm.trimmed, ISNA(MATCH(_xlpm.trimmed, allowed336669, 0)), ""),IF(AND(_xlpm.invalid&lt;&gt;"", COUNTA(_xlpm.invalid)&gt;0),"1:Please select valid values from the provided list. Answers are case-sensitive and must be separated by a semicolon.","")), ""), IF(LEN(_xlpm.check1) &gt; 0, _xlpm.check1, IF(AND(_xlpm.val = "", CM$3="Required"), IF(OR('12 - Beds'!CM$7 = "", '12 - Beds'!CM$7 = "N/A"), "3:Pattern - Value is required", ""), ""))))))</f>
        <v/>
      </c>
      <c r="CN8" s="22">
        <f t="array" ref="CN8">_xlfn.MAP('12 - Beds'!B8:B507, '12 - Beds'!CN8:CN507, _xlfn.LAMBDA(_xlpm.part, _xlpm.val, IF(_xlpm.part = "", "", IF(AND(_xlpm.val = "", CN$3="Required"), IF(OR('12 - Beds'!CN$7 = "", '12 - Beds'!CN$7 = "N/A"), "3:Battery or Batteries Included - Value is required", ""), ""))))</f>
        <v/>
      </c>
      <c r="CO8" s="22">
        <f t="array" ref="CO8">_xlfn.MAP('12 - Beds'!B8:B507, '12 - Beds'!CO8:CO507,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Beds'!CO$7 = "", '12 - Beds'!CO$7 = "N/A"), "3:Since Battery or Batteries Included equals 'Yes', this field is required", ""), ""), ""), IF(LEN(_xlpm.check3) &gt; 0, _xlpm.check3, IF(AND(_xlpm.val = "", CO$3="Required"), IF(OR('12 - Beds'!CO$7 = "", '12 - Beds'!CO$7 = "N/A"), "3:Battery Composition - Value is required", ""), ""))))))))))</f>
        <v/>
      </c>
      <c r="CP8" s="22">
        <f t="array" ref="CP8">_xlfn.MAP('12 - Beds'!B8:B507, '12 - Beds'!CP8:CP507,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Beds'!CP$7 = "", '12 - Beds'!CP$7 = "N/A"), "3:Since Battery or Batteries Included equals 'Yes', this field is required", ""), ""), ""), IF(LEN(_xlpm.check3) &gt; 0, _xlpm.check3, IF(AND(_xlpm.val = "", CP$3="Required"), IF(OR('12 - Beds'!CP$7 = "", '12 - Beds'!CP$7 = "N/A"), "3:Battery Type - Value is required", ""), ""))))))))))</f>
        <v/>
      </c>
      <c r="CQ8" s="22">
        <f t="array" ref="CQ8">_xlfn.MAP('12 - Beds'!B8:B507, '12 - Beds'!CQ8:CQ507,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Beds'!CQ$7 = "", '12 - Beds'!CQ$7 = "N/A"), "3:Since Battery or Batteries Included equals 'Yes', this field is required", ""), ""), ""), IF(LEN(_xlpm.check3) &gt; 0, _xlpm.check3, IF(AND(_xlpm.val = "", CQ$3="Required"), IF(OR('12 - Beds'!CQ$7 = "", '12 - Beds'!CQ$7 = "N/A"), "3:Number of Batteries - Value is required", ""), ""))))))))))</f>
        <v/>
      </c>
      <c r="CR8" s="22">
        <f t="array" ref="CR8">_xlfn.MAP('12 - Beds'!B8:B507, '12 - Beds'!CR8:CR507, '12 - Beds'!CN8:CN507, '12 - Beds'!CO8:CO507,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IF(OR('12 - Beds'!CR$7 = "", '12 - Beds'!CR$7 = "N/A"), "3:Since Battery or Batteries Included equals 'Yes', this field is required", ""), ""), ""), IF(LEN(_xlpm.check4) &gt; 0, _xlpm.check4, IF(AND(_xlpm.val = "", CR$3="Required"), IF(OR('12 - Beds'!CR$7 = "", '12 - Beds'!CR$7 = "N/A"), "3:Battery Shipment - Value is required", ""), ""))))))))))))</f>
        <v/>
      </c>
      <c r="CS8" s="22">
        <f t="array" ref="CS8">_xlfn.MAP('12 - Beds'!B8:B507, '12 - Beds'!CS8:CS507, '12 - Beds'!CN8:CN507, '12 - Beds'!CO8:CO507,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IF(OR('12 - Beds'!CS$7 = "", '12 - Beds'!CS$7 = "N/A"), "3:Since Battery or Batteries Included equals 'Yes', this field is required", ""), ""), ""), IF(LEN(_xlpm.check5) &gt; 0, _xlpm.check5, IF(AND(_xlpm.val = "", CS$3="Required"), IF(OR('12 - Beds'!CS$7 = "", '12 - Beds'!CS$7 = "N/A"), "3:Lithium Content - Value is required", ""), ""))))))))))))))</f>
        <v/>
      </c>
      <c r="CT8" s="22">
        <f t="array" ref="CT8">_xlfn.MAP('12 - Beds'!B8:B507, '12 - Beds'!CT8:CT507, '12 - Beds'!CN8:CN507, '12 - Beds'!CO8:CO507, '12 - Beds'!CP8:CP507, _xlfn.LAMBDA(_xlpm.part, _xlpm.val, _xlpm.dep1, _xlpm.dep2, _xlpm.dep3, IF(_xlpm.part = "", "", _xlfn.LET(_xlpm.check1, IF(AND(_xlpm.val = "", OR(_xlpm.dep1 = "No", _xlpm.dep2 = "Lithium Metal",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Metal",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IF(OR(ISNUMBER(SEARCH("Cell", _xlpm.dep3)), ISNUMBER(SEARCH("Button Cell", _xlpm.dep3))), IF(OR(_xlpm.val = "Batteries exceeding 300w/h", _xlpm.val = "Batteries of between 100w/h and 300 w/h", _xlpm.val = "Batteries of 100w/h or less"), "1:Based on Battery Type, value should not be Batteries exceeding 300w/h, Batteries of between 100w/h and 300 w/h, Batteries of 100w/h or less", ""), ""), IF(LEN(_xlpm.check5) &gt; 0, _xlpm.check5, _xlfn.LET(_xlpm.check6, IF(ISNUMBER(SEARCH("Battery", _xlpm.dep3)), IF(OR(_xlpm.val = "Cells of between 20w/h and 60w/h", _xlpm.val = "Cells exceeding 60w/h", _xlpm.val = "Cells of 20w/h or less"), "1:Based on Battery Type, value should not be Cells of between 20w/h and 60w/h, Cells exceeding 60w/h, Cells of 20w/h or less", ""), ""), IF(LEN(_xlpm.check6) &gt; 0, _xlpm.check6, _xlfn.LET(_xlpm.check7, IF(_xlpm.dep1 = "Yes", IF(_xlpm.val = "", IF(OR('12 - Beds'!CT$7 = "", '12 - Beds'!CT$7 = "N/A"), "3:Since Battery or Batteries Included equals 'Yes', this field is required", ""), ""), ""), IF(LEN(_xlpm.check7) &gt; 0, _xlpm.check7, IF(AND(_xlpm.val = "", CT$3="Required"), IF(OR('12 - Beds'!CT$7 = "", '12 - Beds'!CT$7 = "N/A"), "3:Watt Rating of Cells / Battery - Value is required", ""), ""))))))))))))))))))</f>
        <v/>
      </c>
      <c r="CU8" s="22">
        <f t="array" ref="CU8">_xlfn.MAP('12 - Beds'!B8:B507, '12 - Beds'!CU8:CU507, '12 - Beds'!CN8:CN507, '12 - Beds'!CO8:CO507,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IF(OR('12 - Beds'!CU$7 = "", '12 - Beds'!CU$7 = "N/A"), "3:Since Battery or Batteries Included equals 'Yes', this field is required", ""), ""), ""), IF(LEN(_xlpm.check4) &gt; 0, _xlpm.check4, IF(AND(_xlpm.val = "", CU$3="Required"), IF(OR('12 - Beds'!CU$7 = "", '12 - Beds'!CU$7 = "N/A"), "3:Weight of Cells / Battery - Value is required", ""), ""))))))))))))</f>
        <v/>
      </c>
      <c r="CV8" s="22">
        <f t="array" ref="CV8">_xlfn.MAP('12 - Beds'!B8:B507, '12 - Beds'!CV8:CV507, '12 - Beds'!BT8:BT507, _xlfn.LAMBDA(_xlpm.part, _xlpm.val, _xlpm.dep1, IF(_xlpm.part = "", "", _xlfn.LET(_xlpm.check1, IF(AND(_xlpm.val = "", _xlpm.dep1 = "No"), "2:Autofill", ""), IF(LEN(_xlpm.check1) &gt; 0, _xlpm.check1, _xlfn.LET(_xlpm.check2, IF(_xlpm.dep1 = "No", IF(_xlpm.val &lt;&gt; "No", "1:Based on Upholstered, value should be No", ""), ""), IF(LEN(_xlpm.check2) &gt; 0, _xlpm.check2, IF(AND(_xlpm.val = "", CV$3="Required"), IF(OR('12 - Beds'!CV$7 = "", '12 - Beds'!CV$7 = "N/A"), "3:Tufted - Value is required", ""), ""))))))))</f>
        <v/>
      </c>
      <c r="CW8" s="22">
        <f t="array" ref="CW8">_xlfn.MAP('12 - Beds'!B8:B507, '12 - Beds'!CW8:CW507, '12 - Beds'!BT8:BT507, _xlfn.LAMBDA(_xlpm.part, _xlpm.val, _xlpm.dep1, IF(_xlpm.part = "", "", _xlfn.LET(_xlpm.check1, IF(AND(_xlpm.val = "", _xlpm.dep1 = "No"), "2:Autofill", ""), IF(LEN(_xlpm.check1) &gt; 0, _xlpm.check1, IF(AND(_xlpm.val = "", CW$3="Required"), IF(OR('12 - Beds'!CW$7 = "", '12 - Beds'!CW$7 = "N/A"), "3:Nailhead Trim - Value is required", ""), ""))))))</f>
        <v/>
      </c>
      <c r="CX8" s="22">
        <f t="array" ref="CX8">_xlfn.MAP('12 - Beds'!B8:B507, '12 - Beds'!CX8:CX507, _xlfn.LAMBDA(_xlpm.part, _xlpm.val, IF(_xlpm.part = "", "", IF(AND(_xlpm.val = "", CX$3="Required"), IF(OR('12 - Beds'!CX$7 = "", '12 - Beds'!CX$7 = "N/A"), "3:Unfinished - Value is required", ""), ""))))</f>
        <v/>
      </c>
      <c r="CY8" s="22">
        <f t="array" ref="CY8">_xlfn.MAP('12 - Beds'!B8:B507, '12 - Beds'!CY8:CY507, _xlfn.LAMBDA(_xlpm.part, _xlpm.val, IF(_xlpm.part = "", "", IF(AND(_xlpm.val = "", CY$3="Required"), IF(OR('12 - Beds'!CY$7 = "", '12 - Beds'!CY$7 = "N/A"), "3:Finished Back - Value is required", ""), ""))))</f>
        <v/>
      </c>
      <c r="CZ8" s="22">
        <f t="array" ref="CZ8">_xlfn.MAP('12 - Beds'!B8:B507, '12 - Beds'!CZ8:CZ507, '12 - Beds'!BR8:BR507, _xlfn.LAMBDA(_xlpm.part, _xlpm.val, _xlpm.dep1, IF(_xlpm.part = "", "", _xlfn.LET(_xlpm.check1, IF(AND(_xlpm.val = "", AND(NOT(OR(ISNUMBER(SEARCH("Solid + Manufactured Wood", _xlpm.dep1)), ISNUMBER(SEARCH("Manufactured Wood", _xlpm.dep1)))), _xlpm.dep1 &lt;&gt; "")), "2:Autofill", ""), IF(LEN(_xlpm.check1) &gt; 0, _xlpm.check1, _xlfn.LET(_xlpm.check2, IF(AND(NOT(OR(ISNUMBER(SEARCH("Solid + Manufactured Wood", _xlpm.dep1)), ISNUMBER(SEARCH("Manufactured Wood", _xlpm.dep1)))), _xlpm.dep1 &lt;&gt; ""), IF(_xlpm.val &lt;&gt; "Does Not Apply", "1:Based on Bed Frame Material, value should be Does Not Apply", ""), ""), IF(LEN(_xlpm.check2) &gt; 0, _xlpm.check2, IF(AND(_xlpm.val = "", CZ$3="Required"), IF(OR('12 - Beds'!CZ$7 = "", '12 - Beds'!CZ$7 = "N/A"), "3:Manufactured Wood Type - Value is required", ""), ""))))))))</f>
        <v/>
      </c>
      <c r="DA8" s="22">
        <f t="array" ref="DA8">_xlfn.MAP('12 - Beds'!B8:B507, '12 - Beds'!DA8:DA507, _xlfn.LAMBDA(_xlpm.part, _xlpm.val, IF(_xlpm.part = "", "", IF(AND(_xlpm.val = "", DA$3="Required"), IF(OR('12 - Beds'!DA$7 = "", '12 - Beds'!DA$7 = "N/A"), "3:Lighted Headboard - Value is required", ""), ""))))</f>
        <v/>
      </c>
      <c r="DB8" s="22">
        <f t="array" ref="DB8">_xlfn.MAP('12 - Beds'!B8:B507, '12 - Beds'!DB8:DB507, '12 - Beds'!BT8:BT507, '12 - Beds'!BU8:BU507, _xlfn.LAMBDA(_xlpm.part, _xlpm.val, _xlpm.dep1, _xlpm.dep2, IF(_xlpm.part = "", "", _xlfn.LET(_xlpm.check1, IF(AND(_xlpm.val = "", OR(_xlpm.dep1 = "No", AND(NOT(OR(ISNUMBER(SEARCH("Leather Match", _xlpm.dep2)), ISNUMBER(SEARCH("Genuine Leather", _xlpm.dep2)))), _xlpm.dep2 &lt;&gt; ""))), "2:Autofill", ""), IF(LEN(_xlpm.check1) &gt; 0, _xlpm.check1, _xlfn.LET(_xlpm.check2, IF(_xlpm.dep1 = "No", IF(_xlpm.val &lt;&gt; "Does Not Apply", "1:Based on Upholstered, value should be Does Not Apply", ""), ""), IF(LEN(_xlpm.check2) &gt; 0, _xlpm.check2, _xlfn.LET(_xlpm.check3, IF(AND(NOT(OR(ISNUMBER(SEARCH("Leather Match", _xlpm.dep2)), ISNUMBER(SEARCH("Genuine Leather", _xlpm.dep2)))), _xlpm.dep2 &lt;&gt; ""), IF(_xlpm.val &lt;&gt; "Does Not Apply", "1:Based on Upholstery Material, value should be Does Not Apply", ""), ""), IF(LEN(_xlpm.check3) &gt; 0, _xlpm.check3, IF(AND(_xlpm.val = "", DB$3="Required"), IF(OR('12 - Beds'!DB$7 = "", '12 - Beds'!DB$7 = "N/A"), "3:Leather Type - Value is required", ""), ""))))))))))</f>
        <v/>
      </c>
      <c r="DC8" s="22">
        <f t="array" ref="DC8">_xlfn.MAP('12 - Beds'!B8:B507, '12 - Beds'!DC8:DC507, _xlfn.LAMBDA(_xlpm.part, _xlpm.val, IF(_xlpm.part = "", "", IF(AND(_xlpm.val = "", DC$3="Required"), IF(OR('12 - Beds'!DC$7 = "", '12 - Beds'!DC$7 = "N/A"), "3:Upholstery Fabric Quality - Value is required", ""), ""))))</f>
        <v/>
      </c>
      <c r="DD8" s="22">
        <f t="array" ref="DD8">_xlfn.MAP('12 - Beds'!B8:B507, '12 - Beds'!DD8:DD507, _xlfn.LAMBDA(_xlpm.part, _xlpm.val, IF(_xlpm.part = "", "", IF(AND(_xlpm.val = "", DD$3="Required"), IF(OR('12 - Beds'!DD$7 = "", '12 - Beds'!DD$7 = "N/A"), "3:Headboard Shape - Value is required", ""), ""))))</f>
        <v/>
      </c>
      <c r="DE8" s="22">
        <f t="array" ref="DE8">_xlfn.MAP('12 - Beds'!B8:B507, '12 - Beds'!DE8:DE507, _xlfn.LAMBDA(_xlpm.part, _xlpm.val, IF(_xlpm.part = "", "", IF(AND(_xlpm.val = "", DE$3="Required"), IF(OR('12 - Beds'!DE$7 = "", '12 - Beds'!DE$7 = "N/A"), "3:Additional Technology Features - Value is required", ""), ""))))</f>
        <v/>
      </c>
      <c r="DF8" s="22">
        <f t="array" ref="DF8">_xlfn.MAP('12 - Beds'!B8:B507, '12 - Beds'!DF8:DF507, _xlfn.LAMBDA(_xlpm.part, _xlpm.val, IF(_xlpm.part = "", "", IF(AND(_xlpm.val = "", DF$3="Required"), IF(OR('12 - Beds'!DF$7 = "", '12 - Beds'!DF$7 = "N/A"), "3:Ribbed Detailing - Value is required", ""), ""))))</f>
        <v/>
      </c>
      <c r="DG8" s="22">
        <f t="array" ref="DG8">_xlfn.MAP('12 - Beds'!B8:B507, '12 - Beds'!DG8:DG507, _xlfn.LAMBDA(_xlpm.part, _xlpm.val, IF(_xlpm.part = "", "", IF(AND(_xlpm.val = "", DG$3="Required"), IF(OR('12 - Beds'!DG$7 = "", '12 - Beds'!DG$7 = "N/A"), "3:Fluted Detailing - Value is required", ""), ""))))</f>
        <v/>
      </c>
      <c r="DH8" s="22">
        <f t="array" ref="DH8">_xlfn.MAP('12 - Beds'!B8:B507, '12 - Beds'!DH8:DH507, _xlfn.LAMBDA(_xlpm.part, _xlpm.val, IF(_xlpm.part = "", "", _xlfn.LET(_xlpm.check1, IF(NOT(ISBLANK(_xlpm.val)),_xlfn.LET(_xlpm.items, _xlfn.TEXTSPLIT(_xlpm.val, ";"),_xlpm.trimmed, _xlfn.MAP(_xlpm.items, _xlfn.LAMBDA(_xlpm.x, TRIM(_xlpm.x))),_xlpm.invalid, _xlfn._xlws.FILTER(_xlpm.trimmed, ISNA(MATCH(_xlpm.trimmed, allowed420141, 0)), ""),IF(AND(_xlpm.invalid&lt;&gt;"", COUNTA(_xlpm.invalid)&gt;0),"1:Please select valid values from the provided list. Answers are case-sensitive and must be separated by a semicolon.","")), ""), IF(LEN(_xlpm.check1) &gt; 0, _xlpm.check1, IF(AND(_xlpm.val = "", DH$3="Required"), IF(OR('12 - Beds'!DH$7 = "", '12 - Beds'!DH$7 = "N/A"), "3:Pieces Included - Value is required", ""), ""))))))</f>
        <v/>
      </c>
      <c r="DI8" s="22">
        <f t="array" ref="DI8">_xlfn.MAP('12 - Beds'!B8:B507, '12 - Beds'!DI8:DI507, '12 - Beds'!BY8:BY507, _xlfn.LAMBDA(_xlpm.part, _xlpm.val, _xlpm.dep1, IF(_xlpm.part = "", "", _xlfn.LET(_xlpm.check1, IF(AND(_xlpm.val = "", _xlpm.dep1 = "No"), "2:Autofill", ""), IF(LEN(_xlpm.check1) &gt; 0, _xlpm.check1, _xlfn.LET(_xlpm.check2, IF(_xlpm.dep1 = "No", IF(_xlpm.val &lt;&gt; "Does Not Apply", "1:Based on Center Support Legs, value should be Does Not Apply", ""), ""), IF(LEN(_xlpm.check2) &gt; 0, _xlpm.check2, IF(AND(_xlpm.val = "", DI$3="Required"), IF(OR('12 - Beds'!DI$7 = "", '12 - Beds'!DI$7 = "N/A"), "3:Number of Center Support Legs - Value is required", ""), ""))))))))</f>
        <v/>
      </c>
      <c r="DJ8" s="22">
        <f t="array" ref="DJ8">_xlfn.MAP('12 - Beds'!B8:B507, '12 - Beds'!DJ8:DJ507, _xlfn.LAMBDA(_xlpm.part, _xlpm.val, IF(_xlpm.part = "", "", IF(AND(_xlpm.val = "", DJ$3="Required"), IF(OR('12 - Beds'!DJ$7 = "", '12 - Beds'!DJ$7 = "N/A"), "3:Upholstery Material Performance Brand - Value is required", ""), ""))))</f>
        <v/>
      </c>
      <c r="DK8" s="22">
        <f t="array" ref="DK8">_xlfn.MAP('12 - Beds'!B8:B507, '12 - Beds'!DK8:DK507, _xlfn.LAMBDA(_xlpm.part, _xlpm.val, IF(_xlpm.part = "", "", IF(AND(_xlpm.val = "", DK$3="Required"), IF(OR('12 - Beds'!DK$7 = "", '12 - Beds'!DK$7 = "N/A"), "3:Additional Intended Use For Child - Value is required", ""), ""))))</f>
        <v/>
      </c>
      <c r="DL8" s="22">
        <f t="array" ref="DL8">_xlfn.MAP('12 - Beds'!B8:B507, '12 - Beds'!DL8:DL507, _xlfn.LAMBDA(_xlpm.part, _xlpm.val, IF(_xlpm.part = "", "", IF(AND(_xlpm.val = "", DL$3="Required"), IF(OR('12 - Beds'!DL$7 = "", '12 - Beds'!DL$7 = "N/A"), "3:Composite Wood Product (CWP) - Value is required", ""), ""))))</f>
        <v/>
      </c>
      <c r="DM8" s="22">
        <f t="array" ref="DM8">_xlfn.MAP('12 - Beds'!B8:B507, '12 - Beds'!DM8:DM507,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Beds'!DM$7 = "", '12 - Beds'!DM$7 = "N/A"), "3:Since Composite Wood Product (CWP) equals 'Yes', this field is required", ""), ""), ""), IF(LEN(_xlpm.check4) &gt; 0, _xlpm.check4, IF(AND(_xlpm.val = "", DM$3="Required"), IF(OR('12 - Beds'!DM$7 = "", '12 - Beds'!DM$7 = "N/A"), "3:CARB Phase II Compliant (formaldehyde emissions) - Value is required", ""), ""))))))))))))</f>
        <v/>
      </c>
      <c r="DN8" s="22">
        <f t="array" ref="DN8">_xlfn.MAP('12 - Beds'!B8:B507, '12 - Beds'!DN8:DN507,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Beds'!DN$7 = "", '12 - Beds'!DN$7 = "N/A"), "3:Since Composite Wood Product (CWP) equals 'Yes', this field is required", ""), ""), ""), IF(LEN(_xlpm.check4) &gt; 0, _xlpm.check4, IF(AND(_xlpm.val = "", DN$3="Required"), IF(OR('12 - Beds'!DN$7 = "", '12 - Beds'!DN$7 = "N/A"), "3:TSCA Title VI Compliant (formaldehyde emissions) - Value is required", ""), ""))))))))))))</f>
        <v/>
      </c>
      <c r="DO8" s="22">
        <f t="array" ref="DO8">_xlfn.MAP('12 - Beds'!B8:B507, '12 - Beds'!DO8:DO507,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Beds'!DO$7 = "", '12 - Beds'!DO$7 = "N/A"), "3:Since Composite Wood Product (CWP) equals 'Yes', this field is required", ""), ""), ""), IF(LEN(_xlpm.check4) &gt; 0, _xlpm.check4, IF(AND(_xlpm.val = "", DO$3="Required"), IF(OR('12 - Beds'!DO$7 = "", '12 - Beds'!DO$7 = "N/A"), "3:CANFER Compliant - Value is required", ""), ""))))))))))))</f>
        <v/>
      </c>
      <c r="DP8" s="22">
        <f t="array" ref="DP8">_xlfn.MAP('12 - Beds'!B8:B507, '12 - Beds'!DP8:DP507, '12 - Beds'!DH8:DH507, _xlfn.LAMBDA(_xlpm.part, _xlpm.val, _xlpm.dep1, IF(_xlpm.part = "", "", _xlfn.LET(_xlpm.check1, IF(AND(_xlpm.val = "", AND(NOT(ISNUMBER(SEARCH("Mattress", _xlpm.dep1))), _xlpm.dep1 &lt;&gt; "")), "2:Autofill", ""), IF(LEN(_xlpm.check1) &gt; 0, _xlpm.check1, _xlfn.LET(_xlpm.check2, IF(AND(NOT(ISNUMBER(SEARCH("Mattress", _xlpm.dep1))), _xlpm.dep1 &lt;&gt; ""), IF(_xlpm.val &lt;&gt; "Does Not Apply", "1:Based on Pieces Included, value should be Does Not Apply", ""), ""), IF(LEN(_xlpm.check2) &gt; 0, _xlpm.check2, IF(AND(_xlpm.val = "", DP$3="Required"), IF(OR('12 - Beds'!DP$7 = "", '12 - Beds'!DP$7 = "N/A"), "3:SOR/2016-183 Compliant - Value is required", ""), ""))))))))</f>
        <v/>
      </c>
      <c r="DQ8" s="22">
        <f t="array" ref="DQ8">_xlfn.MAP('12 - Beds'!B8:B507, '12 - Beds'!DQ8:DQ507, '12 - Beds'!BT8:BT507, _xlfn.LAMBDA(_xlpm.part, _xlpm.val, _xlpm.dep1, IF(_xlpm.part = "", "", _xlfn.LET(_xlpm.check1, IF(AND(_xlpm.val = "", OR(_xlpm.dep1 = "No", AND(NOT(ISNUMBER(SEARCH("Yes", _xlpm.dep1))), _xlpm.dep1 &lt;&gt; ""))), "2:Autofill", ""), IF(LEN(_xlpm.check1) &gt; 0, _xlpm.check1, IF(AND(_xlpm.val = "", DQ$3="Required"), IF(OR('12 - Beds'!DQ$7 = "", '12 - Beds'!DQ$7 = "N/A"), "3:CAL TB 116 Compliant - Value is required", ""), ""))))))</f>
        <v/>
      </c>
      <c r="DR8" s="22">
        <f t="array" ref="DR8">_xlfn.MAP('12 - Beds'!B8:B507, '12 - Beds'!DR8:DR507, '12 - Beds'!BT8:BT507, _xlfn.LAMBDA(_xlpm.part, _xlpm.val, _xlpm.dep1, IF(_xlpm.part = "", "", _xlfn.LET(_xlpm.check1, IF(AND(_xlpm.val = "", _xlpm.dep1 = "No"), "2:Autofill", ""), IF(LEN(_xlpm.check1) &gt; 0, _xlpm.check1, IF(AND(_xlpm.val = "", DR$3="Required"), IF(OR('12 - Beds'!DR$7 = "", '12 - Beds'!DR$7 = "N/A"), "3:CAL TB 117-2013 Compliant - Value is required", ""), ""))))))</f>
        <v/>
      </c>
      <c r="DS8" s="22">
        <f t="array" ref="DS8">_xlfn.MAP('12 - Beds'!B8:B507, '12 - Beds'!DS8:DS507, _xlfn.LAMBDA(_xlpm.part, _xlpm.val, IF(_xlpm.part = "", "", IF(AND(_xlpm.val = "", DS$3="Required"), IF(OR('12 - Beds'!DS$7 = "", '12 - Beds'!DS$7 = "N/A"), "3:Uniform Packaging and Labeling Regulations (UPLR) Compliant - Value is required", ""), ""))))</f>
        <v/>
      </c>
      <c r="DT8" s="22">
        <f t="array" ref="DT8">_xlfn.MAP('12 - Beds'!B8:B507, '12 - Beds'!DT8:DT507, _xlfn.LAMBDA(_xlpm.part, _xlpm.val, IF(_xlpm.part = "", "", IF(AND(_xlpm.val = "", DT$3="Required"), IF(OR('12 - Beds'!DT$7 = "", '12 - Beds'!DT$7 = "N/A"), "3:Canada Product Restriction - Value is required", ""), ""))))</f>
        <v/>
      </c>
      <c r="DU8" s="22">
        <f t="array" ref="DU8">_xlfn.MAP('12 - Beds'!B8:B507, '12 - Beds'!DU8:DU507, '12 - Beds'!DT8:DT507,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allowed251018, 0)), ""),IF(AND(_xlpm.invalid&lt;&gt;"", COUNTA(_xlpm.invalid)&gt;0),"1:Please select valid values from the provided list. Answers are case-sensitive and must be separated by a semicolon.","")), ""), IF(LEN(_xlpm.check3) &gt; 0, _xlpm.check3, _xlfn.LET(_xlpm.check4, IF(_xlpm.dep1 = "Yes", IF(_xlpm.val = "", IF(OR('12 - Beds'!DU$7 = "", '12 - Beds'!DU$7 = "N/A"), "3:Since Canada Product Restriction equals 'Yes', this field is required", ""), ""), ""), IF(LEN(_xlpm.check4) &gt; 0, _xlpm.check4, IF(AND(_xlpm.val = "", DU$3="Required"), IF(OR('12 - Beds'!DU$7 = "", '12 - Beds'!DU$7 = "N/A"), "3:Reason for Restriction - Value is required", ""), ""))))))))))))</f>
        <v/>
      </c>
      <c r="DV8" s="22">
        <f t="array" ref="DV8">_xlfn.MAP('12 - Beds'!B8:B507, '12 - Beds'!DV8:DV507, '12 - Beds'!BT8:BT507, _xlfn.LAMBDA(_xlpm.part, _xlpm.val, _xlpm.dep1, IF(_xlpm.part = "", "", _xlfn.LET(_xlpm.check1, IF(AND(_xlpm.val = "", _xlpm.dep1 = "No"), "2:Autofill", ""), IF(LEN(_xlpm.check1) &gt; 0, _xlpm.check1, IF(AND(_xlpm.val = "", DV$3="Required"), IF(OR('12 - Beds'!DV$7 = "", '12 - Beds'!DV$7 = "N/A"), "3:Textile Labelling and Advertising Regulations (C.R.C., c. 1551) - Value is required", ""), ""))))))</f>
        <v/>
      </c>
      <c r="DW8" s="22">
        <f t="array" ref="DW8">_xlfn.MAP('12 - Beds'!B8:B507, '12 - Beds'!DW8:DW507, '12 - Beds'!BT8:BT507, _xlfn.LAMBDA(_xlpm.part, _xlpm.val, _xlpm.dep1, IF(_xlpm.part = "", "", _xlfn.LET(_xlpm.check1, IF(AND(_xlpm.val = "", _xlpm.dep1 = "No"), "2:Autofill", ""), IF(LEN(_xlpm.check1) &gt; 0, _xlpm.check1, IF(AND(_xlpm.val = "", DW$3="Required"), IF(OR('12 - Beds'!DW$7 = "", '12 - Beds'!DW$7 = "N/A"), "3:SOR/2016-194 - Textile Flammability Regulations - Value is required", ""), ""))))))</f>
        <v/>
      </c>
      <c r="DX8" s="22">
        <f t="array" ref="DX8">_xlfn.MAP('12 - Beds'!B8:B507, '12 - Beds'!DX8:DX507, '12 - Beds'!BT8:BT507, _xlfn.LAMBDA(_xlpm.part, _xlpm.val, _xlpm.dep1, IF(_xlpm.part = "", "", _xlfn.LET(_xlpm.check1, IF(AND(_xlpm.val = "", _xlpm.dep1 = "No"), "2:Autofill", ""), IF(LEN(_xlpm.check1) &gt; 0, _xlpm.check1, IF(AND(_xlpm.val = "", DX$3="Required"), IF(OR('12 - Beds'!DX$7 = "", '12 - Beds'!DX$7 = "N/A"), "3:SOFFA Compliant - Value is required", ""), ""))))))</f>
        <v/>
      </c>
      <c r="DY8" s="22">
        <f t="array" ref="DY8">_xlfn.MAP('12 - Beds'!B8:B507, '12 - Beds'!DY8:DY507, '12 - Beds'!DK8:DK507,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DY$3="Required"), IF(OR('12 - Beds'!DY$7 = "", '12 - Beds'!DY$7 = "N/A"), "3:Children’s Product Certificate (CPC) - Value is required", ""), ""))))))))</f>
        <v/>
      </c>
      <c r="DZ8" s="22">
        <f t="array" ref="DZ8">_xlfn.MAP('12 - Beds'!B8:B507, '12 - Beds'!DZ8:DZ507, '12 - Beds'!DY8:DY507, _xlfn.LAMBDA(_xlpm.part, _xlpm.val, _xlpm.dep1, IF(_xlpm.part = "", "", _xlfn.LET(_xlpm.check1, IF(AND(_xlpm.val = "", _xlpm.dep1 = "Yes"), "2:Autofill", ""), IF(LEN(_xlpm.check1) &gt; 0, _xlpm.check1, IF(AND(_xlpm.val = "", DZ$3="Required"), IF(OR('12 - Beds'!DZ$7 = "", '12 - Beds'!DZ$7 = "N/A"), "3:General Certificate of Conformity (GCC) - Value is required", ""), ""))))))</f>
        <v/>
      </c>
      <c r="EA8" s="22">
        <f t="array" ref="EA8">_xlfn.MAP('12 - Beds'!B8:B507, '12 - Beds'!EA8:EA507, '12 - Beds'!CO8:CO507,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EA$3="Required"), IF(OR('12 - Beds'!EA$7 = "", '12 - Beds'!EA$7 = "N/A"), "3:Hazardous Material / Dangerous Goods - Value is required", ""), ""))))))))))))</f>
        <v/>
      </c>
      <c r="EB8" s="22">
        <f t="array" ref="EB8">_xlfn.MAP('12 - Beds'!B8:B507, '12 - Beds'!EB8:EB507,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allowed373566, 0)), ""),IF(AND(_xlpm.invalid&lt;&gt;"", COUNTA(_xlpm.invalid)&gt;0),"1:Please select valid values from the provided list. Answers are case-sensitive and must be separated by a semicolon.","")), ""), IF(LEN(_xlpm.check3) &gt; 0, _xlpm.check3, _xlfn.LET(_xlpm.check4, IF(_xlpm.dep1 = "Yes", IF(_xlpm.val = "", IF(OR('12 - Beds'!EB$7 = "", '12 - Beds'!EB$7 = "N/A"), "3:Since Hazardous Material / Dangerous Goods equals 'Yes', this field is required", ""), ""), ""), IF(LEN(_xlpm.check4) &gt; 0, _xlpm.check4, IF(AND(_xlpm.val = "", EB$3="Required"), IF(OR('12 - Beds'!EB$7 = "", '12 - Beds'!EB$7 = "N/A"), "3:UN or ID number - Value is required", ""), ""))))))))))))</f>
        <v/>
      </c>
      <c r="EC8" s="22">
        <f t="array" ref="EC8">_xlfn.MAP('12 - Beds'!B8:B507, '12 - Beds'!EC8:EC507,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Beds'!EC$7 = "", '12 - Beds'!EC$7 = "N/A"), "3:Since Hazardous Material / Dangerous Goods equals 'Yes', this field is required", ""), ""), ""), IF(LEN(_xlpm.check3) &gt; 0, _xlpm.check3, IF(AND(_xlpm.val = "", EC$3="Required"), IF(OR('12 - Beds'!EC$7 = "", '12 - Beds'!EC$7 = "N/A"), "3:Hazard Class(es) - Value is required", ""), ""))))))))))</f>
        <v/>
      </c>
      <c r="ED8" s="22">
        <f t="array" ref="ED8">_xlfn.MAP('12 - Beds'!B8:B507, '12 - Beds'!ED8:ED507,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Beds'!ED$7 = "", '12 - Beds'!ED$7 = "N/A"), "3:Since Hazardous Material / Dangerous Goods equals 'Yes', this field is required", ""), ""), ""), IF(LEN(_xlpm.check3) &gt; 0, _xlpm.check3, IF(AND(_xlpm.val = "", ED$3="Required"), IF(OR('12 - Beds'!ED$7 = "", '12 - Beds'!ED$7 = "N/A"), "3:Packing Group - Value is required", ""), ""))))))))))</f>
        <v/>
      </c>
      <c r="EE8" s="22">
        <f t="array" ref="EE8">_xlfn.MAP('12 - Beds'!B8:B507, '12 - Beds'!EE8:EE507,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Beds'!EE$7 = "", '12 - Beds'!EE$7 = "N/A"), "3:Since Hazardous Material / Dangerous Goods equals 'Yes', this field is required", ""), ""), ""), IF(LEN(_xlpm.check3) &gt; 0, _xlpm.check3, IF(AND(_xlpm.val = "", EE$3="Required"), IF(OR('12 - Beds'!EE$7 = "", '12 - Beds'!EE$7 = "N/A"), "3:Hazardous Material Weight - Value is required", ""), ""))))))))))</f>
        <v/>
      </c>
      <c r="EF8" s="22">
        <f t="array" ref="EF8">_xlfn.MAP('12 - Beds'!B8:B507, '12 - Beds'!EF8:EF507, '12 - Beds'!CP8:CP507, _xlfn.LAMBDA(_xlpm.part, _xlpm.val, _xlpm.dep1, IF(_xlpm.part = "", "", _xlfn.LET(_xlpm.check1, IF(AND(_xlpm.val = "", AND(NOT(ISNUMBER(SEARCH("Button Cell", _xlpm.dep1))), _xlpm.dep1 &lt;&gt; "")), "2:Autofill", ""), IF(LEN(_xlpm.check1) &gt; 0, _xlpm.check1, _xlfn.LET(_xlpm.check2, IF(AND(NOT(ISNUMBER(SEARCH("Button Cell", _xlpm.dep1))), _xlpm.dep1 &lt;&gt; ""), IF(_xlpm.val &lt;&gt; "Does Not Apply", "1:Based on Battery Type, value should be Does Not Apply", ""), ""), IF(LEN(_xlpm.check2) &gt; 0, _xlpm.check2, IF(AND(_xlpm.val = "", EF$3="Required"), IF(OR('12 - Beds'!EF$7 = "", '12 - Beds'!EF$7 = "N/A"), "3:CPSC - 16 CFR 1263 Compliant (Reese's Law) - Value is required", ""), ""))))))))</f>
        <v/>
      </c>
      <c r="EG8" s="22">
        <f t="array" ref="EG8">_xlfn.MAP('12 - Beds'!B8:B507, '12 - Beds'!EG8:EG507, _xlfn.LAMBDA(_xlpm.part, _xlpm.val, IF(_xlpm.part = "", "", IF(AND(_xlpm.val = "", EG$3="Required"), IF(OR('12 - Beds'!EG$7 = "", '12 - Beds'!EG$7 = "N/A"), "3:ISTA Certified - Value is required", ""), ""))))</f>
        <v/>
      </c>
      <c r="EH8" s="22">
        <f t="array" ref="EH8">_xlfn.MAP('12 - Beds'!B8:B507, '12 - Beds'!EH8:EH507, _xlfn.LAMBDA(_xlpm.part, _xlpm.val, IF(_xlpm.part = "", "", IF(AND(_xlpm.val = "", EH$3="Required"), IF(OR('12 - Beds'!EH$7 = "", '12 - Beds'!EH$7 = "N/A"), "3:California AB-1817 Compliant (CA PFAS) - Value is required", ""), ""))))</f>
        <v/>
      </c>
      <c r="EI8" s="22">
        <f t="array" ref="EI8">_xlfn.MAP('12 - Beds'!B8:B507, '12 - Beds'!EI8:EI507, _xlfn.LAMBDA(_xlpm.part, _xlpm.val, IF(_xlpm.part = "", "", IF(AND(_xlpm.val = "", EI$3="Required"), IF(OR('12 - Beds'!EI$7 = "", '12 - Beds'!EI$7 = "N/A"), "3:SOR/2016-193 - Surface Coating Materials Regulations - Value is required", ""), ""))))</f>
        <v/>
      </c>
      <c r="EJ8" s="22">
        <f t="array" ref="EJ8">_xlfn.MAP('12 - Beds'!B8:B507, '12 - Beds'!EJ8:EJ507, '12 - Beds'!DK8:DK507,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EJ$3="Required"), IF(OR('12 - Beds'!EJ$7 = "", '12 - Beds'!EJ$7 = "N/A"), "3:Consumer Product Safety Improvement Act (CPSIA) Compliant - Value is required", ""), ""))))))))</f>
        <v/>
      </c>
      <c r="EK8" s="22">
        <f t="array" ref="EK8">_xlfn.MAP('12 - Beds'!B8:B507, '12 - Beds'!EK8:EK507, '12 - Beds'!EJ8:EJ507, _xlfn.LAMBDA(_xlpm.part, _xlpm.val, _xlpm.dep1, IF(_xlpm.part = "", "", _xlfn.LET(_xlpm.check1, IF(AND(_xlpm.val = "", _xlpm.dep1 = "Yes"), "2:Autofill", ""), IF(LEN(_xlpm.check1) &gt; 0, _xlpm.check1, _xlfn.LET(_xlpm.check2, IF(_xlpm.dep1 = "Yes", IF(_xlpm.val &lt;&gt; "Yes", "1:Based on Consumer Product Safety Improvement Act (CPSIA) Compliant, value should be Yes", ""), ""), IF(LEN(_xlpm.check2) &gt; 0, _xlpm.check2, IF(AND(_xlpm.val = "", EK$3="Required"), IF(OR('12 - Beds'!EK$7 = "", '12 - Beds'!EK$7 = "N/A"), "3:CPSC - 16 CFR 1303 Compliant - Value is required", ""), ""))))))))</f>
        <v/>
      </c>
      <c r="EL8" s="22">
        <f t="array" ref="EL8">_xlfn.MAP('12 - Beds'!B8:B507, '12 - Beds'!EL8:EL507, _xlfn.LAMBDA(_xlpm.part, _xlpm.val, IF(_xlpm.part = "", "", IF(AND(_xlpm.val = "", EL$3="Required"), IF(OR('12 - Beds'!EL$7 = "", '12 - Beds'!EL$7 = "N/A"), "3:Sustainability &amp; Social Responsibility Certifications (North America Only) - Value is required", ""), ""))))</f>
        <v/>
      </c>
      <c r="EM8" s="22">
        <f t="array" ref="EM8">_xlfn.MAP('12 - Beds'!B8:B507, '12 - Beds'!EM8:EM507, '12 - Beds'!DH8:DH507, '12 - Beds'!EJ8:EJ507, _xlfn.LAMBDA(_xlpm.part, _xlpm.val, _xlpm.dep1, _xlpm.dep2, IF(_xlpm.part = "", "", _xlfn.LET(_xlpm.check1, IF(AND(_xlpm.val = "", _xlpm.dep2 = "Yes"), "2:Autofill", ""), IF(LEN(_xlpm.check1) &gt; 0, _xlpm.check1, _xlfn.LET(_xlpm.check2, IF(ISNUMBER(SEARCH("Mattress", _xlpm.dep1)), IF(_xlpm.val = "Does Not Apply", "1:Based on Pieces Included, value should not be Does Not Apply", ""), ""), IF(LEN(_xlpm.check2) &gt; 0, _xlpm.check2, IF(AND(_xlpm.val = "", EM$3="Required"), IF(OR('12 - Beds'!EM$7 = "", '12 - Beds'!EM$7 = "N/A"), "3:US Mattress Flammability Regulations Compliant - Value is required", ""), ""))))))))</f>
        <v/>
      </c>
      <c r="EN8" s="22">
        <f t="array" ref="EN8">_xlfn.MAP('12 - Beds'!B8:B507, '12 - Beds'!EN8:EN507, _xlfn.LAMBDA(_xlpm.part, _xlpm.val, IF(_xlpm.part = "", "", IF(AND(_xlpm.val = "", EN$3="Required"), IF(OR('12 - Beds'!EN$7 = "", '12 - Beds'!EN$7 = "N/A"), "3:Overall Height - Top to Bottom - Value is required", ""), ""))))</f>
        <v/>
      </c>
      <c r="EO8" s="22">
        <f t="array" ref="EO8">_xlfn.MAP('12 - Beds'!B8:B507, '12 - Beds'!EO8:EO507, _xlfn.LAMBDA(_xlpm.part, _xlpm.val, IF(_xlpm.part = "", "", _xlfn.LET(_xlpm.check1, IF(AND(NOT(ISBLANK(_xlpm.val)),OR(NOT(ISNUMBER(IFERROR(VALUE(_xlpm.val), ""))), IFERROR(VALUE(_xlpm.val), -1) &lt; 0)), "1:Overall Width - Side to Side - Value should be numeric", ""), IF(LEN(_xlpm.check1) &gt; 0, _xlpm.check1, IF(AND(_xlpm.val = "", EO$3="Required"), IF(OR('12 - Beds'!EO$7 = "", '12 - Beds'!EO$7 = "N/A"), "3:Overall Width - Side to Side - Value is required", ""), ""))))))</f>
        <v/>
      </c>
      <c r="EP8" s="22">
        <f t="array" ref="EP8">_xlfn.MAP('12 - Beds'!B8:B507, '12 - Beds'!EP8:EP507, _xlfn.LAMBDA(_xlpm.part, _xlpm.val, IF(_xlpm.part = "", "", IF(AND(_xlpm.val = "", EP$3="Required"), IF(OR('12 - Beds'!EP$7 = "", '12 - Beds'!EP$7 = "N/A"), "3:Overall Length - Head to Toe - Value is required", ""), ""))))</f>
        <v/>
      </c>
      <c r="EQ8" s="22">
        <f t="array" ref="EQ8">_xlfn.MAP('12 - Beds'!B8:B507, '12 - Beds'!EQ8:EQ507, _xlfn.LAMBDA(_xlpm.part, _xlpm.val, IF(_xlpm.part = "", "", IF(AND(_xlpm.val = "", EQ$3="Required"), IF(OR('12 - Beds'!EQ$7 = "", '12 - Beds'!EQ$7 = "N/A"), "3:Overall Product Weight - Value is required", ""), ""))))</f>
        <v/>
      </c>
      <c r="ER8" s="22">
        <f t="array" ref="ER8">_xlfn.MAP('12 - Beds'!B8:B507, '12 - Beds'!ER8:ER507, _xlfn.LAMBDA(_xlpm.part, _xlpm.val, IF(_xlpm.part = "", "", IF(AND(_xlpm.val = "", ER$3="Required"), IF(OR('12 - Beds'!ER$7 = "", '12 - Beds'!ER$7 = "N/A"), "3:Clearance - Floor to Bottom - Value is required", ""), ""))))</f>
        <v/>
      </c>
      <c r="ES8" s="22">
        <f t="array" ref="ES8">_xlfn.MAP('12 - Beds'!B8:B507, '12 - Beds'!ES8:ES507,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ES$3="Required"), IF(OR('12 - Beds'!ES$7 = "", '12 - Beds'!ES$7 = "N/A"), "3:Headboard Height - Top to Bottom - Value is required", ""), ""))))))))</f>
        <v/>
      </c>
      <c r="ET8" s="22">
        <f t="array" ref="ET8">_xlfn.MAP('12 - Beds'!B8:B507, '12 - Beds'!ET8:ET507,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ET$3="Required"), IF(OR('12 - Beds'!ET$7 = "", '12 - Beds'!ET$7 = "N/A"), "3:Headboard Width - Side to Side - Value is required", ""), ""))))))))</f>
        <v/>
      </c>
      <c r="EU8" s="22">
        <f t="array" ref="EU8">_xlfn.MAP('12 - Beds'!B8:B507, '12 - Beds'!EU8:EU507,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EU$3="Required"), IF(OR('12 - Beds'!EU$7 = "", '12 - Beds'!EU$7 = "N/A"), "3:Headboard Depth - Front to Back - Value is required", ""), ""))))))))</f>
        <v/>
      </c>
      <c r="EV8" s="22">
        <f t="array" ref="EV8">_xlfn.MAP('12 - Beds'!B8:B507, '12 - Beds'!EV8:EV507, _xlfn.LAMBDA(_xlpm.part, _xlpm.val, IF(_xlpm.part = "", "", IF(AND(_xlpm.val = "", EV$3="Required"), IF(OR('12 - Beds'!EV$7 = "", '12 - Beds'!EV$7 = "N/A"), "3:Assembly Required - Value is required", ""), ""))))</f>
        <v/>
      </c>
      <c r="EW8" s="22">
        <f t="array" ref="EW8">_xlfn.MAP('12 - Beds'!B8:B507, '12 - Beds'!EW8:EW507, '12 - Beds'!EV8:EV507,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EW$3="Required"), IF(OR('12 - Beds'!EW$7 = "", '12 - Beds'!EW$7 = "N/A"), "3:Level of Assembly - Value is required", ""), ""))))))))</f>
        <v/>
      </c>
      <c r="EX8" s="22">
        <f t="array" ref="EX8">_xlfn.MAP('12 - Beds'!B8:B507, '12 - Beds'!EX8:EX507, '12 - Beds'!EV8:EV507,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allowed222785,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EX$3="Required"), IF(OR('12 - Beds'!EX$7 = "", '12 - Beds'!EX$7 = "N/A"), "3:Additional Tools Required (Not Included) - Value is required", ""), ""))))))))))</f>
        <v/>
      </c>
      <c r="EY8" s="22">
        <f t="array" ref="EY8">_xlfn.MAP('12 - Beds'!B8:B507, '12 - Beds'!EY8:EY507, _xlfn.LAMBDA(_xlpm.part, _xlpm.val, IF(_xlpm.part = "", "", IF(AND(_xlpm.val = "", EY$3="Required"), IF(OR('12 - Beds'!EY$7 = "", '12 - Beds'!EY$7 = "N/A"), "3:Commercial Warranty - Value is required", ""), ""))))</f>
        <v/>
      </c>
      <c r="EZ8" s="22">
        <f t="array" ref="EZ8">_xlfn.MAP('12 - Beds'!B8:B507, '12 - Beds'!EZ8:EZ507, '12 - Beds'!EY8:EY507,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IF(OR('12 - Beds'!EZ$7 = "", '12 - Beds'!EZ$7 = "N/A"), "3:Since Commercial Warranty equals 'Yes', this field is required", ""), ""), ""), IF(LEN(_xlpm.check3) &gt; 0, _xlpm.check3, IF(AND(_xlpm.val = "", EZ$3="Required"), IF(OR('12 - Beds'!EZ$7 = "", '12 - Beds'!EZ$7 = "N/A"), "3:Commercial Warranty Length - Value is required", ""), ""))))))))))</f>
        <v/>
      </c>
      <c r="FA8" s="22">
        <f t="array" ref="FA8">_xlfn.MAP('12 - Beds'!B8:B507, '12 - Beds'!FA8:FA507, _xlfn.LAMBDA(_xlpm.part, _xlpm.val, IF(_xlpm.part = "", "", IF(AND(_xlpm.val = "", FA$3="Required"), IF(OR('12 - Beds'!FA$7 = "", '12 - Beds'!FA$7 = "N/A"), "3:Product Warranty - Value is required", ""), ""))))</f>
        <v/>
      </c>
      <c r="FB8" s="22">
        <f t="array" ref="FB8">_xlfn.MAP('12 - Beds'!B8:B507, '12 - Beds'!FB8:FB507, _xlfn.LAMBDA(_xlpm.part, _xlpm.val, IF(_xlpm.part = "", "", IF(AND(_xlpm.val = "", FB$3="Required"), IF(OR('12 - Beds'!FB$7 = "", '12 - Beds'!FB$7 = "N/A"), "3:Full or Limited Warranty - Value is required", ""), ""))))</f>
        <v/>
      </c>
      <c r="FC8" s="22">
        <f t="array" ref="FC8">_xlfn.MAP('12 - Beds'!B8:B507, '12 - Beds'!FC8:FC507, _xlfn.LAMBDA(_xlpm.part, _xlpm.val, IF(_xlpm.part = "", "", IF(AND(_xlpm.val = "", FC$3="Required"), IF(OR('12 - Beds'!FC$7 = "", '12 - Beds'!FC$7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4BA"/>
  <mergeCells count="9">
    <mergeCell ref="AL2:AO2"/>
    <mergeCell ref="BO2:FC2"/>
    <mergeCell ref="AP2:AS2"/>
    <mergeCell ref="U2:Z2"/>
    <mergeCell ref="R2:T2"/>
    <mergeCell ref="B2:I2"/>
    <mergeCell ref="AA2:AK2"/>
    <mergeCell ref="AT2:BN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FC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f t="array" ref="A8">_xlfn.BYROW(B8:FD507, _xlfn.LAMBDA(_xlpm.r, _xlfn.LET(_xlpm.high_priority_idx, IFERROR(MATCH(TRUE, (_xlpm.r = "Error") + (_xlpm.r = "Required") &gt; 0, 0), 0), IF(_xlpm.high_priority_idx &gt; 0, _xlpm.high_priority_idx + 1, IFERROR(MATCH(1, (_xlpm.r = "Warning") * 1, 0) + 1, "")))))</f>
        <v/>
      </c>
      <c r="B8" s="22">
        <f t="array" ref="B8">_xlfn.MAP('12 - Beds'!B8:B507, '12 - Beds'!B8:B507, '12 - Beds-WUO_ERR'!B8:B507, _xlfn.LAMBDA(_xlpm.part, _xlpm.val, _xlpm.error, IF(_xlpm.part = "", "", IF(LEN(_xlpm.error), _xlfn.SWITCH(IFERROR(_xlfn.TEXTBEFORE(_xlpm.error,":"), ""), "1", "Error", "2", "Disabled", "3", "Required", "4", "Warning", "Valid"), "Valid"))))</f>
        <v/>
      </c>
      <c r="C8" s="22">
        <f t="array" ref="C8">_xlfn.MAP('12 - Beds'!B8:B507, '12 - Beds'!C8:C507, '12 - Beds-WUO_ERR'!C8:C507, _xlfn.LAMBDA(_xlpm.part, _xlpm.val, _xlpm.error, IF(_xlpm.part = "", "", IF(LEN(_xlpm.error), _xlfn.SWITCH(IFERROR(_xlfn.TEXTBEFORE(_xlpm.error,":"), ""), "1", "Error", "2", "Disabled", "3", "Required", "4", "Warning", "Valid"), "Valid"))))</f>
        <v/>
      </c>
      <c r="D8" s="22">
        <f t="array" ref="D8">_xlfn.MAP('12 - Beds'!B8:B507, '12 - Beds'!D8:D507, '12 - Beds-WUO_ERR'!D8:D507, _xlfn.LAMBDA(_xlpm.part, _xlpm.val, _xlpm.error, IF(_xlpm.part = "", "", IF(LEN(_xlpm.error), _xlfn.SWITCH(IFERROR(_xlfn.TEXTBEFORE(_xlpm.error,":"), ""), "1", "Error", "2", "Disabled", "3", "Required", "4", "Warning", "Valid"), "Valid"))))</f>
        <v/>
      </c>
      <c r="E8" s="22">
        <f t="array" ref="E8">_xlfn.MAP('12 - Beds'!B8:B507, '12 - Beds'!E8:E507, '12 - Beds-WUO_ERR'!E8:E507, _xlfn.LAMBDA(_xlpm.part, _xlpm.val, _xlpm.error, IF(_xlpm.part = "", "", IF(LEN(_xlpm.error), _xlfn.SWITCH(IFERROR(_xlfn.TEXTBEFORE(_xlpm.error,":"), ""), "1", "Error", "2", "Disabled", "3", "Required", "4", "Warning", "Valid"), "Valid"))))</f>
        <v/>
      </c>
      <c r="F8" s="22">
        <f t="array" ref="F8">_xlfn.MAP('12 - Beds'!B8:B507, '12 - Beds'!F8:F507, '12 - Beds-WUO_ERR'!F8:F507, _xlfn.LAMBDA(_xlpm.part, _xlpm.val, _xlpm.error, IF(_xlpm.part = "", "", IF(LEN(_xlpm.error), _xlfn.SWITCH(IFERROR(_xlfn.TEXTBEFORE(_xlpm.error,":"), ""), "1", "Error", "2", "Disabled", "3", "Required", "4", "Warning", "Valid"), "Valid"))))</f>
        <v/>
      </c>
      <c r="G8" s="22">
        <f t="array" ref="G8">_xlfn.MAP('12 - Beds'!B8:B507, '12 - Beds'!G8:G507, '12 - Beds-WUO_ERR'!G8:G507, _xlfn.LAMBDA(_xlpm.part, _xlpm.val, _xlpm.error, IF(_xlpm.part = "", "", IF(LEN(_xlpm.error), _xlfn.SWITCH(IFERROR(_xlfn.TEXTBEFORE(_xlpm.error,":"), ""), "1", "Error", "2", "Disabled", "3", "Required", "4", "Warning", "Valid"), "Valid"))))</f>
        <v/>
      </c>
      <c r="H8" s="22">
        <f t="array" ref="H8">_xlfn.MAP('12 - Beds'!B8:B507, '12 - Beds'!H8:H507, '12 - Beds-WUO_ERR'!H8:H507, _xlfn.LAMBDA(_xlpm.part, _xlpm.val, _xlpm.error, IF(_xlpm.part = "", "", IF(LEN(_xlpm.error), _xlfn.SWITCH(IFERROR(_xlfn.TEXTBEFORE(_xlpm.error,":"), ""), "1", "Error", "2", "Disabled", "3", "Required", "4", "Warning", "Valid"), "Valid"))))</f>
        <v/>
      </c>
      <c r="I8" s="22">
        <f t="array" ref="I8">_xlfn.MAP('12 - Beds'!B8:B507, '12 - Beds'!I8:I507, '12 - Beds-WUO_ERR'!I8:I507, _xlfn.LAMBDA(_xlpm.part, _xlpm.val, _xlpm.error, IF(_xlpm.part = "", "", IF(LEN(_xlpm.error), _xlfn.SWITCH(IFERROR(_xlfn.TEXTBEFORE(_xlpm.error,":"), ""), "1", "Error", "2", "Disabled", "3", "Required", "4", "Warning", "Valid"), "Valid"))))</f>
        <v/>
      </c>
      <c r="J8" s="22">
        <f t="array" ref="J8">_xlfn.MAP('12 - Beds'!B8:B507, '12 - Beds'!J8:J507, '12 - Beds-WUO_ERR'!J8:J507, _xlfn.LAMBDA(_xlpm.part, _xlpm.val, _xlpm.error, IF(_xlpm.part = "", "", IF(LEN(_xlpm.error), _xlfn.SWITCH(IFERROR(_xlfn.TEXTBEFORE(_xlpm.error,":"), ""), "1", "Error", "2", "Disabled", "3", "Required", "4", "Warning", "Valid"), "Valid"))))</f>
        <v/>
      </c>
      <c r="K8" s="22">
        <f t="array" ref="K8">_xlfn.MAP('12 - Beds'!B8:B507, '12 - Beds'!K8:K507, '12 - Beds-WUO_ERR'!K8:K507, _xlfn.LAMBDA(_xlpm.part, _xlpm.val, _xlpm.error, IF(_xlpm.part = "", "", IF(LEN(_xlpm.error), _xlfn.SWITCH(IFERROR(_xlfn.TEXTBEFORE(_xlpm.error,":"), ""), "1", "Error", "2", "Disabled", "3", "Required", "4", "Warning", "Valid"), "Valid"))))</f>
        <v/>
      </c>
      <c r="L8" s="22">
        <f t="array" ref="L8">_xlfn.MAP('12 - Beds'!B8:B507, '12 - Beds'!L8:L507, '12 - Beds-WUO_ERR'!L8:L507, _xlfn.LAMBDA(_xlpm.part, _xlpm.val, _xlpm.error, IF(_xlpm.part = "", "", IF(LEN(_xlpm.error), _xlfn.SWITCH(IFERROR(_xlfn.TEXTBEFORE(_xlpm.error,":"), ""), "1", "Error", "2", "Disabled", "3", "Required", "4", "Warning", "Valid"), "Valid"))))</f>
        <v/>
      </c>
      <c r="M8" s="22">
        <f t="array" ref="M8">_xlfn.MAP('12 - Beds'!B8:B507, '12 - Beds'!M8:M507, '12 - Beds-WUO_ERR'!M8:M507, _xlfn.LAMBDA(_xlpm.part, _xlpm.val, _xlpm.error, IF(_xlpm.part = "", "", IF(LEN(_xlpm.error), _xlfn.SWITCH(IFERROR(_xlfn.TEXTBEFORE(_xlpm.error,":"), ""), "1", "Error", "2", "Disabled", "3", "Required", "4", "Warning", "Valid"), "Valid"))))</f>
        <v/>
      </c>
      <c r="N8" s="22">
        <f t="array" ref="N8">_xlfn.MAP('12 - Beds'!B8:B507, '12 - Beds'!N8:N507, '12 - Beds-WUO_ERR'!N8:N507, _xlfn.LAMBDA(_xlpm.part, _xlpm.val, _xlpm.error, IF(_xlpm.part = "", "", IF(LEN(_xlpm.error), _xlfn.SWITCH(IFERROR(_xlfn.TEXTBEFORE(_xlpm.error,":"), ""), "1", "Error", "2", "Disabled", "3", "Required", "4", "Warning", "Valid"), "Valid"))))</f>
        <v/>
      </c>
      <c r="O8" s="22">
        <f t="array" ref="O8">_xlfn.MAP('12 - Beds'!B8:B507, '12 - Beds'!O8:O507, '12 - Beds-WUO_ERR'!O8:O507, _xlfn.LAMBDA(_xlpm.part, _xlpm.val, _xlpm.error, IF(_xlpm.part = "", "", IF(LEN(_xlpm.error), _xlfn.SWITCH(IFERROR(_xlfn.TEXTBEFORE(_xlpm.error,":"), ""), "1", "Error", "2", "Disabled", "3", "Required", "4", "Warning", "Valid"), "Valid"))))</f>
        <v/>
      </c>
      <c r="P8" s="22">
        <f t="array" ref="P8">_xlfn.MAP('12 - Beds'!B8:B507, '12 - Beds'!P8:P507, '12 - Beds-WUO_ERR'!P8:P507, _xlfn.LAMBDA(_xlpm.part, _xlpm.val, _xlpm.error, IF(_xlpm.part = "", "", IF(LEN(_xlpm.error), _xlfn.SWITCH(IFERROR(_xlfn.TEXTBEFORE(_xlpm.error,":"), ""), "1", "Error", "2", "Disabled", "3", "Required", "4", "Warning", "Valid"), "Valid"))))</f>
        <v/>
      </c>
      <c r="Q8" s="22">
        <f t="array" ref="Q8">_xlfn.MAP('12 - Beds'!B8:B507, '12 - Beds'!Q8:Q507, '12 - Beds-WUO_ERR'!Q8:Q507, _xlfn.LAMBDA(_xlpm.part, _xlpm.val, _xlpm.error, IF(_xlpm.part = "", "", IF(LEN(_xlpm.error), _xlfn.SWITCH(IFERROR(_xlfn.TEXTBEFORE(_xlpm.error,":"), ""), "1", "Error", "2", "Disabled", "3", "Required", "4", "Warning", "Valid"), "Valid"))))</f>
        <v/>
      </c>
      <c r="R8" s="22">
        <f t="array" ref="R8">_xlfn.MAP('12 - Beds'!B8:B507, '12 - Beds'!R8:R507, '12 - Beds-WUO_ERR'!R8:R507, _xlfn.LAMBDA(_xlpm.part, _xlpm.val, _xlpm.error, IF(_xlpm.part = "", "", IF(LEN(_xlpm.error), _xlfn.SWITCH(IFERROR(_xlfn.TEXTBEFORE(_xlpm.error,":"), ""), "1", "Error", "2", "Disabled", "3", "Required", "4", "Warning", "Valid"), "Valid"))))</f>
        <v/>
      </c>
      <c r="S8" s="22">
        <f t="array" ref="S8">_xlfn.MAP('12 - Beds'!B8:B507, '12 - Beds'!S8:S507, '12 - Beds-WUO_ERR'!S8:S507, _xlfn.LAMBDA(_xlpm.part, _xlpm.val, _xlpm.error, IF(_xlpm.part = "", "", IF(LEN(_xlpm.error), _xlfn.SWITCH(IFERROR(_xlfn.TEXTBEFORE(_xlpm.error,":"), ""), "1", "Error", "2", "Disabled", "3", "Required", "4", "Warning", "Valid"), "Valid"))))</f>
        <v/>
      </c>
      <c r="T8" s="22">
        <f t="array" ref="T8">_xlfn.MAP('12 - Beds'!B8:B507, '12 - Beds'!T8:T507, '12 - Beds-WUO_ERR'!T8:T507, _xlfn.LAMBDA(_xlpm.part, _xlpm.val, _xlpm.error, IF(_xlpm.part = "", "", IF(LEN(_xlpm.error), _xlfn.SWITCH(IFERROR(_xlfn.TEXTBEFORE(_xlpm.error,":"), ""), "1", "Error", "2", "Disabled", "3", "Required", "4", "Warning", "Valid"), "Valid"))))</f>
        <v/>
      </c>
      <c r="U8" s="22">
        <f t="array" ref="U8">_xlfn.MAP('12 - Beds'!B8:B507, '12 - Beds'!U8:U507, '12 - Beds-WUO_ERR'!U8:U507, _xlfn.LAMBDA(_xlpm.part, _xlpm.val, _xlpm.error, IF(_xlpm.part = "", "", IF(LEN(_xlpm.error), _xlfn.SWITCH(IFERROR(_xlfn.TEXTBEFORE(_xlpm.error,":"), ""), "1", "Error", "2", "Disabled", "3", "Required", "4", "Warning", "Valid"), "Valid"))))</f>
        <v/>
      </c>
      <c r="V8" s="22">
        <f t="array" ref="V8">_xlfn.MAP('12 - Beds'!B8:B507, '12 - Beds'!V8:V507, '12 - Beds-WUO_ERR'!V8:V507, _xlfn.LAMBDA(_xlpm.part, _xlpm.val, _xlpm.error, IF(_xlpm.part = "", "", IF(LEN(_xlpm.error), _xlfn.SWITCH(IFERROR(_xlfn.TEXTBEFORE(_xlpm.error,":"), ""), "1", "Error", "2", "Disabled", "3", "Required", "4", "Warning", "Valid"), "Valid"))))</f>
        <v/>
      </c>
      <c r="W8" s="22">
        <f t="array" ref="W8">_xlfn.MAP('12 - Beds'!B8:B507, '12 - Beds'!W8:W507, '12 - Beds-WUO_ERR'!W8:W507, _xlfn.LAMBDA(_xlpm.part, _xlpm.val, _xlpm.error, IF(_xlpm.part = "", "", IF(LEN(_xlpm.error), _xlfn.SWITCH(IFERROR(_xlfn.TEXTBEFORE(_xlpm.error,":"), ""), "1", "Error", "2", "Disabled", "3", "Required", "4", "Warning", "Valid"), "Valid"))))</f>
        <v/>
      </c>
      <c r="X8" s="22">
        <f t="array" ref="X8">_xlfn.MAP('12 - Beds'!B8:B507, '12 - Beds'!X8:X507, '12 - Beds-WUO_ERR'!X8:X507, _xlfn.LAMBDA(_xlpm.part, _xlpm.val, _xlpm.error, IF(_xlpm.part = "", "", IF(LEN(_xlpm.error), _xlfn.SWITCH(IFERROR(_xlfn.TEXTBEFORE(_xlpm.error,":"), ""), "1", "Error", "2", "Disabled", "3", "Required", "4", "Warning", "Valid"), "Valid"))))</f>
        <v/>
      </c>
      <c r="Y8" s="22">
        <f t="array" ref="Y8">_xlfn.MAP('12 - Beds'!B8:B507, '12 - Beds'!Y8:Y507, '12 - Beds-WUO_ERR'!Y8:Y507, _xlfn.LAMBDA(_xlpm.part, _xlpm.val, _xlpm.error, IF(_xlpm.part = "", "", IF(LEN(_xlpm.error), _xlfn.SWITCH(IFERROR(_xlfn.TEXTBEFORE(_xlpm.error,":"), ""), "1", "Error", "2", "Disabled", "3", "Required", "4", "Warning", "Valid"), "Valid"))))</f>
        <v/>
      </c>
      <c r="Z8" s="22">
        <f t="array" ref="Z8">_xlfn.MAP('12 - Beds'!B8:B507, '12 - Beds'!Z8:Z507, '12 - Beds-WUO_ERR'!Z8:Z507, _xlfn.LAMBDA(_xlpm.part, _xlpm.val, _xlpm.error, IF(_xlpm.part = "", "", IF(LEN(_xlpm.error), _xlfn.SWITCH(IFERROR(_xlfn.TEXTBEFORE(_xlpm.error,":"), ""), "1", "Error", "2", "Disabled", "3", "Required", "4", "Warning", "Valid"), "Valid"))))</f>
        <v/>
      </c>
      <c r="AA8" s="22">
        <f t="array" ref="AA8">_xlfn.MAP('12 - Beds'!B8:B507, '12 - Beds'!AA8:AA507, '12 - Beds-WUO_ERR'!AA8:AA507, _xlfn.LAMBDA(_xlpm.part, _xlpm.val, _xlpm.error, IF(_xlpm.part = "", "", IF(LEN(_xlpm.error), _xlfn.SWITCH(IFERROR(_xlfn.TEXTBEFORE(_xlpm.error,":"), ""), "1", "Error", "2", "Disabled", "3", "Required", "4", "Warning", "Valid"), "Valid"))))</f>
        <v/>
      </c>
      <c r="AB8" s="22">
        <f t="array" ref="AB8">_xlfn.MAP('12 - Beds'!B8:B507, '12 - Beds'!AB8:AB507, '12 - Beds-WUO_ERR'!AB8:AB507, _xlfn.LAMBDA(_xlpm.part, _xlpm.val, _xlpm.error, IF(_xlpm.part = "", "", IF(LEN(_xlpm.error), _xlfn.SWITCH(IFERROR(_xlfn.TEXTBEFORE(_xlpm.error,":"), ""), "1", "Error", "2", "Disabled", "3", "Required", "4", "Warning", "Valid"), "Valid"))))</f>
        <v/>
      </c>
      <c r="AC8" s="22">
        <f t="array" ref="AC8">_xlfn.MAP('12 - Beds'!B8:B507, '12 - Beds'!AC8:AC507, '12 - Beds-WUO_ERR'!AC8:AC507, _xlfn.LAMBDA(_xlpm.part, _xlpm.val, _xlpm.error, IF(_xlpm.part = "", "", IF(LEN(_xlpm.error), _xlfn.SWITCH(IFERROR(_xlfn.TEXTBEFORE(_xlpm.error,":"), ""), "1", "Error", "2", "Disabled", "3", "Required", "4", "Warning", "Valid"), "Valid"))))</f>
        <v/>
      </c>
      <c r="AD8" s="22">
        <f t="array" ref="AD8">_xlfn.MAP('12 - Beds'!B8:B507, '12 - Beds'!AD8:AD507, '12 - Beds-WUO_ERR'!AD8:AD507, _xlfn.LAMBDA(_xlpm.part, _xlpm.val, _xlpm.error, IF(_xlpm.part = "", "", IF(LEN(_xlpm.error), _xlfn.SWITCH(IFERROR(_xlfn.TEXTBEFORE(_xlpm.error,":"), ""), "1", "Error", "2", "Disabled", "3", "Required", "4", "Warning", "Valid"), "Valid"))))</f>
        <v/>
      </c>
      <c r="AE8" s="22">
        <f t="array" ref="AE8">_xlfn.MAP('12 - Beds'!B8:B507, '12 - Beds'!AE8:AE507, '12 - Beds-WUO_ERR'!AE8:AE507, _xlfn.LAMBDA(_xlpm.part, _xlpm.val, _xlpm.error, IF(_xlpm.part = "", "", IF(LEN(_xlpm.error), _xlfn.SWITCH(IFERROR(_xlfn.TEXTBEFORE(_xlpm.error,":"), ""), "1", "Error", "2", "Disabled", "3", "Required", "4", "Warning", "Valid"), "Valid"))))</f>
        <v/>
      </c>
      <c r="AF8" s="22">
        <f t="array" ref="AF8">_xlfn.MAP('12 - Beds'!B8:B507, '12 - Beds'!AF8:AF507, '12 - Beds-WUO_ERR'!AF8:AF507, _xlfn.LAMBDA(_xlpm.part, _xlpm.val, _xlpm.error, IF(_xlpm.part = "", "", IF(LEN(_xlpm.error), _xlfn.SWITCH(IFERROR(_xlfn.TEXTBEFORE(_xlpm.error,":"), ""), "1", "Error", "2", "Disabled", "3", "Required", "4", "Warning", "Valid"), "Valid"))))</f>
        <v/>
      </c>
      <c r="AG8" s="22">
        <f t="array" ref="AG8">_xlfn.MAP('12 - Beds'!B8:B507, '12 - Beds'!AG8:AG507, '12 - Beds-WUO_ERR'!AG8:AG507, _xlfn.LAMBDA(_xlpm.part, _xlpm.val, _xlpm.error, IF(_xlpm.part = "", "", IF(LEN(_xlpm.error), _xlfn.SWITCH(IFERROR(_xlfn.TEXTBEFORE(_xlpm.error,":"), ""), "1", "Error", "2", "Disabled", "3", "Required", "4", "Warning", "Valid"), "Valid"))))</f>
        <v/>
      </c>
      <c r="AH8" s="22">
        <f t="array" ref="AH8">_xlfn.MAP('12 - Beds'!B8:B507, '12 - Beds'!AH8:AH507, '12 - Beds-WUO_ERR'!AH8:AH507, _xlfn.LAMBDA(_xlpm.part, _xlpm.val, _xlpm.error, IF(_xlpm.part = "", "", IF(LEN(_xlpm.error), _xlfn.SWITCH(IFERROR(_xlfn.TEXTBEFORE(_xlpm.error,":"), ""), "1", "Error", "2", "Disabled", "3", "Required", "4", "Warning", "Valid"), "Valid"))))</f>
        <v/>
      </c>
      <c r="AI8" s="22">
        <f t="array" ref="AI8">_xlfn.MAP('12 - Beds'!B8:B507, '12 - Beds'!AI8:AI507, '12 - Beds-WUO_ERR'!AI8:AI507, _xlfn.LAMBDA(_xlpm.part, _xlpm.val, _xlpm.error, IF(_xlpm.part = "", "", IF(LEN(_xlpm.error), _xlfn.SWITCH(IFERROR(_xlfn.TEXTBEFORE(_xlpm.error,":"), ""), "1", "Error", "2", "Disabled", "3", "Required", "4", "Warning", "Valid"), "Valid"))))</f>
        <v/>
      </c>
      <c r="AJ8" s="22">
        <f t="array" ref="AJ8">_xlfn.MAP('12 - Beds'!B8:B507, '12 - Beds'!AJ8:AJ507, '12 - Beds-WUO_ERR'!AJ8:AJ507, _xlfn.LAMBDA(_xlpm.part, _xlpm.val, _xlpm.error, IF(_xlpm.part = "", "", IF(LEN(_xlpm.error), _xlfn.SWITCH(IFERROR(_xlfn.TEXTBEFORE(_xlpm.error,":"), ""), "1", "Error", "2", "Disabled", "3", "Required", "4", "Warning", "Valid"), "Valid"))))</f>
        <v/>
      </c>
      <c r="AK8" s="22">
        <f t="array" ref="AK8">_xlfn.MAP('12 - Beds'!B8:B507, '12 - Beds'!AK8:AK507, '12 - Beds-WUO_ERR'!AK8:AK507, _xlfn.LAMBDA(_xlpm.part, _xlpm.val, _xlpm.error, IF(_xlpm.part = "", "", IF(LEN(_xlpm.error), _xlfn.SWITCH(IFERROR(_xlfn.TEXTBEFORE(_xlpm.error,":"), ""), "1", "Error", "2", "Disabled", "3", "Required", "4", "Warning", "Valid"), "Valid"))))</f>
        <v/>
      </c>
      <c r="AL8" s="22">
        <f t="array" ref="AL8">_xlfn.MAP('12 - Beds'!B8:B507, '12 - Beds'!AL8:AL507, '12 - Beds-WUO_ERR'!AL8:AL507, _xlfn.LAMBDA(_xlpm.part, _xlpm.val, _xlpm.error, IF(_xlpm.part = "", "", IF(LEN(_xlpm.error), _xlfn.SWITCH(IFERROR(_xlfn.TEXTBEFORE(_xlpm.error,":"), ""), "1", "Error", "2", "Disabled", "3", "Required", "4", "Warning", "Valid"), "Valid"))))</f>
        <v/>
      </c>
      <c r="AM8" s="22">
        <f t="array" ref="AM8">_xlfn.MAP('12 - Beds'!B8:B507, '12 - Beds'!AM8:AM507, '12 - Beds-WUO_ERR'!AM8:AM507, _xlfn.LAMBDA(_xlpm.part, _xlpm.val, _xlpm.error, IF(_xlpm.part = "", "", IF(LEN(_xlpm.error), _xlfn.SWITCH(IFERROR(_xlfn.TEXTBEFORE(_xlpm.error,":"), ""), "1", "Error", "2", "Disabled", "3", "Required", "4", "Warning", "Valid"), "Valid"))))</f>
        <v/>
      </c>
      <c r="AN8" s="22">
        <f t="array" ref="AN8">_xlfn.MAP('12 - Beds'!B8:B507, '12 - Beds'!AN8:AN507, '12 - Beds-WUO_ERR'!AN8:AN507, _xlfn.LAMBDA(_xlpm.part, _xlpm.val, _xlpm.error, IF(_xlpm.part = "", "", IF(LEN(_xlpm.error), _xlfn.SWITCH(IFERROR(_xlfn.TEXTBEFORE(_xlpm.error,":"), ""), "1", "Error", "2", "Disabled", "3", "Required", "4", "Warning", "Valid"), "Valid"))))</f>
        <v/>
      </c>
      <c r="AO8" s="22">
        <f t="array" ref="AO8">_xlfn.MAP('12 - Beds'!B8:B507, '12 - Beds'!AO8:AO507, '12 - Beds-WUO_ERR'!AO8:AO507, _xlfn.LAMBDA(_xlpm.part, _xlpm.val, _xlpm.error, IF(_xlpm.part = "", "", IF(LEN(_xlpm.error), _xlfn.SWITCH(IFERROR(_xlfn.TEXTBEFORE(_xlpm.error,":"), ""), "1", "Error", "2", "Disabled", "3", "Required", "4", "Warning", "Valid"), "Valid"))))</f>
        <v/>
      </c>
      <c r="AP8" s="22">
        <f t="array" ref="AP8">_xlfn.MAP('12 - Beds'!B8:B507, '12 - Beds'!AP8:AP507, '12 - Beds-WUO_ERR'!AP8:AP507, _xlfn.LAMBDA(_xlpm.part, _xlpm.val, _xlpm.error, IF(_xlpm.part = "", "", IF(LEN(_xlpm.error), _xlfn.SWITCH(IFERROR(_xlfn.TEXTBEFORE(_xlpm.error,":"), ""), "1", "Error", "2", "Disabled", "3", "Required", "4", "Warning", "Valid"), "Valid"))))</f>
        <v/>
      </c>
      <c r="AQ8" s="22">
        <f t="array" ref="AQ8">_xlfn.MAP('12 - Beds'!B8:B507, '12 - Beds'!AQ8:AQ507, '12 - Beds-WUO_ERR'!AQ8:AQ507, _xlfn.LAMBDA(_xlpm.part, _xlpm.val, _xlpm.error, IF(_xlpm.part = "", "", IF(LEN(_xlpm.error), _xlfn.SWITCH(IFERROR(_xlfn.TEXTBEFORE(_xlpm.error,":"), ""), "1", "Error", "2", "Disabled", "3", "Required", "4", "Warning", "Valid"), "Valid"))))</f>
        <v/>
      </c>
      <c r="AR8" s="22">
        <f t="array" ref="AR8">_xlfn.MAP('12 - Beds'!B8:B507, '12 - Beds'!AR8:AR507, '12 - Beds-WUO_ERR'!AR8:AR507, _xlfn.LAMBDA(_xlpm.part, _xlpm.val, _xlpm.error, IF(_xlpm.part = "", "", IF(LEN(_xlpm.error), _xlfn.SWITCH(IFERROR(_xlfn.TEXTBEFORE(_xlpm.error,":"), ""), "1", "Error", "2", "Disabled", "3", "Required", "4", "Warning", "Valid"), "Valid"))))</f>
        <v/>
      </c>
      <c r="AS8" s="22">
        <f t="array" ref="AS8">_xlfn.MAP('12 - Beds'!B8:B507, '12 - Beds'!AS8:AS507, '12 - Beds-WUO_ERR'!AS8:AS507, _xlfn.LAMBDA(_xlpm.part, _xlpm.val, _xlpm.error, IF(_xlpm.part = "", "", IF(LEN(_xlpm.error), _xlfn.SWITCH(IFERROR(_xlfn.TEXTBEFORE(_xlpm.error,":"), ""), "1", "Error", "2", "Disabled", "3", "Required", "4", "Warning", "Valid"), "Valid"))))</f>
        <v/>
      </c>
      <c r="AT8" s="22">
        <f t="array" ref="AT8">_xlfn.MAP('12 - Beds'!B8:B507, '12 - Beds'!AT8:AT507, '12 - Beds-WUO_ERR'!AT8:AT507, _xlfn.LAMBDA(_xlpm.part, _xlpm.val, _xlpm.error, IF(_xlpm.part = "", "", IF(LEN(_xlpm.error), _xlfn.SWITCH(IFERROR(_xlfn.TEXTBEFORE(_xlpm.error,":"), ""), "1", "Error", "2", "Disabled", "3", "Required", "4", "Warning", "Valid"), "Valid"))))</f>
        <v/>
      </c>
      <c r="AU8" s="22">
        <f t="array" ref="AU8">_xlfn.MAP('12 - Beds'!B8:B507, '12 - Beds'!AU8:AU507, '12 - Beds-WUO_ERR'!AU8:AU507, _xlfn.LAMBDA(_xlpm.part, _xlpm.val, _xlpm.error, IF(_xlpm.part = "", "", IF(LEN(_xlpm.error), _xlfn.SWITCH(IFERROR(_xlfn.TEXTBEFORE(_xlpm.error,":"), ""), "1", "Error", "2", "Disabled", "3", "Required", "4", "Warning", "Valid"), "Valid"))))</f>
        <v/>
      </c>
      <c r="AV8" s="22">
        <f t="array" ref="AV8">_xlfn.MAP('12 - Beds'!B8:B507, '12 - Beds'!AV8:AV507, '12 - Beds-WUO_ERR'!AV8:AV507, _xlfn.LAMBDA(_xlpm.part, _xlpm.val, _xlpm.error, IF(_xlpm.part = "", "", IF(LEN(_xlpm.error), _xlfn.SWITCH(IFERROR(_xlfn.TEXTBEFORE(_xlpm.error,":"), ""), "1", "Error", "2", "Disabled", "3", "Required", "4", "Warning", "Valid"), "Valid"))))</f>
        <v/>
      </c>
      <c r="AW8" s="22">
        <f t="array" ref="AW8">_xlfn.MAP('12 - Beds'!B8:B507, '12 - Beds'!AW8:AW507, '12 - Beds-WUO_ERR'!AW8:AW507, _xlfn.LAMBDA(_xlpm.part, _xlpm.val, _xlpm.error, IF(_xlpm.part = "", "", IF(LEN(_xlpm.error), _xlfn.SWITCH(IFERROR(_xlfn.TEXTBEFORE(_xlpm.error,":"), ""), "1", "Error", "2", "Disabled", "3", "Required", "4", "Warning", "Valid"), "Valid"))))</f>
        <v/>
      </c>
      <c r="AX8" s="22">
        <f t="array" ref="AX8">_xlfn.MAP('12 - Beds'!B8:B507, '12 - Beds'!AX8:AX507, '12 - Beds-WUO_ERR'!AX8:AX507, _xlfn.LAMBDA(_xlpm.part, _xlpm.val, _xlpm.error, IF(_xlpm.part = "", "", IF(LEN(_xlpm.error), _xlfn.SWITCH(IFERROR(_xlfn.TEXTBEFORE(_xlpm.error,":"), ""), "1", "Error", "2", "Disabled", "3", "Required", "4", "Warning", "Valid"), "Valid"))))</f>
        <v/>
      </c>
      <c r="AY8" s="22">
        <f t="array" ref="AY8">_xlfn.MAP('12 - Beds'!B8:B507, '12 - Beds'!AY8:AY507, '12 - Beds-WUO_ERR'!AY8:AY507, _xlfn.LAMBDA(_xlpm.part, _xlpm.val, _xlpm.error, IF(_xlpm.part = "", "", IF(LEN(_xlpm.error), _xlfn.SWITCH(IFERROR(_xlfn.TEXTBEFORE(_xlpm.error,":"), ""), "1", "Error", "2", "Disabled", "3", "Required", "4", "Warning", "Valid"), "Valid"))))</f>
        <v/>
      </c>
      <c r="AZ8" s="22">
        <f t="array" ref="AZ8">_xlfn.MAP('12 - Beds'!B8:B507, '12 - Beds'!AZ8:AZ507, '12 - Beds-WUO_ERR'!AZ8:AZ507, _xlfn.LAMBDA(_xlpm.part, _xlpm.val, _xlpm.error, IF(_xlpm.part = "", "", IF(LEN(_xlpm.error), _xlfn.SWITCH(IFERROR(_xlfn.TEXTBEFORE(_xlpm.error,":"), ""), "1", "Error", "2", "Disabled", "3", "Required", "4", "Warning", "Valid"), "Valid"))))</f>
        <v/>
      </c>
      <c r="BA8" s="22">
        <f t="array" ref="BA8">_xlfn.MAP('12 - Beds'!B8:B507, '12 - Beds'!BA8:BA507, '12 - Beds-WUO_ERR'!BA8:BA507, _xlfn.LAMBDA(_xlpm.part, _xlpm.val, _xlpm.error, IF(_xlpm.part = "", "", IF(LEN(_xlpm.error), _xlfn.SWITCH(IFERROR(_xlfn.TEXTBEFORE(_xlpm.error,":"), ""), "1", "Error", "2", "Disabled", "3", "Required", "4", "Warning", "Valid"), "Valid"))))</f>
        <v/>
      </c>
      <c r="BB8" s="22">
        <f t="array" ref="BB8">_xlfn.MAP('12 - Beds'!B8:B507, '12 - Beds'!BB8:BB507, '12 - Beds-WUO_ERR'!BB8:BB507, _xlfn.LAMBDA(_xlpm.part, _xlpm.val, _xlpm.error, IF(_xlpm.part = "", "", IF(LEN(_xlpm.error), _xlfn.SWITCH(IFERROR(_xlfn.TEXTBEFORE(_xlpm.error,":"), ""), "1", "Error", "2", "Disabled", "3", "Required", "4", "Warning", "Valid"), "Valid"))))</f>
        <v/>
      </c>
      <c r="BC8" s="22">
        <f t="array" ref="BC8">_xlfn.MAP('12 - Beds'!B8:B507, '12 - Beds'!BC8:BC507, '12 - Beds-WUO_ERR'!BC8:BC507, _xlfn.LAMBDA(_xlpm.part, _xlpm.val, _xlpm.error, IF(_xlpm.part = "", "", IF(LEN(_xlpm.error), _xlfn.SWITCH(IFERROR(_xlfn.TEXTBEFORE(_xlpm.error,":"), ""), "1", "Error", "2", "Disabled", "3", "Required", "4", "Warning", "Valid"), "Valid"))))</f>
        <v/>
      </c>
      <c r="BD8" s="22">
        <f t="array" ref="BD8">_xlfn.MAP('12 - Beds'!B8:B507, '12 - Beds'!BD8:BD507, '12 - Beds-WUO_ERR'!BD8:BD507, _xlfn.LAMBDA(_xlpm.part, _xlpm.val, _xlpm.error, IF(_xlpm.part = "", "", IF(LEN(_xlpm.error), _xlfn.SWITCH(IFERROR(_xlfn.TEXTBEFORE(_xlpm.error,":"), ""), "1", "Error", "2", "Disabled", "3", "Required", "4", "Warning", "Valid"), "Valid"))))</f>
        <v/>
      </c>
      <c r="BE8" s="22">
        <f t="array" ref="BE8">_xlfn.MAP('12 - Beds'!B8:B507, '12 - Beds'!BE8:BE507, '12 - Beds-WUO_ERR'!BE8:BE507, _xlfn.LAMBDA(_xlpm.part, _xlpm.val, _xlpm.error, IF(_xlpm.part = "", "", IF(LEN(_xlpm.error), _xlfn.SWITCH(IFERROR(_xlfn.TEXTBEFORE(_xlpm.error,":"), ""), "1", "Error", "2", "Disabled", "3", "Required", "4", "Warning", "Valid"), "Valid"))))</f>
        <v/>
      </c>
      <c r="BF8" s="22">
        <f t="array" ref="BF8">_xlfn.MAP('12 - Beds'!B8:B507, '12 - Beds'!BF8:BF507, '12 - Beds-WUO_ERR'!BF8:BF507, _xlfn.LAMBDA(_xlpm.part, _xlpm.val, _xlpm.error, IF(_xlpm.part = "", "", IF(LEN(_xlpm.error), _xlfn.SWITCH(IFERROR(_xlfn.TEXTBEFORE(_xlpm.error,":"), ""), "1", "Error", "2", "Disabled", "3", "Required", "4", "Warning", "Valid"), "Valid"))))</f>
        <v/>
      </c>
      <c r="BG8" s="22">
        <f t="array" ref="BG8">_xlfn.MAP('12 - Beds'!B8:B507, '12 - Beds'!BG8:BG507, '12 - Beds-WUO_ERR'!BG8:BG507, _xlfn.LAMBDA(_xlpm.part, _xlpm.val, _xlpm.error, IF(_xlpm.part = "", "", IF(LEN(_xlpm.error), _xlfn.SWITCH(IFERROR(_xlfn.TEXTBEFORE(_xlpm.error,":"), ""), "1", "Error", "2", "Disabled", "3", "Required", "4", "Warning", "Valid"), "Valid"))))</f>
        <v/>
      </c>
      <c r="BH8" s="22">
        <f t="array" ref="BH8">_xlfn.MAP('12 - Beds'!B8:B507, '12 - Beds'!BH8:BH507, '12 - Beds-WUO_ERR'!BH8:BH507, _xlfn.LAMBDA(_xlpm.part, _xlpm.val, _xlpm.error, IF(_xlpm.part = "", "", IF(LEN(_xlpm.error), _xlfn.SWITCH(IFERROR(_xlfn.TEXTBEFORE(_xlpm.error,":"), ""), "1", "Error", "2", "Disabled", "3", "Required", "4", "Warning", "Valid"), "Valid"))))</f>
        <v/>
      </c>
      <c r="BI8" s="22">
        <f t="array" ref="BI8">_xlfn.MAP('12 - Beds'!B8:B507, '12 - Beds'!BI8:BI507, '12 - Beds-WUO_ERR'!BI8:BI507, _xlfn.LAMBDA(_xlpm.part, _xlpm.val, _xlpm.error, IF(_xlpm.part = "", "", IF(LEN(_xlpm.error), _xlfn.SWITCH(IFERROR(_xlfn.TEXTBEFORE(_xlpm.error,":"), ""), "1", "Error", "2", "Disabled", "3", "Required", "4", "Warning", "Valid"), "Valid"))))</f>
        <v/>
      </c>
      <c r="BJ8" s="22">
        <f t="array" ref="BJ8">_xlfn.MAP('12 - Beds'!B8:B507, '12 - Beds'!BJ8:BJ507, '12 - Beds-WUO_ERR'!BJ8:BJ507, _xlfn.LAMBDA(_xlpm.part, _xlpm.val, _xlpm.error, IF(_xlpm.part = "", "", IF(LEN(_xlpm.error), _xlfn.SWITCH(IFERROR(_xlfn.TEXTBEFORE(_xlpm.error,":"), ""), "1", "Error", "2", "Disabled", "3", "Required", "4", "Warning", "Valid"), "Valid"))))</f>
        <v/>
      </c>
      <c r="BK8" s="22">
        <f t="array" ref="BK8">_xlfn.MAP('12 - Beds'!B8:B507, '12 - Beds'!BK8:BK507, '12 - Beds-WUO_ERR'!BK8:BK507, _xlfn.LAMBDA(_xlpm.part, _xlpm.val, _xlpm.error, IF(_xlpm.part = "", "", IF(LEN(_xlpm.error), _xlfn.SWITCH(IFERROR(_xlfn.TEXTBEFORE(_xlpm.error,":"), ""), "1", "Error", "2", "Disabled", "3", "Required", "4", "Warning", "Valid"), "Valid"))))</f>
        <v/>
      </c>
      <c r="BL8" s="22">
        <f t="array" ref="BL8">_xlfn.MAP('12 - Beds'!B8:B507, '12 - Beds'!BL8:BL507, '12 - Beds-WUO_ERR'!BL8:BL507, _xlfn.LAMBDA(_xlpm.part, _xlpm.val, _xlpm.error, IF(_xlpm.part = "", "", IF(LEN(_xlpm.error), _xlfn.SWITCH(IFERROR(_xlfn.TEXTBEFORE(_xlpm.error,":"), ""), "1", "Error", "2", "Disabled", "3", "Required", "4", "Warning", "Valid"), "Valid"))))</f>
        <v/>
      </c>
      <c r="BM8" s="22">
        <f t="array" ref="BM8">_xlfn.MAP('12 - Beds'!B8:B507, '12 - Beds'!BM8:BM507, '12 - Beds-WUO_ERR'!BM8:BM507, _xlfn.LAMBDA(_xlpm.part, _xlpm.val, _xlpm.error, IF(_xlpm.part = "", "", IF(LEN(_xlpm.error), _xlfn.SWITCH(IFERROR(_xlfn.TEXTBEFORE(_xlpm.error,":"), ""), "1", "Error", "2", "Disabled", "3", "Required", "4", "Warning", "Valid"), "Valid"))))</f>
        <v/>
      </c>
      <c r="BN8" s="22">
        <f t="array" ref="BN8">_xlfn.MAP('12 - Beds'!B8:B507, '12 - Beds'!BN8:BN507, '12 - Beds-WUO_ERR'!BN8:BN507, _xlfn.LAMBDA(_xlpm.part, _xlpm.val, _xlpm.error, IF(_xlpm.part = "", "", IF(LEN(_xlpm.error), _xlfn.SWITCH(IFERROR(_xlfn.TEXTBEFORE(_xlpm.error,":"), ""), "1", "Error", "2", "Disabled", "3", "Required", "4", "Warning", "Valid"), "Valid"))))</f>
        <v/>
      </c>
      <c r="BO8" s="22">
        <f t="array" ref="BO8">_xlfn.MAP('12 - Beds'!B8:B507, '12 - Beds'!BO8:BO507, '12 - Beds-WUO_ERR'!BO8:BO507, _xlfn.LAMBDA(_xlpm.part, _xlpm.val, _xlpm.error, IF(_xlpm.part = "", "", IF(LEN(_xlpm.error), _xlfn.SWITCH(IFERROR(_xlfn.TEXTBEFORE(_xlpm.error,":"), ""), "1", "Error", "2", "Disabled", "3", "Required", "4", "Warning", "Valid"), "Valid"))))</f>
        <v/>
      </c>
      <c r="BP8" s="22">
        <f t="array" ref="BP8">_xlfn.MAP('12 - Beds'!B8:B507, '12 - Beds'!BP8:BP507, '12 - Beds-WUO_ERR'!BP8:BP507, _xlfn.LAMBDA(_xlpm.part, _xlpm.val, _xlpm.error, IF(_xlpm.part = "", "", IF(LEN(_xlpm.error), _xlfn.SWITCH(IFERROR(_xlfn.TEXTBEFORE(_xlpm.error,":"), ""), "1", "Error", "2", "Disabled", "3", "Required", "4", "Warning", "Valid"), "Valid"))))</f>
        <v/>
      </c>
      <c r="BQ8" s="22">
        <f t="array" ref="BQ8">_xlfn.MAP('12 - Beds'!B8:B507, '12 - Beds'!BQ8:BQ507, '12 - Beds-WUO_ERR'!BQ8:BQ507, _xlfn.LAMBDA(_xlpm.part, _xlpm.val, _xlpm.error, IF(_xlpm.part = "", "", IF(LEN(_xlpm.error), _xlfn.SWITCH(IFERROR(_xlfn.TEXTBEFORE(_xlpm.error,":"), ""), "1", "Error", "2", "Disabled", "3", "Required", "4", "Warning", "Valid"), "Valid"))))</f>
        <v/>
      </c>
      <c r="BR8" s="22">
        <f t="array" ref="BR8">_xlfn.MAP('12 - Beds'!B8:B507, '12 - Beds'!BR8:BR507, '12 - Beds-WUO_ERR'!BR8:BR507, _xlfn.LAMBDA(_xlpm.part, _xlpm.val, _xlpm.error, IF(_xlpm.part = "", "", IF(LEN(_xlpm.error), _xlfn.SWITCH(IFERROR(_xlfn.TEXTBEFORE(_xlpm.error,":"), ""), "1", "Error", "2", "Disabled", "3", "Required", "4", "Warning", "Valid"), "Valid"))))</f>
        <v/>
      </c>
      <c r="BS8" s="22">
        <f t="array" ref="BS8">_xlfn.MAP('12 - Beds'!B8:B507, '12 - Beds'!BS8:BS507, '12 - Beds-WUO_ERR'!BS8:BS507, _xlfn.LAMBDA(_xlpm.part, _xlpm.val, _xlpm.error, IF(_xlpm.part = "", "", IF(LEN(_xlpm.error), _xlfn.SWITCH(IFERROR(_xlfn.TEXTBEFORE(_xlpm.error,":"), ""), "1", "Error", "2", "Disabled", "3", "Required", "4", "Warning", "Valid"), "Valid"))))</f>
        <v/>
      </c>
      <c r="BT8" s="22">
        <f t="array" ref="BT8">_xlfn.MAP('12 - Beds'!B8:B507, '12 - Beds'!BT8:BT507, '12 - Beds-WUO_ERR'!BT8:BT507, _xlfn.LAMBDA(_xlpm.part, _xlpm.val, _xlpm.error, IF(_xlpm.part = "", "", IF(LEN(_xlpm.error), _xlfn.SWITCH(IFERROR(_xlfn.TEXTBEFORE(_xlpm.error,":"), ""), "1", "Error", "2", "Disabled", "3", "Required", "4", "Warning", "Valid"), "Valid"))))</f>
        <v/>
      </c>
      <c r="BU8" s="22">
        <f t="array" ref="BU8">_xlfn.MAP('12 - Beds'!B8:B507, '12 - Beds'!BU8:BU507, '12 - Beds-WUO_ERR'!BU8:BU507, _xlfn.LAMBDA(_xlpm.part, _xlpm.val, _xlpm.error, IF(_xlpm.part = "", "", IF(LEN(_xlpm.error), _xlfn.SWITCH(IFERROR(_xlfn.TEXTBEFORE(_xlpm.error,":"), ""), "1", "Error", "2", "Disabled", "3", "Required", "4", "Warning", "Valid"), "Valid"))))</f>
        <v/>
      </c>
      <c r="BV8" s="22">
        <f t="array" ref="BV8">_xlfn.MAP('12 - Beds'!B8:B507, '12 - Beds'!BV8:BV507, '12 - Beds-WUO_ERR'!BV8:BV507, _xlfn.LAMBDA(_xlpm.part, _xlpm.val, _xlpm.error, IF(_xlpm.part = "", "", IF(LEN(_xlpm.error), _xlfn.SWITCH(IFERROR(_xlfn.TEXTBEFORE(_xlpm.error,":"), ""), "1", "Error", "2", "Disabled", "3", "Required", "4", "Warning", "Valid"), "Valid"))))</f>
        <v/>
      </c>
      <c r="BW8" s="22">
        <f t="array" ref="BW8">_xlfn.MAP('12 - Beds'!B8:B507, '12 - Beds'!BW8:BW507, '12 - Beds-WUO_ERR'!BW8:BW507, _xlfn.LAMBDA(_xlpm.part, _xlpm.val, _xlpm.error, IF(_xlpm.part = "", "", IF(LEN(_xlpm.error), _xlfn.SWITCH(IFERROR(_xlfn.TEXTBEFORE(_xlpm.error,":"), ""), "1", "Error", "2", "Disabled", "3", "Required", "4", "Warning", "Valid"), "Valid"))))</f>
        <v/>
      </c>
      <c r="BX8" s="22">
        <f t="array" ref="BX8">_xlfn.MAP('12 - Beds'!B8:B507, '12 - Beds'!BX8:BX507, '12 - Beds-WUO_ERR'!BX8:BX507, _xlfn.LAMBDA(_xlpm.part, _xlpm.val, _xlpm.error, IF(_xlpm.part = "", "", IF(LEN(_xlpm.error), _xlfn.SWITCH(IFERROR(_xlfn.TEXTBEFORE(_xlpm.error,":"), ""), "1", "Error", "2", "Disabled", "3", "Required", "4", "Warning", "Valid"), "Valid"))))</f>
        <v/>
      </c>
      <c r="BY8" s="22">
        <f t="array" ref="BY8">_xlfn.MAP('12 - Beds'!B8:B507, '12 - Beds'!BY8:BY507, '12 - Beds-WUO_ERR'!BY8:BY507, _xlfn.LAMBDA(_xlpm.part, _xlpm.val, _xlpm.error, IF(_xlpm.part = "", "", IF(LEN(_xlpm.error), _xlfn.SWITCH(IFERROR(_xlfn.TEXTBEFORE(_xlpm.error,":"), ""), "1", "Error", "2", "Disabled", "3", "Required", "4", "Warning", "Valid"), "Valid"))))</f>
        <v/>
      </c>
      <c r="BZ8" s="22">
        <f t="array" ref="BZ8">_xlfn.MAP('12 - Beds'!B8:B507, '12 - Beds'!BZ8:BZ507, '12 - Beds-WUO_ERR'!BZ8:BZ507, _xlfn.LAMBDA(_xlpm.part, _xlpm.val, _xlpm.error, IF(_xlpm.part = "", "", IF(LEN(_xlpm.error), _xlfn.SWITCH(IFERROR(_xlfn.TEXTBEFORE(_xlpm.error,":"), ""), "1", "Error", "2", "Disabled", "3", "Required", "4", "Warning", "Valid"), "Valid"))))</f>
        <v/>
      </c>
      <c r="CA8" s="22">
        <f t="array" ref="CA8">_xlfn.MAP('12 - Beds'!B8:B507, '12 - Beds'!CA8:CA507, '12 - Beds-WUO_ERR'!CA8:CA507, _xlfn.LAMBDA(_xlpm.part, _xlpm.val, _xlpm.error, IF(_xlpm.part = "", "", IF(LEN(_xlpm.error), _xlfn.SWITCH(IFERROR(_xlfn.TEXTBEFORE(_xlpm.error,":"), ""), "1", "Error", "2", "Disabled", "3", "Required", "4", "Warning", "Valid"), "Valid"))))</f>
        <v/>
      </c>
      <c r="CB8" s="22">
        <f t="array" ref="CB8">_xlfn.MAP('12 - Beds'!B8:B507, '12 - Beds'!CB8:CB507, '12 - Beds-WUO_ERR'!CB8:CB507, _xlfn.LAMBDA(_xlpm.part, _xlpm.val, _xlpm.error, IF(_xlpm.part = "", "", IF(LEN(_xlpm.error), _xlfn.SWITCH(IFERROR(_xlfn.TEXTBEFORE(_xlpm.error,":"), ""), "1", "Error", "2", "Disabled", "3", "Required", "4", "Warning", "Valid"), "Valid"))))</f>
        <v/>
      </c>
      <c r="CC8" s="22">
        <f t="array" ref="CC8">_xlfn.MAP('12 - Beds'!B8:B507, '12 - Beds'!CC8:CC507, '12 - Beds-WUO_ERR'!CC8:CC507, _xlfn.LAMBDA(_xlpm.part, _xlpm.val, _xlpm.error, IF(_xlpm.part = "", "", IF(LEN(_xlpm.error), _xlfn.SWITCH(IFERROR(_xlfn.TEXTBEFORE(_xlpm.error,":"), ""), "1", "Error", "2", "Disabled", "3", "Required", "4", "Warning", "Valid"), "Valid"))))</f>
        <v/>
      </c>
      <c r="CD8" s="22">
        <f t="array" ref="CD8">_xlfn.MAP('12 - Beds'!B8:B507, '12 - Beds'!CD8:CD507, '12 - Beds-WUO_ERR'!CD8:CD507, _xlfn.LAMBDA(_xlpm.part, _xlpm.val, _xlpm.error, IF(_xlpm.part = "", "", IF(LEN(_xlpm.error), _xlfn.SWITCH(IFERROR(_xlfn.TEXTBEFORE(_xlpm.error,":"), ""), "1", "Error", "2", "Disabled", "3", "Required", "4", "Warning", "Valid"), "Valid"))))</f>
        <v/>
      </c>
      <c r="CE8" s="22">
        <f t="array" ref="CE8">_xlfn.MAP('12 - Beds'!B8:B507, '12 - Beds'!CE8:CE507, '12 - Beds-WUO_ERR'!CE8:CE507, _xlfn.LAMBDA(_xlpm.part, _xlpm.val, _xlpm.error, IF(_xlpm.part = "", "", IF(LEN(_xlpm.error), _xlfn.SWITCH(IFERROR(_xlfn.TEXTBEFORE(_xlpm.error,":"), ""), "1", "Error", "2", "Disabled", "3", "Required", "4", "Warning", "Valid"), "Valid"))))</f>
        <v/>
      </c>
      <c r="CF8" s="22">
        <f t="array" ref="CF8">_xlfn.MAP('12 - Beds'!B8:B507, '12 - Beds'!CF8:CF507, '12 - Beds-WUO_ERR'!CF8:CF507, _xlfn.LAMBDA(_xlpm.part, _xlpm.val, _xlpm.error, IF(_xlpm.part = "", "", IF(LEN(_xlpm.error), _xlfn.SWITCH(IFERROR(_xlfn.TEXTBEFORE(_xlpm.error,":"), ""), "1", "Error", "2", "Disabled", "3", "Required", "4", "Warning", "Valid"), "Valid"))))</f>
        <v/>
      </c>
      <c r="CG8" s="22">
        <f t="array" ref="CG8">_xlfn.MAP('12 - Beds'!B8:B507, '12 - Beds'!CG8:CG507, '12 - Beds-WUO_ERR'!CG8:CG507, _xlfn.LAMBDA(_xlpm.part, _xlpm.val, _xlpm.error, IF(_xlpm.part = "", "", IF(LEN(_xlpm.error), _xlfn.SWITCH(IFERROR(_xlfn.TEXTBEFORE(_xlpm.error,":"), ""), "1", "Error", "2", "Disabled", "3", "Required", "4", "Warning", "Valid"), "Valid"))))</f>
        <v/>
      </c>
      <c r="CH8" s="22">
        <f t="array" ref="CH8">_xlfn.MAP('12 - Beds'!B8:B507, '12 - Beds'!CH8:CH507, '12 - Beds-WUO_ERR'!CH8:CH507, _xlfn.LAMBDA(_xlpm.part, _xlpm.val, _xlpm.error, IF(_xlpm.part = "", "", IF(LEN(_xlpm.error), _xlfn.SWITCH(IFERROR(_xlfn.TEXTBEFORE(_xlpm.error,":"), ""), "1", "Error", "2", "Disabled", "3", "Required", "4", "Warning", "Valid"), "Valid"))))</f>
        <v/>
      </c>
      <c r="CI8" s="22">
        <f t="array" ref="CI8">_xlfn.MAP('12 - Beds'!B8:B507, '12 - Beds'!CI8:CI507, '12 - Beds-WUO_ERR'!CI8:CI507, _xlfn.LAMBDA(_xlpm.part, _xlpm.val, _xlpm.error, IF(_xlpm.part = "", "", IF(LEN(_xlpm.error), _xlfn.SWITCH(IFERROR(_xlfn.TEXTBEFORE(_xlpm.error,":"), ""), "1", "Error", "2", "Disabled", "3", "Required", "4", "Warning", "Valid"), "Valid"))))</f>
        <v/>
      </c>
      <c r="CJ8" s="22">
        <f t="array" ref="CJ8">_xlfn.MAP('12 - Beds'!B8:B507, '12 - Beds'!CJ8:CJ507, '12 - Beds-WUO_ERR'!CJ8:CJ507, _xlfn.LAMBDA(_xlpm.part, _xlpm.val, _xlpm.error, IF(_xlpm.part = "", "", IF(LEN(_xlpm.error), _xlfn.SWITCH(IFERROR(_xlfn.TEXTBEFORE(_xlpm.error,":"), ""), "1", "Error", "2", "Disabled", "3", "Required", "4", "Warning", "Valid"), "Valid"))))</f>
        <v/>
      </c>
      <c r="CK8" s="22">
        <f t="array" ref="CK8">_xlfn.MAP('12 - Beds'!B8:B507, '12 - Beds'!CK8:CK507, '12 - Beds-WUO_ERR'!CK8:CK507, _xlfn.LAMBDA(_xlpm.part, _xlpm.val, _xlpm.error, IF(_xlpm.part = "", "", IF(LEN(_xlpm.error), _xlfn.SWITCH(IFERROR(_xlfn.TEXTBEFORE(_xlpm.error,":"), ""), "1", "Error", "2", "Disabled", "3", "Required", "4", "Warning", "Valid"), "Valid"))))</f>
        <v/>
      </c>
      <c r="CL8" s="22">
        <f t="array" ref="CL8">_xlfn.MAP('12 - Beds'!B8:B507, '12 - Beds'!CL8:CL507, '12 - Beds-WUO_ERR'!CL8:CL507, _xlfn.LAMBDA(_xlpm.part, _xlpm.val, _xlpm.error, IF(_xlpm.part = "", "", IF(LEN(_xlpm.error), _xlfn.SWITCH(IFERROR(_xlfn.TEXTBEFORE(_xlpm.error,":"), ""), "1", "Error", "2", "Disabled", "3", "Required", "4", "Warning", "Valid"), "Valid"))))</f>
        <v/>
      </c>
      <c r="CM8" s="22">
        <f t="array" ref="CM8">_xlfn.MAP('12 - Beds'!B8:B507, '12 - Beds'!CM8:CM507, '12 - Beds-WUO_ERR'!CM8:CM507, _xlfn.LAMBDA(_xlpm.part, _xlpm.val, _xlpm.error, IF(_xlpm.part = "", "", IF(LEN(_xlpm.error), _xlfn.SWITCH(IFERROR(_xlfn.TEXTBEFORE(_xlpm.error,":"), ""), "1", "Error", "2", "Disabled", "3", "Required", "4", "Warning", "Valid"), "Valid"))))</f>
        <v/>
      </c>
      <c r="CN8" s="22">
        <f t="array" ref="CN8">_xlfn.MAP('12 - Beds'!B8:B507, '12 - Beds'!CN8:CN507, '12 - Beds-WUO_ERR'!CN8:CN507, _xlfn.LAMBDA(_xlpm.part, _xlpm.val, _xlpm.error, IF(_xlpm.part = "", "", IF(LEN(_xlpm.error), _xlfn.SWITCH(IFERROR(_xlfn.TEXTBEFORE(_xlpm.error,":"), ""), "1", "Error", "2", "Disabled", "3", "Required", "4", "Warning", "Valid"), "Valid"))))</f>
        <v/>
      </c>
      <c r="CO8" s="22">
        <f t="array" ref="CO8">_xlfn.MAP('12 - Beds'!B8:B507, '12 - Beds'!CO8:CO507, '12 - Beds-WUO_ERR'!CO8:CO507, _xlfn.LAMBDA(_xlpm.part, _xlpm.val, _xlpm.error, IF(_xlpm.part = "", "", IF(LEN(_xlpm.error), _xlfn.SWITCH(IFERROR(_xlfn.TEXTBEFORE(_xlpm.error,":"), ""), "1", "Error", "2", "Disabled", "3", "Required", "4", "Warning", "Valid"), "Valid"))))</f>
        <v/>
      </c>
      <c r="CP8" s="22">
        <f t="array" ref="CP8">_xlfn.MAP('12 - Beds'!B8:B507, '12 - Beds'!CP8:CP507, '12 - Beds-WUO_ERR'!CP8:CP507, _xlfn.LAMBDA(_xlpm.part, _xlpm.val, _xlpm.error, IF(_xlpm.part = "", "", IF(LEN(_xlpm.error), _xlfn.SWITCH(IFERROR(_xlfn.TEXTBEFORE(_xlpm.error,":"), ""), "1", "Error", "2", "Disabled", "3", "Required", "4", "Warning", "Valid"), "Valid"))))</f>
        <v/>
      </c>
      <c r="CQ8" s="22">
        <f t="array" ref="CQ8">_xlfn.MAP('12 - Beds'!B8:B507, '12 - Beds'!CQ8:CQ507, '12 - Beds-WUO_ERR'!CQ8:CQ507, _xlfn.LAMBDA(_xlpm.part, _xlpm.val, _xlpm.error, IF(_xlpm.part = "", "", IF(LEN(_xlpm.error), _xlfn.SWITCH(IFERROR(_xlfn.TEXTBEFORE(_xlpm.error,":"), ""), "1", "Error", "2", "Disabled", "3", "Required", "4", "Warning", "Valid"), "Valid"))))</f>
        <v/>
      </c>
      <c r="CR8" s="22">
        <f t="array" ref="CR8">_xlfn.MAP('12 - Beds'!B8:B507, '12 - Beds'!CR8:CR507, '12 - Beds-WUO_ERR'!CR8:CR507, _xlfn.LAMBDA(_xlpm.part, _xlpm.val, _xlpm.error, IF(_xlpm.part = "", "", IF(LEN(_xlpm.error), _xlfn.SWITCH(IFERROR(_xlfn.TEXTBEFORE(_xlpm.error,":"), ""), "1", "Error", "2", "Disabled", "3", "Required", "4", "Warning", "Valid"), "Valid"))))</f>
        <v/>
      </c>
      <c r="CS8" s="22">
        <f t="array" ref="CS8">_xlfn.MAP('12 - Beds'!B8:B507, '12 - Beds'!CS8:CS507, '12 - Beds-WUO_ERR'!CS8:CS507, _xlfn.LAMBDA(_xlpm.part, _xlpm.val, _xlpm.error, IF(_xlpm.part = "", "", IF(LEN(_xlpm.error), _xlfn.SWITCH(IFERROR(_xlfn.TEXTBEFORE(_xlpm.error,":"), ""), "1", "Error", "2", "Disabled", "3", "Required", "4", "Warning", "Valid"), "Valid"))))</f>
        <v/>
      </c>
      <c r="CT8" s="22">
        <f t="array" ref="CT8">_xlfn.MAP('12 - Beds'!B8:B507, '12 - Beds'!CT8:CT507, '12 - Beds-WUO_ERR'!CT8:CT507, _xlfn.LAMBDA(_xlpm.part, _xlpm.val, _xlpm.error, IF(_xlpm.part = "", "", IF(LEN(_xlpm.error), _xlfn.SWITCH(IFERROR(_xlfn.TEXTBEFORE(_xlpm.error,":"), ""), "1", "Error", "2", "Disabled", "3", "Required", "4", "Warning", "Valid"), "Valid"))))</f>
        <v/>
      </c>
      <c r="CU8" s="22">
        <f t="array" ref="CU8">_xlfn.MAP('12 - Beds'!B8:B507, '12 - Beds'!CU8:CU507, '12 - Beds-WUO_ERR'!CU8:CU507, _xlfn.LAMBDA(_xlpm.part, _xlpm.val, _xlpm.error, IF(_xlpm.part = "", "", IF(LEN(_xlpm.error), _xlfn.SWITCH(IFERROR(_xlfn.TEXTBEFORE(_xlpm.error,":"), ""), "1", "Error", "2", "Disabled", "3", "Required", "4", "Warning", "Valid"), "Valid"))))</f>
        <v/>
      </c>
      <c r="CV8" s="22">
        <f t="array" ref="CV8">_xlfn.MAP('12 - Beds'!B8:B507, '12 - Beds'!CV8:CV507, '12 - Beds-WUO_ERR'!CV8:CV507, _xlfn.LAMBDA(_xlpm.part, _xlpm.val, _xlpm.error, IF(_xlpm.part = "", "", IF(LEN(_xlpm.error), _xlfn.SWITCH(IFERROR(_xlfn.TEXTBEFORE(_xlpm.error,":"), ""), "1", "Error", "2", "Disabled", "3", "Required", "4", "Warning", "Valid"), "Valid"))))</f>
        <v/>
      </c>
      <c r="CW8" s="22">
        <f t="array" ref="CW8">_xlfn.MAP('12 - Beds'!B8:B507, '12 - Beds'!CW8:CW507, '12 - Beds-WUO_ERR'!CW8:CW507, _xlfn.LAMBDA(_xlpm.part, _xlpm.val, _xlpm.error, IF(_xlpm.part = "", "", IF(LEN(_xlpm.error), _xlfn.SWITCH(IFERROR(_xlfn.TEXTBEFORE(_xlpm.error,":"), ""), "1", "Error", "2", "Disabled", "3", "Required", "4", "Warning", "Valid"), "Valid"))))</f>
        <v/>
      </c>
      <c r="CX8" s="22">
        <f t="array" ref="CX8">_xlfn.MAP('12 - Beds'!B8:B507, '12 - Beds'!CX8:CX507, '12 - Beds-WUO_ERR'!CX8:CX507, _xlfn.LAMBDA(_xlpm.part, _xlpm.val, _xlpm.error, IF(_xlpm.part = "", "", IF(LEN(_xlpm.error), _xlfn.SWITCH(IFERROR(_xlfn.TEXTBEFORE(_xlpm.error,":"), ""), "1", "Error", "2", "Disabled", "3", "Required", "4", "Warning", "Valid"), "Valid"))))</f>
        <v/>
      </c>
      <c r="CY8" s="22">
        <f t="array" ref="CY8">_xlfn.MAP('12 - Beds'!B8:B507, '12 - Beds'!CY8:CY507, '12 - Beds-WUO_ERR'!CY8:CY507, _xlfn.LAMBDA(_xlpm.part, _xlpm.val, _xlpm.error, IF(_xlpm.part = "", "", IF(LEN(_xlpm.error), _xlfn.SWITCH(IFERROR(_xlfn.TEXTBEFORE(_xlpm.error,":"), ""), "1", "Error", "2", "Disabled", "3", "Required", "4", "Warning", "Valid"), "Valid"))))</f>
        <v/>
      </c>
      <c r="CZ8" s="22">
        <f t="array" ref="CZ8">_xlfn.MAP('12 - Beds'!B8:B507, '12 - Beds'!CZ8:CZ507, '12 - Beds-WUO_ERR'!CZ8:CZ507, _xlfn.LAMBDA(_xlpm.part, _xlpm.val, _xlpm.error, IF(_xlpm.part = "", "", IF(LEN(_xlpm.error), _xlfn.SWITCH(IFERROR(_xlfn.TEXTBEFORE(_xlpm.error,":"), ""), "1", "Error", "2", "Disabled", "3", "Required", "4", "Warning", "Valid"), "Valid"))))</f>
        <v/>
      </c>
      <c r="DA8" s="22">
        <f t="array" ref="DA8">_xlfn.MAP('12 - Beds'!B8:B507, '12 - Beds'!DA8:DA507, '12 - Beds-WUO_ERR'!DA8:DA507, _xlfn.LAMBDA(_xlpm.part, _xlpm.val, _xlpm.error, IF(_xlpm.part = "", "", IF(LEN(_xlpm.error), _xlfn.SWITCH(IFERROR(_xlfn.TEXTBEFORE(_xlpm.error,":"), ""), "1", "Error", "2", "Disabled", "3", "Required", "4", "Warning", "Valid"), "Valid"))))</f>
        <v/>
      </c>
      <c r="DB8" s="22">
        <f t="array" ref="DB8">_xlfn.MAP('12 - Beds'!B8:B507, '12 - Beds'!DB8:DB507, '12 - Beds-WUO_ERR'!DB8:DB507, _xlfn.LAMBDA(_xlpm.part, _xlpm.val, _xlpm.error, IF(_xlpm.part = "", "", IF(LEN(_xlpm.error), _xlfn.SWITCH(IFERROR(_xlfn.TEXTBEFORE(_xlpm.error,":"), ""), "1", "Error", "2", "Disabled", "3", "Required", "4", "Warning", "Valid"), "Valid"))))</f>
        <v/>
      </c>
      <c r="DC8" s="22">
        <f t="array" ref="DC8">_xlfn.MAP('12 - Beds'!B8:B507, '12 - Beds'!DC8:DC507, '12 - Beds-WUO_ERR'!DC8:DC507, _xlfn.LAMBDA(_xlpm.part, _xlpm.val, _xlpm.error, IF(_xlpm.part = "", "", IF(LEN(_xlpm.error), _xlfn.SWITCH(IFERROR(_xlfn.TEXTBEFORE(_xlpm.error,":"), ""), "1", "Error", "2", "Disabled", "3", "Required", "4", "Warning", "Valid"), "Valid"))))</f>
        <v/>
      </c>
      <c r="DD8" s="22">
        <f t="array" ref="DD8">_xlfn.MAP('12 - Beds'!B8:B507, '12 - Beds'!DD8:DD507, '12 - Beds-WUO_ERR'!DD8:DD507, _xlfn.LAMBDA(_xlpm.part, _xlpm.val, _xlpm.error, IF(_xlpm.part = "", "", IF(LEN(_xlpm.error), _xlfn.SWITCH(IFERROR(_xlfn.TEXTBEFORE(_xlpm.error,":"), ""), "1", "Error", "2", "Disabled", "3", "Required", "4", "Warning", "Valid"), "Valid"))))</f>
        <v/>
      </c>
      <c r="DE8" s="22">
        <f t="array" ref="DE8">_xlfn.MAP('12 - Beds'!B8:B507, '12 - Beds'!DE8:DE507, '12 - Beds-WUO_ERR'!DE8:DE507, _xlfn.LAMBDA(_xlpm.part, _xlpm.val, _xlpm.error, IF(_xlpm.part = "", "", IF(LEN(_xlpm.error), _xlfn.SWITCH(IFERROR(_xlfn.TEXTBEFORE(_xlpm.error,":"), ""), "1", "Error", "2", "Disabled", "3", "Required", "4", "Warning", "Valid"), "Valid"))))</f>
        <v/>
      </c>
      <c r="DF8" s="22">
        <f t="array" ref="DF8">_xlfn.MAP('12 - Beds'!B8:B507, '12 - Beds'!DF8:DF507, '12 - Beds-WUO_ERR'!DF8:DF507, _xlfn.LAMBDA(_xlpm.part, _xlpm.val, _xlpm.error, IF(_xlpm.part = "", "", IF(LEN(_xlpm.error), _xlfn.SWITCH(IFERROR(_xlfn.TEXTBEFORE(_xlpm.error,":"), ""), "1", "Error", "2", "Disabled", "3", "Required", "4", "Warning", "Valid"), "Valid"))))</f>
        <v/>
      </c>
      <c r="DG8" s="22">
        <f t="array" ref="DG8">_xlfn.MAP('12 - Beds'!B8:B507, '12 - Beds'!DG8:DG507, '12 - Beds-WUO_ERR'!DG8:DG507, _xlfn.LAMBDA(_xlpm.part, _xlpm.val, _xlpm.error, IF(_xlpm.part = "", "", IF(LEN(_xlpm.error), _xlfn.SWITCH(IFERROR(_xlfn.TEXTBEFORE(_xlpm.error,":"), ""), "1", "Error", "2", "Disabled", "3", "Required", "4", "Warning", "Valid"), "Valid"))))</f>
        <v/>
      </c>
      <c r="DH8" s="22">
        <f t="array" ref="DH8">_xlfn.MAP('12 - Beds'!B8:B507, '12 - Beds'!DH8:DH507, '12 - Beds-WUO_ERR'!DH8:DH507, _xlfn.LAMBDA(_xlpm.part, _xlpm.val, _xlpm.error, IF(_xlpm.part = "", "", IF(LEN(_xlpm.error), _xlfn.SWITCH(IFERROR(_xlfn.TEXTBEFORE(_xlpm.error,":"), ""), "1", "Error", "2", "Disabled", "3", "Required", "4", "Warning", "Valid"), "Valid"))))</f>
        <v/>
      </c>
      <c r="DI8" s="22">
        <f t="array" ref="DI8">_xlfn.MAP('12 - Beds'!B8:B507, '12 - Beds'!DI8:DI507, '12 - Beds-WUO_ERR'!DI8:DI507, _xlfn.LAMBDA(_xlpm.part, _xlpm.val, _xlpm.error, IF(_xlpm.part = "", "", IF(LEN(_xlpm.error), _xlfn.SWITCH(IFERROR(_xlfn.TEXTBEFORE(_xlpm.error,":"), ""), "1", "Error", "2", "Disabled", "3", "Required", "4", "Warning", "Valid"), "Valid"))))</f>
        <v/>
      </c>
      <c r="DJ8" s="22">
        <f t="array" ref="DJ8">_xlfn.MAP('12 - Beds'!B8:B507, '12 - Beds'!DJ8:DJ507, '12 - Beds-WUO_ERR'!DJ8:DJ507, _xlfn.LAMBDA(_xlpm.part, _xlpm.val, _xlpm.error, IF(_xlpm.part = "", "", IF(LEN(_xlpm.error), _xlfn.SWITCH(IFERROR(_xlfn.TEXTBEFORE(_xlpm.error,":"), ""), "1", "Error", "2", "Disabled", "3", "Required", "4", "Warning", "Valid"), "Valid"))))</f>
        <v/>
      </c>
      <c r="DK8" s="22">
        <f t="array" ref="DK8">_xlfn.MAP('12 - Beds'!B8:B507, '12 - Beds'!DK8:DK507, '12 - Beds-WUO_ERR'!DK8:DK507, _xlfn.LAMBDA(_xlpm.part, _xlpm.val, _xlpm.error, IF(_xlpm.part = "", "", IF(LEN(_xlpm.error), _xlfn.SWITCH(IFERROR(_xlfn.TEXTBEFORE(_xlpm.error,":"), ""), "1", "Error", "2", "Disabled", "3", "Required", "4", "Warning", "Valid"), "Valid"))))</f>
        <v/>
      </c>
      <c r="DL8" s="22">
        <f t="array" ref="DL8">_xlfn.MAP('12 - Beds'!B8:B507, '12 - Beds'!DL8:DL507, '12 - Beds-WUO_ERR'!DL8:DL507, _xlfn.LAMBDA(_xlpm.part, _xlpm.val, _xlpm.error, IF(_xlpm.part = "", "", IF(LEN(_xlpm.error), _xlfn.SWITCH(IFERROR(_xlfn.TEXTBEFORE(_xlpm.error,":"), ""), "1", "Error", "2", "Disabled", "3", "Required", "4", "Warning", "Valid"), "Valid"))))</f>
        <v/>
      </c>
      <c r="DM8" s="22">
        <f t="array" ref="DM8">_xlfn.MAP('12 - Beds'!B8:B507, '12 - Beds'!DM8:DM507, '12 - Beds-WUO_ERR'!DM8:DM507, _xlfn.LAMBDA(_xlpm.part, _xlpm.val, _xlpm.error, IF(_xlpm.part = "", "", IF(LEN(_xlpm.error), _xlfn.SWITCH(IFERROR(_xlfn.TEXTBEFORE(_xlpm.error,":"), ""), "1", "Error", "2", "Disabled", "3", "Required", "4", "Warning", "Valid"), "Valid"))))</f>
        <v/>
      </c>
      <c r="DN8" s="22">
        <f t="array" ref="DN8">_xlfn.MAP('12 - Beds'!B8:B507, '12 - Beds'!DN8:DN507, '12 - Beds-WUO_ERR'!DN8:DN507, _xlfn.LAMBDA(_xlpm.part, _xlpm.val, _xlpm.error, IF(_xlpm.part = "", "", IF(LEN(_xlpm.error), _xlfn.SWITCH(IFERROR(_xlfn.TEXTBEFORE(_xlpm.error,":"), ""), "1", "Error", "2", "Disabled", "3", "Required", "4", "Warning", "Valid"), "Valid"))))</f>
        <v/>
      </c>
      <c r="DO8" s="22">
        <f t="array" ref="DO8">_xlfn.MAP('12 - Beds'!B8:B507, '12 - Beds'!DO8:DO507, '12 - Beds-WUO_ERR'!DO8:DO507, _xlfn.LAMBDA(_xlpm.part, _xlpm.val, _xlpm.error, IF(_xlpm.part = "", "", IF(LEN(_xlpm.error), _xlfn.SWITCH(IFERROR(_xlfn.TEXTBEFORE(_xlpm.error,":"), ""), "1", "Error", "2", "Disabled", "3", "Required", "4", "Warning", "Valid"), "Valid"))))</f>
        <v/>
      </c>
      <c r="DP8" s="22">
        <f t="array" ref="DP8">_xlfn.MAP('12 - Beds'!B8:B507, '12 - Beds'!DP8:DP507, '12 - Beds-WUO_ERR'!DP8:DP507, _xlfn.LAMBDA(_xlpm.part, _xlpm.val, _xlpm.error, IF(_xlpm.part = "", "", IF(LEN(_xlpm.error), _xlfn.SWITCH(IFERROR(_xlfn.TEXTBEFORE(_xlpm.error,":"), ""), "1", "Error", "2", "Disabled", "3", "Required", "4", "Warning", "Valid"), "Valid"))))</f>
        <v/>
      </c>
      <c r="DQ8" s="22">
        <f t="array" ref="DQ8">_xlfn.MAP('12 - Beds'!B8:B507, '12 - Beds'!DQ8:DQ507, '12 - Beds-WUO_ERR'!DQ8:DQ507, _xlfn.LAMBDA(_xlpm.part, _xlpm.val, _xlpm.error, IF(_xlpm.part = "", "", IF(LEN(_xlpm.error), _xlfn.SWITCH(IFERROR(_xlfn.TEXTBEFORE(_xlpm.error,":"), ""), "1", "Error", "2", "Disabled", "3", "Required", "4", "Warning", "Valid"), "Valid"))))</f>
        <v/>
      </c>
      <c r="DR8" s="22">
        <f t="array" ref="DR8">_xlfn.MAP('12 - Beds'!B8:B507, '12 - Beds'!DR8:DR507, '12 - Beds-WUO_ERR'!DR8:DR507, _xlfn.LAMBDA(_xlpm.part, _xlpm.val, _xlpm.error, IF(_xlpm.part = "", "", IF(LEN(_xlpm.error), _xlfn.SWITCH(IFERROR(_xlfn.TEXTBEFORE(_xlpm.error,":"), ""), "1", "Error", "2", "Disabled", "3", "Required", "4", "Warning", "Valid"), "Valid"))))</f>
        <v/>
      </c>
      <c r="DS8" s="22">
        <f t="array" ref="DS8">_xlfn.MAP('12 - Beds'!B8:B507, '12 - Beds'!DS8:DS507, '12 - Beds-WUO_ERR'!DS8:DS507, _xlfn.LAMBDA(_xlpm.part, _xlpm.val, _xlpm.error, IF(_xlpm.part = "", "", IF(LEN(_xlpm.error), _xlfn.SWITCH(IFERROR(_xlfn.TEXTBEFORE(_xlpm.error,":"), ""), "1", "Error", "2", "Disabled", "3", "Required", "4", "Warning", "Valid"), "Valid"))))</f>
        <v/>
      </c>
      <c r="DT8" s="22">
        <f t="array" ref="DT8">_xlfn.MAP('12 - Beds'!B8:B507, '12 - Beds'!DT8:DT507, '12 - Beds-WUO_ERR'!DT8:DT507, _xlfn.LAMBDA(_xlpm.part, _xlpm.val, _xlpm.error, IF(_xlpm.part = "", "", IF(LEN(_xlpm.error), _xlfn.SWITCH(IFERROR(_xlfn.TEXTBEFORE(_xlpm.error,":"), ""), "1", "Error", "2", "Disabled", "3", "Required", "4", "Warning", "Valid"), "Valid"))))</f>
        <v/>
      </c>
      <c r="DU8" s="22">
        <f t="array" ref="DU8">_xlfn.MAP('12 - Beds'!B8:B507, '12 - Beds'!DU8:DU507, '12 - Beds-WUO_ERR'!DU8:DU507, _xlfn.LAMBDA(_xlpm.part, _xlpm.val, _xlpm.error, IF(_xlpm.part = "", "", IF(LEN(_xlpm.error), _xlfn.SWITCH(IFERROR(_xlfn.TEXTBEFORE(_xlpm.error,":"), ""), "1", "Error", "2", "Disabled", "3", "Required", "4", "Warning", "Valid"), "Valid"))))</f>
        <v/>
      </c>
      <c r="DV8" s="22">
        <f t="array" ref="DV8">_xlfn.MAP('12 - Beds'!B8:B507, '12 - Beds'!DV8:DV507, '12 - Beds-WUO_ERR'!DV8:DV507, _xlfn.LAMBDA(_xlpm.part, _xlpm.val, _xlpm.error, IF(_xlpm.part = "", "", IF(LEN(_xlpm.error), _xlfn.SWITCH(IFERROR(_xlfn.TEXTBEFORE(_xlpm.error,":"), ""), "1", "Error", "2", "Disabled", "3", "Required", "4", "Warning", "Valid"), "Valid"))))</f>
        <v/>
      </c>
      <c r="DW8" s="22">
        <f t="array" ref="DW8">_xlfn.MAP('12 - Beds'!B8:B507, '12 - Beds'!DW8:DW507, '12 - Beds-WUO_ERR'!DW8:DW507, _xlfn.LAMBDA(_xlpm.part, _xlpm.val, _xlpm.error, IF(_xlpm.part = "", "", IF(LEN(_xlpm.error), _xlfn.SWITCH(IFERROR(_xlfn.TEXTBEFORE(_xlpm.error,":"), ""), "1", "Error", "2", "Disabled", "3", "Required", "4", "Warning", "Valid"), "Valid"))))</f>
        <v/>
      </c>
      <c r="DX8" s="22">
        <f t="array" ref="DX8">_xlfn.MAP('12 - Beds'!B8:B507, '12 - Beds'!DX8:DX507, '12 - Beds-WUO_ERR'!DX8:DX507, _xlfn.LAMBDA(_xlpm.part, _xlpm.val, _xlpm.error, IF(_xlpm.part = "", "", IF(LEN(_xlpm.error), _xlfn.SWITCH(IFERROR(_xlfn.TEXTBEFORE(_xlpm.error,":"), ""), "1", "Error", "2", "Disabled", "3", "Required", "4", "Warning", "Valid"), "Valid"))))</f>
        <v/>
      </c>
      <c r="DY8" s="22">
        <f t="array" ref="DY8">_xlfn.MAP('12 - Beds'!B8:B507, '12 - Beds'!DY8:DY507, '12 - Beds-WUO_ERR'!DY8:DY507, _xlfn.LAMBDA(_xlpm.part, _xlpm.val, _xlpm.error, IF(_xlpm.part = "", "", IF(LEN(_xlpm.error), _xlfn.SWITCH(IFERROR(_xlfn.TEXTBEFORE(_xlpm.error,":"), ""), "1", "Error", "2", "Disabled", "3", "Required", "4", "Warning", "Valid"), "Valid"))))</f>
        <v/>
      </c>
      <c r="DZ8" s="22">
        <f t="array" ref="DZ8">_xlfn.MAP('12 - Beds'!B8:B507, '12 - Beds'!DZ8:DZ507, '12 - Beds-WUO_ERR'!DZ8:DZ507, _xlfn.LAMBDA(_xlpm.part, _xlpm.val, _xlpm.error, IF(_xlpm.part = "", "", IF(LEN(_xlpm.error), _xlfn.SWITCH(IFERROR(_xlfn.TEXTBEFORE(_xlpm.error,":"), ""), "1", "Error", "2", "Disabled", "3", "Required", "4", "Warning", "Valid"), "Valid"))))</f>
        <v/>
      </c>
      <c r="EA8" s="22">
        <f t="array" ref="EA8">_xlfn.MAP('12 - Beds'!B8:B507, '12 - Beds'!EA8:EA507, '12 - Beds-WUO_ERR'!EA8:EA507, _xlfn.LAMBDA(_xlpm.part, _xlpm.val, _xlpm.error, IF(_xlpm.part = "", "", IF(LEN(_xlpm.error), _xlfn.SWITCH(IFERROR(_xlfn.TEXTBEFORE(_xlpm.error,":"), ""), "1", "Error", "2", "Disabled", "3", "Required", "4", "Warning", "Valid"), "Valid"))))</f>
        <v/>
      </c>
      <c r="EB8" s="22">
        <f t="array" ref="EB8">_xlfn.MAP('12 - Beds'!B8:B507, '12 - Beds'!EB8:EB507, '12 - Beds-WUO_ERR'!EB8:EB507, _xlfn.LAMBDA(_xlpm.part, _xlpm.val, _xlpm.error, IF(_xlpm.part = "", "", IF(LEN(_xlpm.error), _xlfn.SWITCH(IFERROR(_xlfn.TEXTBEFORE(_xlpm.error,":"), ""), "1", "Error", "2", "Disabled", "3", "Required", "4", "Warning", "Valid"), "Valid"))))</f>
        <v/>
      </c>
      <c r="EC8" s="22">
        <f t="array" ref="EC8">_xlfn.MAP('12 - Beds'!B8:B507, '12 - Beds'!EC8:EC507, '12 - Beds-WUO_ERR'!EC8:EC507, _xlfn.LAMBDA(_xlpm.part, _xlpm.val, _xlpm.error, IF(_xlpm.part = "", "", IF(LEN(_xlpm.error), _xlfn.SWITCH(IFERROR(_xlfn.TEXTBEFORE(_xlpm.error,":"), ""), "1", "Error", "2", "Disabled", "3", "Required", "4", "Warning", "Valid"), "Valid"))))</f>
        <v/>
      </c>
      <c r="ED8" s="22">
        <f t="array" ref="ED8">_xlfn.MAP('12 - Beds'!B8:B507, '12 - Beds'!ED8:ED507, '12 - Beds-WUO_ERR'!ED8:ED507, _xlfn.LAMBDA(_xlpm.part, _xlpm.val, _xlpm.error, IF(_xlpm.part = "", "", IF(LEN(_xlpm.error), _xlfn.SWITCH(IFERROR(_xlfn.TEXTBEFORE(_xlpm.error,":"), ""), "1", "Error", "2", "Disabled", "3", "Required", "4", "Warning", "Valid"), "Valid"))))</f>
        <v/>
      </c>
      <c r="EE8" s="22">
        <f t="array" ref="EE8">_xlfn.MAP('12 - Beds'!B8:B507, '12 - Beds'!EE8:EE507, '12 - Beds-WUO_ERR'!EE8:EE507, _xlfn.LAMBDA(_xlpm.part, _xlpm.val, _xlpm.error, IF(_xlpm.part = "", "", IF(LEN(_xlpm.error), _xlfn.SWITCH(IFERROR(_xlfn.TEXTBEFORE(_xlpm.error,":"), ""), "1", "Error", "2", "Disabled", "3", "Required", "4", "Warning", "Valid"), "Valid"))))</f>
        <v/>
      </c>
      <c r="EF8" s="22">
        <f t="array" ref="EF8">_xlfn.MAP('12 - Beds'!B8:B507, '12 - Beds'!EF8:EF507, '12 - Beds-WUO_ERR'!EF8:EF507, _xlfn.LAMBDA(_xlpm.part, _xlpm.val, _xlpm.error, IF(_xlpm.part = "", "", IF(LEN(_xlpm.error), _xlfn.SWITCH(IFERROR(_xlfn.TEXTBEFORE(_xlpm.error,":"), ""), "1", "Error", "2", "Disabled", "3", "Required", "4", "Warning", "Valid"), "Valid"))))</f>
        <v/>
      </c>
      <c r="EG8" s="22">
        <f t="array" ref="EG8">_xlfn.MAP('12 - Beds'!B8:B507, '12 - Beds'!EG8:EG507, '12 - Beds-WUO_ERR'!EG8:EG507, _xlfn.LAMBDA(_xlpm.part, _xlpm.val, _xlpm.error, IF(_xlpm.part = "", "", IF(LEN(_xlpm.error), _xlfn.SWITCH(IFERROR(_xlfn.TEXTBEFORE(_xlpm.error,":"), ""), "1", "Error", "2", "Disabled", "3", "Required", "4", "Warning", "Valid"), "Valid"))))</f>
        <v/>
      </c>
      <c r="EH8" s="22">
        <f t="array" ref="EH8">_xlfn.MAP('12 - Beds'!B8:B507, '12 - Beds'!EH8:EH507, '12 - Beds-WUO_ERR'!EH8:EH507, _xlfn.LAMBDA(_xlpm.part, _xlpm.val, _xlpm.error, IF(_xlpm.part = "", "", IF(LEN(_xlpm.error), _xlfn.SWITCH(IFERROR(_xlfn.TEXTBEFORE(_xlpm.error,":"), ""), "1", "Error", "2", "Disabled", "3", "Required", "4", "Warning", "Valid"), "Valid"))))</f>
        <v/>
      </c>
      <c r="EI8" s="22">
        <f t="array" ref="EI8">_xlfn.MAP('12 - Beds'!B8:B507, '12 - Beds'!EI8:EI507, '12 - Beds-WUO_ERR'!EI8:EI507, _xlfn.LAMBDA(_xlpm.part, _xlpm.val, _xlpm.error, IF(_xlpm.part = "", "", IF(LEN(_xlpm.error), _xlfn.SWITCH(IFERROR(_xlfn.TEXTBEFORE(_xlpm.error,":"), ""), "1", "Error", "2", "Disabled", "3", "Required", "4", "Warning", "Valid"), "Valid"))))</f>
        <v/>
      </c>
      <c r="EJ8" s="22">
        <f t="array" ref="EJ8">_xlfn.MAP('12 - Beds'!B8:B507, '12 - Beds'!EJ8:EJ507, '12 - Beds-WUO_ERR'!EJ8:EJ507, _xlfn.LAMBDA(_xlpm.part, _xlpm.val, _xlpm.error, IF(_xlpm.part = "", "", IF(LEN(_xlpm.error), _xlfn.SWITCH(IFERROR(_xlfn.TEXTBEFORE(_xlpm.error,":"), ""), "1", "Error", "2", "Disabled", "3", "Required", "4", "Warning", "Valid"), "Valid"))))</f>
        <v/>
      </c>
      <c r="EK8" s="22">
        <f t="array" ref="EK8">_xlfn.MAP('12 - Beds'!B8:B507, '12 - Beds'!EK8:EK507, '12 - Beds-WUO_ERR'!EK8:EK507, _xlfn.LAMBDA(_xlpm.part, _xlpm.val, _xlpm.error, IF(_xlpm.part = "", "", IF(LEN(_xlpm.error), _xlfn.SWITCH(IFERROR(_xlfn.TEXTBEFORE(_xlpm.error,":"), ""), "1", "Error", "2", "Disabled", "3", "Required", "4", "Warning", "Valid"), "Valid"))))</f>
        <v/>
      </c>
      <c r="EL8" s="22">
        <f t="array" ref="EL8">_xlfn.MAP('12 - Beds'!B8:B507, '12 - Beds'!EL8:EL507, '12 - Beds-WUO_ERR'!EL8:EL507, _xlfn.LAMBDA(_xlpm.part, _xlpm.val, _xlpm.error, IF(_xlpm.part = "", "", IF(LEN(_xlpm.error), _xlfn.SWITCH(IFERROR(_xlfn.TEXTBEFORE(_xlpm.error,":"), ""), "1", "Error", "2", "Disabled", "3", "Required", "4", "Warning", "Valid"), "Valid"))))</f>
        <v/>
      </c>
      <c r="EM8" s="22">
        <f t="array" ref="EM8">_xlfn.MAP('12 - Beds'!B8:B507, '12 - Beds'!EM8:EM507, '12 - Beds-WUO_ERR'!EM8:EM507, _xlfn.LAMBDA(_xlpm.part, _xlpm.val, _xlpm.error, IF(_xlpm.part = "", "", IF(LEN(_xlpm.error), _xlfn.SWITCH(IFERROR(_xlfn.TEXTBEFORE(_xlpm.error,":"), ""), "1", "Error", "2", "Disabled", "3", "Required", "4", "Warning", "Valid"), "Valid"))))</f>
        <v/>
      </c>
      <c r="EN8" s="22">
        <f t="array" ref="EN8">_xlfn.MAP('12 - Beds'!B8:B507, '12 - Beds'!EN8:EN507, '12 - Beds-WUO_ERR'!EN8:EN507, _xlfn.LAMBDA(_xlpm.part, _xlpm.val, _xlpm.error, IF(_xlpm.part = "", "", IF(LEN(_xlpm.error), _xlfn.SWITCH(IFERROR(_xlfn.TEXTBEFORE(_xlpm.error,":"), ""), "1", "Error", "2", "Disabled", "3", "Required", "4", "Warning", "Valid"), "Valid"))))</f>
        <v/>
      </c>
      <c r="EO8" s="22">
        <f t="array" ref="EO8">_xlfn.MAP('12 - Beds'!B8:B507, '12 - Beds'!EO8:EO507, '12 - Beds-WUO_ERR'!EO8:EO507, _xlfn.LAMBDA(_xlpm.part, _xlpm.val, _xlpm.error, IF(_xlpm.part = "", "", IF(LEN(_xlpm.error), _xlfn.SWITCH(IFERROR(_xlfn.TEXTBEFORE(_xlpm.error,":"), ""), "1", "Error", "2", "Disabled", "3", "Required", "4", "Warning", "Valid"), "Valid"))))</f>
        <v/>
      </c>
      <c r="EP8" s="22">
        <f t="array" ref="EP8">_xlfn.MAP('12 - Beds'!B8:B507, '12 - Beds'!EP8:EP507, '12 - Beds-WUO_ERR'!EP8:EP507, _xlfn.LAMBDA(_xlpm.part, _xlpm.val, _xlpm.error, IF(_xlpm.part = "", "", IF(LEN(_xlpm.error), _xlfn.SWITCH(IFERROR(_xlfn.TEXTBEFORE(_xlpm.error,":"), ""), "1", "Error", "2", "Disabled", "3", "Required", "4", "Warning", "Valid"), "Valid"))))</f>
        <v/>
      </c>
      <c r="EQ8" s="22">
        <f t="array" ref="EQ8">_xlfn.MAP('12 - Beds'!B8:B507, '12 - Beds'!EQ8:EQ507, '12 - Beds-WUO_ERR'!EQ8:EQ507, _xlfn.LAMBDA(_xlpm.part, _xlpm.val, _xlpm.error, IF(_xlpm.part = "", "", IF(LEN(_xlpm.error), _xlfn.SWITCH(IFERROR(_xlfn.TEXTBEFORE(_xlpm.error,":"), ""), "1", "Error", "2", "Disabled", "3", "Required", "4", "Warning", "Valid"), "Valid"))))</f>
        <v/>
      </c>
      <c r="ER8" s="22">
        <f t="array" ref="ER8">_xlfn.MAP('12 - Beds'!B8:B507, '12 - Beds'!ER8:ER507, '12 - Beds-WUO_ERR'!ER8:ER507, _xlfn.LAMBDA(_xlpm.part, _xlpm.val, _xlpm.error, IF(_xlpm.part = "", "", IF(LEN(_xlpm.error), _xlfn.SWITCH(IFERROR(_xlfn.TEXTBEFORE(_xlpm.error,":"), ""), "1", "Error", "2", "Disabled", "3", "Required", "4", "Warning", "Valid"), "Valid"))))</f>
        <v/>
      </c>
      <c r="ES8" s="22">
        <f t="array" ref="ES8">_xlfn.MAP('12 - Beds'!B8:B507, '12 - Beds'!ES8:ES507, '12 - Beds-WUO_ERR'!ES8:ES507, _xlfn.LAMBDA(_xlpm.part, _xlpm.val, _xlpm.error, IF(_xlpm.part = "", "", IF(LEN(_xlpm.error), _xlfn.SWITCH(IFERROR(_xlfn.TEXTBEFORE(_xlpm.error,":"), ""), "1", "Error", "2", "Disabled", "3", "Required", "4", "Warning", "Valid"), "Valid"))))</f>
        <v/>
      </c>
      <c r="ET8" s="22">
        <f t="array" ref="ET8">_xlfn.MAP('12 - Beds'!B8:B507, '12 - Beds'!ET8:ET507, '12 - Beds-WUO_ERR'!ET8:ET507, _xlfn.LAMBDA(_xlpm.part, _xlpm.val, _xlpm.error, IF(_xlpm.part = "", "", IF(LEN(_xlpm.error), _xlfn.SWITCH(IFERROR(_xlfn.TEXTBEFORE(_xlpm.error,":"), ""), "1", "Error", "2", "Disabled", "3", "Required", "4", "Warning", "Valid"), "Valid"))))</f>
        <v/>
      </c>
      <c r="EU8" s="22">
        <f t="array" ref="EU8">_xlfn.MAP('12 - Beds'!B8:B507, '12 - Beds'!EU8:EU507, '12 - Beds-WUO_ERR'!EU8:EU507, _xlfn.LAMBDA(_xlpm.part, _xlpm.val, _xlpm.error, IF(_xlpm.part = "", "", IF(LEN(_xlpm.error), _xlfn.SWITCH(IFERROR(_xlfn.TEXTBEFORE(_xlpm.error,":"), ""), "1", "Error", "2", "Disabled", "3", "Required", "4", "Warning", "Valid"), "Valid"))))</f>
        <v/>
      </c>
      <c r="EV8" s="22">
        <f t="array" ref="EV8">_xlfn.MAP('12 - Beds'!B8:B507, '12 - Beds'!EV8:EV507, '12 - Beds-WUO_ERR'!EV8:EV507, _xlfn.LAMBDA(_xlpm.part, _xlpm.val, _xlpm.error, IF(_xlpm.part = "", "", IF(LEN(_xlpm.error), _xlfn.SWITCH(IFERROR(_xlfn.TEXTBEFORE(_xlpm.error,":"), ""), "1", "Error", "2", "Disabled", "3", "Required", "4", "Warning", "Valid"), "Valid"))))</f>
        <v/>
      </c>
      <c r="EW8" s="22">
        <f t="array" ref="EW8">_xlfn.MAP('12 - Beds'!B8:B507, '12 - Beds'!EW8:EW507, '12 - Beds-WUO_ERR'!EW8:EW507, _xlfn.LAMBDA(_xlpm.part, _xlpm.val, _xlpm.error, IF(_xlpm.part = "", "", IF(LEN(_xlpm.error), _xlfn.SWITCH(IFERROR(_xlfn.TEXTBEFORE(_xlpm.error,":"), ""), "1", "Error", "2", "Disabled", "3", "Required", "4", "Warning", "Valid"), "Valid"))))</f>
        <v/>
      </c>
      <c r="EX8" s="22">
        <f t="array" ref="EX8">_xlfn.MAP('12 - Beds'!B8:B507, '12 - Beds'!EX8:EX507, '12 - Beds-WUO_ERR'!EX8:EX507, _xlfn.LAMBDA(_xlpm.part, _xlpm.val, _xlpm.error, IF(_xlpm.part = "", "", IF(LEN(_xlpm.error), _xlfn.SWITCH(IFERROR(_xlfn.TEXTBEFORE(_xlpm.error,":"), ""), "1", "Error", "2", "Disabled", "3", "Required", "4", "Warning", "Valid"), "Valid"))))</f>
        <v/>
      </c>
      <c r="EY8" s="22">
        <f t="array" ref="EY8">_xlfn.MAP('12 - Beds'!B8:B507, '12 - Beds'!EY8:EY507, '12 - Beds-WUO_ERR'!EY8:EY507, _xlfn.LAMBDA(_xlpm.part, _xlpm.val, _xlpm.error, IF(_xlpm.part = "", "", IF(LEN(_xlpm.error), _xlfn.SWITCH(IFERROR(_xlfn.TEXTBEFORE(_xlpm.error,":"), ""), "1", "Error", "2", "Disabled", "3", "Required", "4", "Warning", "Valid"), "Valid"))))</f>
        <v/>
      </c>
      <c r="EZ8" s="22">
        <f t="array" ref="EZ8">_xlfn.MAP('12 - Beds'!B8:B507, '12 - Beds'!EZ8:EZ507, '12 - Beds-WUO_ERR'!EZ8:EZ507, _xlfn.LAMBDA(_xlpm.part, _xlpm.val, _xlpm.error, IF(_xlpm.part = "", "", IF(LEN(_xlpm.error), _xlfn.SWITCH(IFERROR(_xlfn.TEXTBEFORE(_xlpm.error,":"), ""), "1", "Error", "2", "Disabled", "3", "Required", "4", "Warning", "Valid"), "Valid"))))</f>
        <v/>
      </c>
      <c r="FA8" s="22">
        <f t="array" ref="FA8">_xlfn.MAP('12 - Beds'!B8:B507, '12 - Beds'!FA8:FA507, '12 - Beds-WUO_ERR'!FA8:FA507, _xlfn.LAMBDA(_xlpm.part, _xlpm.val, _xlpm.error, IF(_xlpm.part = "", "", IF(LEN(_xlpm.error), _xlfn.SWITCH(IFERROR(_xlfn.TEXTBEFORE(_xlpm.error,":"), ""), "1", "Error", "2", "Disabled", "3", "Required", "4", "Warning", "Valid"), "Valid"))))</f>
        <v/>
      </c>
      <c r="FB8" s="22">
        <f t="array" ref="FB8">_xlfn.MAP('12 - Beds'!B8:B507, '12 - Beds'!FB8:FB507, '12 - Beds-WUO_ERR'!FB8:FB507, _xlfn.LAMBDA(_xlpm.part, _xlpm.val, _xlpm.error, IF(_xlpm.part = "", "", IF(LEN(_xlpm.error), _xlfn.SWITCH(IFERROR(_xlfn.TEXTBEFORE(_xlpm.error,":"), ""), "1", "Error", "2", "Disabled", "3", "Required", "4", "Warning", "Valid"), "Valid"))))</f>
        <v/>
      </c>
      <c r="FC8" s="22">
        <f t="array" ref="FC8">_xlfn.MAP('12 - Beds'!B8:B507, '12 - Beds'!FC8:FC507, '12 - Beds-WUO_ERR'!FC8:FC507,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94CF"/>
  <mergeCells count="9">
    <mergeCell ref="AL2:AO2"/>
    <mergeCell ref="BO2:FC2"/>
    <mergeCell ref="AP2:AS2"/>
    <mergeCell ref="U2:Z2"/>
    <mergeCell ref="R2:T2"/>
    <mergeCell ref="B2:I2"/>
    <mergeCell ref="AA2:AK2"/>
    <mergeCell ref="AT2:BN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8.7109375" customWidth="1" style="22" min="3" max="4"/>
    <col width="17.7109375" customWidth="1" style="22" min="5" max="6"/>
    <col hidden="1" width="13" customWidth="1" min="26" max="2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2">
      <c r="B2" s="23" t="inlineStr">
        <is>
          <t>Basic Information</t>
        </is>
      </c>
      <c r="C2" s="28" t="inlineStr">
        <is>
          <t>Carton Details</t>
        </is>
      </c>
      <c r="D2" s="41" t="n"/>
      <c r="E2" s="41" t="n"/>
      <c r="F2" s="42" t="n"/>
    </row>
    <row r="3">
      <c r="B3" s="32" t="inlineStr">
        <is>
          <t>Required</t>
        </is>
      </c>
      <c r="C3" s="32" t="inlineStr">
        <is>
          <t>Conditional</t>
        </is>
      </c>
      <c r="D3" s="32" t="inlineStr">
        <is>
          <t>Conditional</t>
        </is>
      </c>
      <c r="E3" s="32" t="inlineStr">
        <is>
          <t>Conditional</t>
        </is>
      </c>
      <c r="F3" s="32"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A6" s="35" t="inlineStr">
        <is>
          <t>Read-Only</t>
        </is>
      </c>
      <c r="B6" s="35" t="inlineStr">
        <is>
          <t>Text</t>
        </is>
      </c>
      <c r="C6" s="35" t="inlineStr">
        <is>
          <t>Number</t>
        </is>
      </c>
      <c r="D6" s="35" t="inlineStr">
        <is>
          <t>Number</t>
        </is>
      </c>
      <c r="E6" s="35" t="inlineStr">
        <is>
          <t>Number</t>
        </is>
      </c>
      <c r="F6" s="35" t="inlineStr">
        <is>
          <t>Number</t>
        </is>
      </c>
    </row>
    <row r="7">
      <c r="A7" s="39">
        <f>IF('Additional Cartons'!B7 = "", "", IF('Additional Cartons-WUO_ERR'!A7 = "", "Validated", HYPERLINK("#" &amp; ADDRESS(7, 'Additional Cartons-WUO_TRK'!A7),_xlfn.TEXTAFTER('Additional Cartons-WUO_ERR'!A7,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Cartons'!B8 = "", "", IF('Additional Cartons-WUO_ERR'!A8 = "", "Validated", HYPERLINK("#" &amp; ADDRESS(8, 'Additional Cartons-WUO_TRK'!A8),_xlfn.TEXTAFTER('Additional Cartons-WUO_ERR'!A8, ":"))))</f>
        <v/>
      </c>
    </row>
    <row r="9">
      <c r="A9" s="39">
        <f>IF('Additional Cartons'!B9 = "", "", IF('Additional Cartons-WUO_ERR'!A9 = "", "Validated", HYPERLINK("#" &amp; ADDRESS(9, 'Additional Cartons-WUO_TRK'!A9),_xlfn.TEXTAFTER('Additional Cartons-WUO_ERR'!A9, ":"))))</f>
        <v/>
      </c>
    </row>
    <row r="10">
      <c r="A10" s="39">
        <f>IF('Additional Cartons'!B10 = "", "", IF('Additional Cartons-WUO_ERR'!A10 = "", "Validated", HYPERLINK("#" &amp; ADDRESS(10, 'Additional Cartons-WUO_TRK'!A10),_xlfn.TEXTAFTER('Additional Cartons-WUO_ERR'!A10, ":"))))</f>
        <v/>
      </c>
    </row>
    <row r="11">
      <c r="A11" s="39">
        <f>IF('Additional Cartons'!B11 = "", "", IF('Additional Cartons-WUO_ERR'!A11 = "", "Validated", HYPERLINK("#" &amp; ADDRESS(11, 'Additional Cartons-WUO_TRK'!A11),_xlfn.TEXTAFTER('Additional Cartons-WUO_ERR'!A11, ":"))))</f>
        <v/>
      </c>
    </row>
    <row r="12">
      <c r="A12" s="39">
        <f>IF('Additional Cartons'!B12 = "", "", IF('Additional Cartons-WUO_ERR'!A12 = "", "Validated", HYPERLINK("#" &amp; ADDRESS(12, 'Additional Cartons-WUO_TRK'!A12),_xlfn.TEXTAFTER('Additional Cartons-WUO_ERR'!A12, ":"))))</f>
        <v/>
      </c>
    </row>
    <row r="13">
      <c r="A13" s="39">
        <f>IF('Additional Cartons'!B13 = "", "", IF('Additional Cartons-WUO_ERR'!A13 = "", "Validated", HYPERLINK("#" &amp; ADDRESS(13, 'Additional Cartons-WUO_TRK'!A13),_xlfn.TEXTAFTER('Additional Cartons-WUO_ERR'!A13, ":"))))</f>
        <v/>
      </c>
    </row>
    <row r="14">
      <c r="A14" s="39">
        <f>IF('Additional Cartons'!B14 = "", "", IF('Additional Cartons-WUO_ERR'!A14 = "", "Validated", HYPERLINK("#" &amp; ADDRESS(14, 'Additional Cartons-WUO_TRK'!A14),_xlfn.TEXTAFTER('Additional Cartons-WUO_ERR'!A14, ":"))))</f>
        <v/>
      </c>
    </row>
    <row r="15">
      <c r="A15" s="39">
        <f>IF('Additional Cartons'!B15 = "", "", IF('Additional Cartons-WUO_ERR'!A15 = "", "Validated", HYPERLINK("#" &amp; ADDRESS(15, 'Additional Cartons-WUO_TRK'!A15),_xlfn.TEXTAFTER('Additional Cartons-WUO_ERR'!A15, ":"))))</f>
        <v/>
      </c>
    </row>
    <row r="16">
      <c r="A16" s="39">
        <f>IF('Additional Cartons'!B16 = "", "", IF('Additional Cartons-WUO_ERR'!A16 = "", "Validated", HYPERLINK("#" &amp; ADDRESS(16, 'Additional Cartons-WUO_TRK'!A16),_xlfn.TEXTAFTER('Additional Cartons-WUO_ERR'!A16, ":"))))</f>
        <v/>
      </c>
    </row>
    <row r="17">
      <c r="A17" s="39">
        <f>IF('Additional Cartons'!B17 = "", "", IF('Additional Cartons-WUO_ERR'!A17 = "", "Validated", HYPERLINK("#" &amp; ADDRESS(17, 'Additional Cartons-WUO_TRK'!A17),_xlfn.TEXTAFTER('Additional Cartons-WUO_ERR'!A17, ":"))))</f>
        <v/>
      </c>
    </row>
    <row r="18">
      <c r="A18" s="39">
        <f>IF('Additional Cartons'!B18 = "", "", IF('Additional Cartons-WUO_ERR'!A18 = "", "Validated", HYPERLINK("#" &amp; ADDRESS(18, 'Additional Cartons-WUO_TRK'!A18),_xlfn.TEXTAFTER('Additional Cartons-WUO_ERR'!A18, ":"))))</f>
        <v/>
      </c>
    </row>
    <row r="19">
      <c r="A19" s="39">
        <f>IF('Additional Cartons'!B19 = "", "", IF('Additional Cartons-WUO_ERR'!A19 = "", "Validated", HYPERLINK("#" &amp; ADDRESS(19, 'Additional Cartons-WUO_TRK'!A19),_xlfn.TEXTAFTER('Additional Cartons-WUO_ERR'!A19, ":"))))</f>
        <v/>
      </c>
    </row>
    <row r="20">
      <c r="A20" s="39">
        <f>IF('Additional Cartons'!B20 = "", "", IF('Additional Cartons-WUO_ERR'!A20 = "", "Validated", HYPERLINK("#" &amp; ADDRESS(20, 'Additional Cartons-WUO_TRK'!A20),_xlfn.TEXTAFTER('Additional Cartons-WUO_ERR'!A20, ":"))))</f>
        <v/>
      </c>
    </row>
    <row r="21">
      <c r="A21" s="39">
        <f>IF('Additional Cartons'!B21 = "", "", IF('Additional Cartons-WUO_ERR'!A21 = "", "Validated", HYPERLINK("#" &amp; ADDRESS(21, 'Additional Cartons-WUO_TRK'!A21),_xlfn.TEXTAFTER('Additional Cartons-WUO_ERR'!A21, ":"))))</f>
        <v/>
      </c>
    </row>
    <row r="22">
      <c r="A22" s="39">
        <f>IF('Additional Cartons'!B22 = "", "", IF('Additional Cartons-WUO_ERR'!A22 = "", "Validated", HYPERLINK("#" &amp; ADDRESS(22, 'Additional Cartons-WUO_TRK'!A22),_xlfn.TEXTAFTER('Additional Cartons-WUO_ERR'!A22, ":"))))</f>
        <v/>
      </c>
    </row>
    <row r="23">
      <c r="A23" s="39">
        <f>IF('Additional Cartons'!B23 = "", "", IF('Additional Cartons-WUO_ERR'!A23 = "", "Validated", HYPERLINK("#" &amp; ADDRESS(23, 'Additional Cartons-WUO_TRK'!A23),_xlfn.TEXTAFTER('Additional Cartons-WUO_ERR'!A23, ":"))))</f>
        <v/>
      </c>
    </row>
    <row r="24">
      <c r="A24" s="39">
        <f>IF('Additional Cartons'!B24 = "", "", IF('Additional Cartons-WUO_ERR'!A24 = "", "Validated", HYPERLINK("#" &amp; ADDRESS(24, 'Additional Cartons-WUO_TRK'!A24),_xlfn.TEXTAFTER('Additional Cartons-WUO_ERR'!A24, ":"))))</f>
        <v/>
      </c>
    </row>
    <row r="25">
      <c r="A25" s="39">
        <f>IF('Additional Cartons'!B25 = "", "", IF('Additional Cartons-WUO_ERR'!A25 = "", "Validated", HYPERLINK("#" &amp; ADDRESS(25, 'Additional Cartons-WUO_TRK'!A25),_xlfn.TEXTAFTER('Additional Cartons-WUO_ERR'!A25, ":"))))</f>
        <v/>
      </c>
    </row>
    <row r="26">
      <c r="A26" s="39">
        <f>IF('Additional Cartons'!B26 = "", "", IF('Additional Cartons-WUO_ERR'!A26 = "", "Validated", HYPERLINK("#" &amp; ADDRESS(26, 'Additional Cartons-WUO_TRK'!A26),_xlfn.TEXTAFTER('Additional Cartons-WUO_ERR'!A26, ":"))))</f>
        <v/>
      </c>
    </row>
    <row r="27">
      <c r="A27" s="39">
        <f>IF('Additional Cartons'!B27 = "", "", IF('Additional Cartons-WUO_ERR'!A27 = "", "Validated", HYPERLINK("#" &amp; ADDRESS(27, 'Additional Cartons-WUO_TRK'!A27),_xlfn.TEXTAFTER('Additional Cartons-WUO_ERR'!A27, ":"))))</f>
        <v/>
      </c>
    </row>
    <row r="28">
      <c r="A28" s="39">
        <f>IF('Additional Cartons'!B28 = "", "", IF('Additional Cartons-WUO_ERR'!A28 = "", "Validated", HYPERLINK("#" &amp; ADDRESS(28, 'Additional Cartons-WUO_TRK'!A28),_xlfn.TEXTAFTER('Additional Cartons-WUO_ERR'!A28, ":"))))</f>
        <v/>
      </c>
    </row>
    <row r="29">
      <c r="A29" s="39">
        <f>IF('Additional Cartons'!B29 = "", "", IF('Additional Cartons-WUO_ERR'!A29 = "", "Validated", HYPERLINK("#" &amp; ADDRESS(29, 'Additional Cartons-WUO_TRK'!A29),_xlfn.TEXTAFTER('Additional Cartons-WUO_ERR'!A29, ":"))))</f>
        <v/>
      </c>
    </row>
    <row r="30">
      <c r="A30" s="39">
        <f>IF('Additional Cartons'!B30 = "", "", IF('Additional Cartons-WUO_ERR'!A30 = "", "Validated", HYPERLINK("#" &amp; ADDRESS(30, 'Additional Cartons-WUO_TRK'!A30),_xlfn.TEXTAFTER('Additional Cartons-WUO_ERR'!A30, ":"))))</f>
        <v/>
      </c>
    </row>
    <row r="31">
      <c r="A31" s="39">
        <f>IF('Additional Cartons'!B31 = "", "", IF('Additional Cartons-WUO_ERR'!A31 = "", "Validated", HYPERLINK("#" &amp; ADDRESS(31, 'Additional Cartons-WUO_TRK'!A31),_xlfn.TEXTAFTER('Additional Cartons-WUO_ERR'!A31, ":"))))</f>
        <v/>
      </c>
    </row>
    <row r="32">
      <c r="A32" s="39">
        <f>IF('Additional Cartons'!B32 = "", "", IF('Additional Cartons-WUO_ERR'!A32 = "", "Validated", HYPERLINK("#" &amp; ADDRESS(32, 'Additional Cartons-WUO_TRK'!A32),_xlfn.TEXTAFTER('Additional Cartons-WUO_ERR'!A32, ":"))))</f>
        <v/>
      </c>
    </row>
    <row r="33">
      <c r="A33" s="39">
        <f>IF('Additional Cartons'!B33 = "", "", IF('Additional Cartons-WUO_ERR'!A33 = "", "Validated", HYPERLINK("#" &amp; ADDRESS(33, 'Additional Cartons-WUO_TRK'!A33),_xlfn.TEXTAFTER('Additional Cartons-WUO_ERR'!A33, ":"))))</f>
        <v/>
      </c>
    </row>
    <row r="34">
      <c r="A34" s="39">
        <f>IF('Additional Cartons'!B34 = "", "", IF('Additional Cartons-WUO_ERR'!A34 = "", "Validated", HYPERLINK("#" &amp; ADDRESS(34, 'Additional Cartons-WUO_TRK'!A34),_xlfn.TEXTAFTER('Additional Cartons-WUO_ERR'!A34, ":"))))</f>
        <v/>
      </c>
    </row>
    <row r="35">
      <c r="A35" s="39">
        <f>IF('Additional Cartons'!B35 = "", "", IF('Additional Cartons-WUO_ERR'!A35 = "", "Validated", HYPERLINK("#" &amp; ADDRESS(35, 'Additional Cartons-WUO_TRK'!A35),_xlfn.TEXTAFTER('Additional Cartons-WUO_ERR'!A35, ":"))))</f>
        <v/>
      </c>
    </row>
    <row r="36">
      <c r="A36" s="39">
        <f>IF('Additional Cartons'!B36 = "", "", IF('Additional Cartons-WUO_ERR'!A36 = "", "Validated", HYPERLINK("#" &amp; ADDRESS(36, 'Additional Cartons-WUO_TRK'!A36),_xlfn.TEXTAFTER('Additional Cartons-WUO_ERR'!A36, ":"))))</f>
        <v/>
      </c>
    </row>
    <row r="37">
      <c r="A37" s="39">
        <f>IF('Additional Cartons'!B37 = "", "", IF('Additional Cartons-WUO_ERR'!A37 = "", "Validated", HYPERLINK("#" &amp; ADDRESS(37, 'Additional Cartons-WUO_TRK'!A37),_xlfn.TEXTAFTER('Additional Cartons-WUO_ERR'!A37, ":"))))</f>
        <v/>
      </c>
    </row>
    <row r="38">
      <c r="A38" s="39">
        <f>IF('Additional Cartons'!B38 = "", "", IF('Additional Cartons-WUO_ERR'!A38 = "", "Validated", HYPERLINK("#" &amp; ADDRESS(38, 'Additional Cartons-WUO_TRK'!A38),_xlfn.TEXTAFTER('Additional Cartons-WUO_ERR'!A38, ":"))))</f>
        <v/>
      </c>
    </row>
    <row r="39">
      <c r="A39" s="39">
        <f>IF('Additional Cartons'!B39 = "", "", IF('Additional Cartons-WUO_ERR'!A39 = "", "Validated", HYPERLINK("#" &amp; ADDRESS(39, 'Additional Cartons-WUO_TRK'!A39),_xlfn.TEXTAFTER('Additional Cartons-WUO_ERR'!A39, ":"))))</f>
        <v/>
      </c>
    </row>
    <row r="40">
      <c r="A40" s="39">
        <f>IF('Additional Cartons'!B40 = "", "", IF('Additional Cartons-WUO_ERR'!A40 = "", "Validated", HYPERLINK("#" &amp; ADDRESS(40, 'Additional Cartons-WUO_TRK'!A40),_xlfn.TEXTAFTER('Additional Cartons-WUO_ERR'!A40, ":"))))</f>
        <v/>
      </c>
    </row>
    <row r="41">
      <c r="A41" s="39">
        <f>IF('Additional Cartons'!B41 = "", "", IF('Additional Cartons-WUO_ERR'!A41 = "", "Validated", HYPERLINK("#" &amp; ADDRESS(41, 'Additional Cartons-WUO_TRK'!A41),_xlfn.TEXTAFTER('Additional Cartons-WUO_ERR'!A41, ":"))))</f>
        <v/>
      </c>
    </row>
    <row r="42">
      <c r="A42" s="39">
        <f>IF('Additional Cartons'!B42 = "", "", IF('Additional Cartons-WUO_ERR'!A42 = "", "Validated", HYPERLINK("#" &amp; ADDRESS(42, 'Additional Cartons-WUO_TRK'!A42),_xlfn.TEXTAFTER('Additional Cartons-WUO_ERR'!A42, ":"))))</f>
        <v/>
      </c>
    </row>
    <row r="43">
      <c r="A43" s="39">
        <f>IF('Additional Cartons'!B43 = "", "", IF('Additional Cartons-WUO_ERR'!A43 = "", "Validated", HYPERLINK("#" &amp; ADDRESS(43, 'Additional Cartons-WUO_TRK'!A43),_xlfn.TEXTAFTER('Additional Cartons-WUO_ERR'!A43, ":"))))</f>
        <v/>
      </c>
    </row>
    <row r="44">
      <c r="A44" s="39">
        <f>IF('Additional Cartons'!B44 = "", "", IF('Additional Cartons-WUO_ERR'!A44 = "", "Validated", HYPERLINK("#" &amp; ADDRESS(44, 'Additional Cartons-WUO_TRK'!A44),_xlfn.TEXTAFTER('Additional Cartons-WUO_ERR'!A44, ":"))))</f>
        <v/>
      </c>
    </row>
    <row r="45">
      <c r="A45" s="39">
        <f>IF('Additional Cartons'!B45 = "", "", IF('Additional Cartons-WUO_ERR'!A45 = "", "Validated", HYPERLINK("#" &amp; ADDRESS(45, 'Additional Cartons-WUO_TRK'!A45),_xlfn.TEXTAFTER('Additional Cartons-WUO_ERR'!A45, ":"))))</f>
        <v/>
      </c>
    </row>
    <row r="46">
      <c r="A46" s="39">
        <f>IF('Additional Cartons'!B46 = "", "", IF('Additional Cartons-WUO_ERR'!A46 = "", "Validated", HYPERLINK("#" &amp; ADDRESS(46, 'Additional Cartons-WUO_TRK'!A46),_xlfn.TEXTAFTER('Additional Cartons-WUO_ERR'!A46, ":"))))</f>
        <v/>
      </c>
    </row>
    <row r="47">
      <c r="A47" s="39">
        <f>IF('Additional Cartons'!B47 = "", "", IF('Additional Cartons-WUO_ERR'!A47 = "", "Validated", HYPERLINK("#" &amp; ADDRESS(47, 'Additional Cartons-WUO_TRK'!A47),_xlfn.TEXTAFTER('Additional Cartons-WUO_ERR'!A47, ":"))))</f>
        <v/>
      </c>
    </row>
    <row r="48">
      <c r="A48" s="39">
        <f>IF('Additional Cartons'!B48 = "", "", IF('Additional Cartons-WUO_ERR'!A48 = "", "Validated", HYPERLINK("#" &amp; ADDRESS(48, 'Additional Cartons-WUO_TRK'!A48),_xlfn.TEXTAFTER('Additional Cartons-WUO_ERR'!A48, ":"))))</f>
        <v/>
      </c>
    </row>
    <row r="49">
      <c r="A49" s="39">
        <f>IF('Additional Cartons'!B49 = "", "", IF('Additional Cartons-WUO_ERR'!A49 = "", "Validated", HYPERLINK("#" &amp; ADDRESS(49, 'Additional Cartons-WUO_TRK'!A49),_xlfn.TEXTAFTER('Additional Cartons-WUO_ERR'!A49, ":"))))</f>
        <v/>
      </c>
    </row>
    <row r="50">
      <c r="A50" s="39">
        <f>IF('Additional Cartons'!B50 = "", "", IF('Additional Cartons-WUO_ERR'!A50 = "", "Validated", HYPERLINK("#" &amp; ADDRESS(50, 'Additional Cartons-WUO_TRK'!A50),_xlfn.TEXTAFTER('Additional Cartons-WUO_ERR'!A50, ":"))))</f>
        <v/>
      </c>
    </row>
    <row r="51">
      <c r="A51" s="39">
        <f>IF('Additional Cartons'!B51 = "", "", IF('Additional Cartons-WUO_ERR'!A51 = "", "Validated", HYPERLINK("#" &amp; ADDRESS(51, 'Additional Cartons-WUO_TRK'!A51),_xlfn.TEXTAFTER('Additional Cartons-WUO_ERR'!A51, ":"))))</f>
        <v/>
      </c>
    </row>
    <row r="52">
      <c r="A52" s="39">
        <f>IF('Additional Cartons'!B52 = "", "", IF('Additional Cartons-WUO_ERR'!A52 = "", "Validated", HYPERLINK("#" &amp; ADDRESS(52, 'Additional Cartons-WUO_TRK'!A52),_xlfn.TEXTAFTER('Additional Cartons-WUO_ERR'!A52, ":"))))</f>
        <v/>
      </c>
    </row>
    <row r="53">
      <c r="A53" s="39">
        <f>IF('Additional Cartons'!B53 = "", "", IF('Additional Cartons-WUO_ERR'!A53 = "", "Validated", HYPERLINK("#" &amp; ADDRESS(53, 'Additional Cartons-WUO_TRK'!A53),_xlfn.TEXTAFTER('Additional Cartons-WUO_ERR'!A53, ":"))))</f>
        <v/>
      </c>
    </row>
    <row r="54">
      <c r="A54" s="39">
        <f>IF('Additional Cartons'!B54 = "", "", IF('Additional Cartons-WUO_ERR'!A54 = "", "Validated", HYPERLINK("#" &amp; ADDRESS(54, 'Additional Cartons-WUO_TRK'!A54),_xlfn.TEXTAFTER('Additional Cartons-WUO_ERR'!A54, ":"))))</f>
        <v/>
      </c>
    </row>
    <row r="55">
      <c r="A55" s="39">
        <f>IF('Additional Cartons'!B55 = "", "", IF('Additional Cartons-WUO_ERR'!A55 = "", "Validated", HYPERLINK("#" &amp; ADDRESS(55, 'Additional Cartons-WUO_TRK'!A55),_xlfn.TEXTAFTER('Additional Cartons-WUO_ERR'!A55, ":"))))</f>
        <v/>
      </c>
    </row>
    <row r="56">
      <c r="A56" s="39">
        <f>IF('Additional Cartons'!B56 = "", "", IF('Additional Cartons-WUO_ERR'!A56 = "", "Validated", HYPERLINK("#" &amp; ADDRESS(56, 'Additional Cartons-WUO_TRK'!A56),_xlfn.TEXTAFTER('Additional Cartons-WUO_ERR'!A56, ":"))))</f>
        <v/>
      </c>
    </row>
    <row r="57">
      <c r="A57" s="39">
        <f>IF('Additional Cartons'!B57 = "", "", IF('Additional Cartons-WUO_ERR'!A57 = "", "Validated", HYPERLINK("#" &amp; ADDRESS(57, 'Additional Cartons-WUO_TRK'!A57),_xlfn.TEXTAFTER('Additional Cartons-WUO_ERR'!A57, ":"))))</f>
        <v/>
      </c>
    </row>
    <row r="58">
      <c r="A58" s="39">
        <f>IF('Additional Cartons'!B58 = "", "", IF('Additional Cartons-WUO_ERR'!A58 = "", "Validated", HYPERLINK("#" &amp; ADDRESS(58, 'Additional Cartons-WUO_TRK'!A58),_xlfn.TEXTAFTER('Additional Cartons-WUO_ERR'!A58, ":"))))</f>
        <v/>
      </c>
    </row>
    <row r="59">
      <c r="A59" s="39">
        <f>IF('Additional Cartons'!B59 = "", "", IF('Additional Cartons-WUO_ERR'!A59 = "", "Validated", HYPERLINK("#" &amp; ADDRESS(59, 'Additional Cartons-WUO_TRK'!A59),_xlfn.TEXTAFTER('Additional Cartons-WUO_ERR'!A59, ":"))))</f>
        <v/>
      </c>
    </row>
    <row r="60">
      <c r="A60" s="39">
        <f>IF('Additional Cartons'!B60 = "", "", IF('Additional Cartons-WUO_ERR'!A60 = "", "Validated", HYPERLINK("#" &amp; ADDRESS(60, 'Additional Cartons-WUO_TRK'!A60),_xlfn.TEXTAFTER('Additional Cartons-WUO_ERR'!A60, ":"))))</f>
        <v/>
      </c>
    </row>
    <row r="61">
      <c r="A61" s="39">
        <f>IF('Additional Cartons'!B61 = "", "", IF('Additional Cartons-WUO_ERR'!A61 = "", "Validated", HYPERLINK("#" &amp; ADDRESS(61, 'Additional Cartons-WUO_TRK'!A61),_xlfn.TEXTAFTER('Additional Cartons-WUO_ERR'!A61, ":"))))</f>
        <v/>
      </c>
    </row>
    <row r="62">
      <c r="A62" s="39">
        <f>IF('Additional Cartons'!B62 = "", "", IF('Additional Cartons-WUO_ERR'!A62 = "", "Validated", HYPERLINK("#" &amp; ADDRESS(62, 'Additional Cartons-WUO_TRK'!A62),_xlfn.TEXTAFTER('Additional Cartons-WUO_ERR'!A62, ":"))))</f>
        <v/>
      </c>
    </row>
    <row r="63">
      <c r="A63" s="39">
        <f>IF('Additional Cartons'!B63 = "", "", IF('Additional Cartons-WUO_ERR'!A63 = "", "Validated", HYPERLINK("#" &amp; ADDRESS(63, 'Additional Cartons-WUO_TRK'!A63),_xlfn.TEXTAFTER('Additional Cartons-WUO_ERR'!A63, ":"))))</f>
        <v/>
      </c>
    </row>
    <row r="64">
      <c r="A64" s="39">
        <f>IF('Additional Cartons'!B64 = "", "", IF('Additional Cartons-WUO_ERR'!A64 = "", "Validated", HYPERLINK("#" &amp; ADDRESS(64, 'Additional Cartons-WUO_TRK'!A64),_xlfn.TEXTAFTER('Additional Cartons-WUO_ERR'!A64, ":"))))</f>
        <v/>
      </c>
    </row>
    <row r="65">
      <c r="A65" s="39">
        <f>IF('Additional Cartons'!B65 = "", "", IF('Additional Cartons-WUO_ERR'!A65 = "", "Validated", HYPERLINK("#" &amp; ADDRESS(65, 'Additional Cartons-WUO_TRK'!A65),_xlfn.TEXTAFTER('Additional Cartons-WUO_ERR'!A65, ":"))))</f>
        <v/>
      </c>
    </row>
    <row r="66">
      <c r="A66" s="39">
        <f>IF('Additional Cartons'!B66 = "", "", IF('Additional Cartons-WUO_ERR'!A66 = "", "Validated", HYPERLINK("#" &amp; ADDRESS(66, 'Additional Cartons-WUO_TRK'!A66),_xlfn.TEXTAFTER('Additional Cartons-WUO_ERR'!A66, ":"))))</f>
        <v/>
      </c>
    </row>
    <row r="67">
      <c r="A67" s="39">
        <f>IF('Additional Cartons'!B67 = "", "", IF('Additional Cartons-WUO_ERR'!A67 = "", "Validated", HYPERLINK("#" &amp; ADDRESS(67, 'Additional Cartons-WUO_TRK'!A67),_xlfn.TEXTAFTER('Additional Cartons-WUO_ERR'!A67, ":"))))</f>
        <v/>
      </c>
    </row>
    <row r="68">
      <c r="A68" s="39">
        <f>IF('Additional Cartons'!B68 = "", "", IF('Additional Cartons-WUO_ERR'!A68 = "", "Validated", HYPERLINK("#" &amp; ADDRESS(68, 'Additional Cartons-WUO_TRK'!A68),_xlfn.TEXTAFTER('Additional Cartons-WUO_ERR'!A68, ":"))))</f>
        <v/>
      </c>
    </row>
    <row r="69">
      <c r="A69" s="39">
        <f>IF('Additional Cartons'!B69 = "", "", IF('Additional Cartons-WUO_ERR'!A69 = "", "Validated", HYPERLINK("#" &amp; ADDRESS(69, 'Additional Cartons-WUO_TRK'!A69),_xlfn.TEXTAFTER('Additional Cartons-WUO_ERR'!A69, ":"))))</f>
        <v/>
      </c>
    </row>
    <row r="70">
      <c r="A70" s="39">
        <f>IF('Additional Cartons'!B70 = "", "", IF('Additional Cartons-WUO_ERR'!A70 = "", "Validated", HYPERLINK("#" &amp; ADDRESS(70, 'Additional Cartons-WUO_TRK'!A70),_xlfn.TEXTAFTER('Additional Cartons-WUO_ERR'!A70, ":"))))</f>
        <v/>
      </c>
    </row>
    <row r="71">
      <c r="A71" s="39">
        <f>IF('Additional Cartons'!B71 = "", "", IF('Additional Cartons-WUO_ERR'!A71 = "", "Validated", HYPERLINK("#" &amp; ADDRESS(71, 'Additional Cartons-WUO_TRK'!A71),_xlfn.TEXTAFTER('Additional Cartons-WUO_ERR'!A71, ":"))))</f>
        <v/>
      </c>
    </row>
    <row r="72">
      <c r="A72" s="39">
        <f>IF('Additional Cartons'!B72 = "", "", IF('Additional Cartons-WUO_ERR'!A72 = "", "Validated", HYPERLINK("#" &amp; ADDRESS(72, 'Additional Cartons-WUO_TRK'!A72),_xlfn.TEXTAFTER('Additional Cartons-WUO_ERR'!A72, ":"))))</f>
        <v/>
      </c>
    </row>
    <row r="73">
      <c r="A73" s="39">
        <f>IF('Additional Cartons'!B73 = "", "", IF('Additional Cartons-WUO_ERR'!A73 = "", "Validated", HYPERLINK("#" &amp; ADDRESS(73, 'Additional Cartons-WUO_TRK'!A73),_xlfn.TEXTAFTER('Additional Cartons-WUO_ERR'!A73, ":"))))</f>
        <v/>
      </c>
    </row>
    <row r="74">
      <c r="A74" s="39">
        <f>IF('Additional Cartons'!B74 = "", "", IF('Additional Cartons-WUO_ERR'!A74 = "", "Validated", HYPERLINK("#" &amp; ADDRESS(74, 'Additional Cartons-WUO_TRK'!A74),_xlfn.TEXTAFTER('Additional Cartons-WUO_ERR'!A74, ":"))))</f>
        <v/>
      </c>
    </row>
    <row r="75">
      <c r="A75" s="39">
        <f>IF('Additional Cartons'!B75 = "", "", IF('Additional Cartons-WUO_ERR'!A75 = "", "Validated", HYPERLINK("#" &amp; ADDRESS(75, 'Additional Cartons-WUO_TRK'!A75),_xlfn.TEXTAFTER('Additional Cartons-WUO_ERR'!A75, ":"))))</f>
        <v/>
      </c>
    </row>
    <row r="76">
      <c r="A76" s="39">
        <f>IF('Additional Cartons'!B76 = "", "", IF('Additional Cartons-WUO_ERR'!A76 = "", "Validated", HYPERLINK("#" &amp; ADDRESS(76, 'Additional Cartons-WUO_TRK'!A76),_xlfn.TEXTAFTER('Additional Cartons-WUO_ERR'!A76, ":"))))</f>
        <v/>
      </c>
    </row>
    <row r="77">
      <c r="A77" s="39">
        <f>IF('Additional Cartons'!B77 = "", "", IF('Additional Cartons-WUO_ERR'!A77 = "", "Validated", HYPERLINK("#" &amp; ADDRESS(77, 'Additional Cartons-WUO_TRK'!A77),_xlfn.TEXTAFTER('Additional Cartons-WUO_ERR'!A77, ":"))))</f>
        <v/>
      </c>
    </row>
    <row r="78">
      <c r="A78" s="39">
        <f>IF('Additional Cartons'!B78 = "", "", IF('Additional Cartons-WUO_ERR'!A78 = "", "Validated", HYPERLINK("#" &amp; ADDRESS(78, 'Additional Cartons-WUO_TRK'!A78),_xlfn.TEXTAFTER('Additional Cartons-WUO_ERR'!A78, ":"))))</f>
        <v/>
      </c>
    </row>
    <row r="79">
      <c r="A79" s="39">
        <f>IF('Additional Cartons'!B79 = "", "", IF('Additional Cartons-WUO_ERR'!A79 = "", "Validated", HYPERLINK("#" &amp; ADDRESS(79, 'Additional Cartons-WUO_TRK'!A79),_xlfn.TEXTAFTER('Additional Cartons-WUO_ERR'!A79, ":"))))</f>
        <v/>
      </c>
    </row>
    <row r="80">
      <c r="A80" s="39">
        <f>IF('Additional Cartons'!B80 = "", "", IF('Additional Cartons-WUO_ERR'!A80 = "", "Validated", HYPERLINK("#" &amp; ADDRESS(80, 'Additional Cartons-WUO_TRK'!A80),_xlfn.TEXTAFTER('Additional Cartons-WUO_ERR'!A80, ":"))))</f>
        <v/>
      </c>
    </row>
    <row r="81">
      <c r="A81" s="39">
        <f>IF('Additional Cartons'!B81 = "", "", IF('Additional Cartons-WUO_ERR'!A81 = "", "Validated", HYPERLINK("#" &amp; ADDRESS(81, 'Additional Cartons-WUO_TRK'!A81),_xlfn.TEXTAFTER('Additional Cartons-WUO_ERR'!A81, ":"))))</f>
        <v/>
      </c>
    </row>
    <row r="82">
      <c r="A82" s="39">
        <f>IF('Additional Cartons'!B82 = "", "", IF('Additional Cartons-WUO_ERR'!A82 = "", "Validated", HYPERLINK("#" &amp; ADDRESS(82, 'Additional Cartons-WUO_TRK'!A82),_xlfn.TEXTAFTER('Additional Cartons-WUO_ERR'!A82, ":"))))</f>
        <v/>
      </c>
    </row>
    <row r="83">
      <c r="A83" s="39">
        <f>IF('Additional Cartons'!B83 = "", "", IF('Additional Cartons-WUO_ERR'!A83 = "", "Validated", HYPERLINK("#" &amp; ADDRESS(83, 'Additional Cartons-WUO_TRK'!A83),_xlfn.TEXTAFTER('Additional Cartons-WUO_ERR'!A83, ":"))))</f>
        <v/>
      </c>
    </row>
    <row r="84">
      <c r="A84" s="39">
        <f>IF('Additional Cartons'!B84 = "", "", IF('Additional Cartons-WUO_ERR'!A84 = "", "Validated", HYPERLINK("#" &amp; ADDRESS(84, 'Additional Cartons-WUO_TRK'!A84),_xlfn.TEXTAFTER('Additional Cartons-WUO_ERR'!A84, ":"))))</f>
        <v/>
      </c>
    </row>
    <row r="85">
      <c r="A85" s="39">
        <f>IF('Additional Cartons'!B85 = "", "", IF('Additional Cartons-WUO_ERR'!A85 = "", "Validated", HYPERLINK("#" &amp; ADDRESS(85, 'Additional Cartons-WUO_TRK'!A85),_xlfn.TEXTAFTER('Additional Cartons-WUO_ERR'!A85, ":"))))</f>
        <v/>
      </c>
    </row>
    <row r="86">
      <c r="A86" s="39">
        <f>IF('Additional Cartons'!B86 = "", "", IF('Additional Cartons-WUO_ERR'!A86 = "", "Validated", HYPERLINK("#" &amp; ADDRESS(86, 'Additional Cartons-WUO_TRK'!A86),_xlfn.TEXTAFTER('Additional Cartons-WUO_ERR'!A86, ":"))))</f>
        <v/>
      </c>
    </row>
    <row r="87">
      <c r="A87" s="39">
        <f>IF('Additional Cartons'!B87 = "", "", IF('Additional Cartons-WUO_ERR'!A87 = "", "Validated", HYPERLINK("#" &amp; ADDRESS(87, 'Additional Cartons-WUO_TRK'!A87),_xlfn.TEXTAFTER('Additional Cartons-WUO_ERR'!A87, ":"))))</f>
        <v/>
      </c>
    </row>
    <row r="88">
      <c r="A88" s="39">
        <f>IF('Additional Cartons'!B88 = "", "", IF('Additional Cartons-WUO_ERR'!A88 = "", "Validated", HYPERLINK("#" &amp; ADDRESS(88, 'Additional Cartons-WUO_TRK'!A88),_xlfn.TEXTAFTER('Additional Cartons-WUO_ERR'!A88, ":"))))</f>
        <v/>
      </c>
    </row>
    <row r="89">
      <c r="A89" s="39">
        <f>IF('Additional Cartons'!B89 = "", "", IF('Additional Cartons-WUO_ERR'!A89 = "", "Validated", HYPERLINK("#" &amp; ADDRESS(89, 'Additional Cartons-WUO_TRK'!A89),_xlfn.TEXTAFTER('Additional Cartons-WUO_ERR'!A89, ":"))))</f>
        <v/>
      </c>
    </row>
    <row r="90">
      <c r="A90" s="39">
        <f>IF('Additional Cartons'!B90 = "", "", IF('Additional Cartons-WUO_ERR'!A90 = "", "Validated", HYPERLINK("#" &amp; ADDRESS(90, 'Additional Cartons-WUO_TRK'!A90),_xlfn.TEXTAFTER('Additional Cartons-WUO_ERR'!A90, ":"))))</f>
        <v/>
      </c>
    </row>
    <row r="91">
      <c r="A91" s="39">
        <f>IF('Additional Cartons'!B91 = "", "", IF('Additional Cartons-WUO_ERR'!A91 = "", "Validated", HYPERLINK("#" &amp; ADDRESS(91, 'Additional Cartons-WUO_TRK'!A91),_xlfn.TEXTAFTER('Additional Cartons-WUO_ERR'!A91, ":"))))</f>
        <v/>
      </c>
    </row>
    <row r="92">
      <c r="A92" s="39">
        <f>IF('Additional Cartons'!B92 = "", "", IF('Additional Cartons-WUO_ERR'!A92 = "", "Validated", HYPERLINK("#" &amp; ADDRESS(92, 'Additional Cartons-WUO_TRK'!A92),_xlfn.TEXTAFTER('Additional Cartons-WUO_ERR'!A92, ":"))))</f>
        <v/>
      </c>
    </row>
    <row r="93">
      <c r="A93" s="39">
        <f>IF('Additional Cartons'!B93 = "", "", IF('Additional Cartons-WUO_ERR'!A93 = "", "Validated", HYPERLINK("#" &amp; ADDRESS(93, 'Additional Cartons-WUO_TRK'!A93),_xlfn.TEXTAFTER('Additional Cartons-WUO_ERR'!A93, ":"))))</f>
        <v/>
      </c>
    </row>
    <row r="94">
      <c r="A94" s="39">
        <f>IF('Additional Cartons'!B94 = "", "", IF('Additional Cartons-WUO_ERR'!A94 = "", "Validated", HYPERLINK("#" &amp; ADDRESS(94, 'Additional Cartons-WUO_TRK'!A94),_xlfn.TEXTAFTER('Additional Cartons-WUO_ERR'!A94, ":"))))</f>
        <v/>
      </c>
    </row>
    <row r="95">
      <c r="A95" s="39">
        <f>IF('Additional Cartons'!B95 = "", "", IF('Additional Cartons-WUO_ERR'!A95 = "", "Validated", HYPERLINK("#" &amp; ADDRESS(95, 'Additional Cartons-WUO_TRK'!A95),_xlfn.TEXTAFTER('Additional Cartons-WUO_ERR'!A95, ":"))))</f>
        <v/>
      </c>
    </row>
    <row r="96">
      <c r="A96" s="39">
        <f>IF('Additional Cartons'!B96 = "", "", IF('Additional Cartons-WUO_ERR'!A96 = "", "Validated", HYPERLINK("#" &amp; ADDRESS(96, 'Additional Cartons-WUO_TRK'!A96),_xlfn.TEXTAFTER('Additional Cartons-WUO_ERR'!A96, ":"))))</f>
        <v/>
      </c>
    </row>
    <row r="97">
      <c r="A97" s="39">
        <f>IF('Additional Cartons'!B97 = "", "", IF('Additional Cartons-WUO_ERR'!A97 = "", "Validated", HYPERLINK("#" &amp; ADDRESS(97, 'Additional Cartons-WUO_TRK'!A97),_xlfn.TEXTAFTER('Additional Cartons-WUO_ERR'!A97, ":"))))</f>
        <v/>
      </c>
    </row>
    <row r="98">
      <c r="A98" s="39">
        <f>IF('Additional Cartons'!B98 = "", "", IF('Additional Cartons-WUO_ERR'!A98 = "", "Validated", HYPERLINK("#" &amp; ADDRESS(98, 'Additional Cartons-WUO_TRK'!A98),_xlfn.TEXTAFTER('Additional Cartons-WUO_ERR'!A98, ":"))))</f>
        <v/>
      </c>
    </row>
    <row r="99">
      <c r="A99" s="39">
        <f>IF('Additional Cartons'!B99 = "", "", IF('Additional Cartons-WUO_ERR'!A99 = "", "Validated", HYPERLINK("#" &amp; ADDRESS(99, 'Additional Cartons-WUO_TRK'!A99),_xlfn.TEXTAFTER('Additional Cartons-WUO_ERR'!A99, ":"))))</f>
        <v/>
      </c>
    </row>
    <row r="100">
      <c r="A100" s="39">
        <f>IF('Additional Cartons'!B100 = "", "", IF('Additional Cartons-WUO_ERR'!A100 = "", "Validated", HYPERLINK("#" &amp; ADDRESS(100, 'Additional Cartons-WUO_TRK'!A100),_xlfn.TEXTAFTER('Additional Cartons-WUO_ERR'!A100, ":"))))</f>
        <v/>
      </c>
    </row>
    <row r="101">
      <c r="A101" s="39">
        <f>IF('Additional Cartons'!B101 = "", "", IF('Additional Cartons-WUO_ERR'!A101 = "", "Validated", HYPERLINK("#" &amp; ADDRESS(101, 'Additional Cartons-WUO_TRK'!A101),_xlfn.TEXTAFTER('Additional Cartons-WUO_ERR'!A101, ":"))))</f>
        <v/>
      </c>
    </row>
    <row r="102">
      <c r="A102" s="39">
        <f>IF('Additional Cartons'!B102 = "", "", IF('Additional Cartons-WUO_ERR'!A102 = "", "Validated", HYPERLINK("#" &amp; ADDRESS(102, 'Additional Cartons-WUO_TRK'!A102),_xlfn.TEXTAFTER('Additional Cartons-WUO_ERR'!A102, ":"))))</f>
        <v/>
      </c>
    </row>
    <row r="103">
      <c r="A103" s="39">
        <f>IF('Additional Cartons'!B103 = "", "", IF('Additional Cartons-WUO_ERR'!A103 = "", "Validated", HYPERLINK("#" &amp; ADDRESS(103, 'Additional Cartons-WUO_TRK'!A103),_xlfn.TEXTAFTER('Additional Cartons-WUO_ERR'!A103, ":"))))</f>
        <v/>
      </c>
    </row>
    <row r="104">
      <c r="A104" s="39">
        <f>IF('Additional Cartons'!B104 = "", "", IF('Additional Cartons-WUO_ERR'!A104 = "", "Validated", HYPERLINK("#" &amp; ADDRESS(104, 'Additional Cartons-WUO_TRK'!A104),_xlfn.TEXTAFTER('Additional Cartons-WUO_ERR'!A104, ":"))))</f>
        <v/>
      </c>
    </row>
    <row r="105">
      <c r="A105" s="39">
        <f>IF('Additional Cartons'!B105 = "", "", IF('Additional Cartons-WUO_ERR'!A105 = "", "Validated", HYPERLINK("#" &amp; ADDRESS(105, 'Additional Cartons-WUO_TRK'!A105),_xlfn.TEXTAFTER('Additional Cartons-WUO_ERR'!A105, ":"))))</f>
        <v/>
      </c>
    </row>
    <row r="106">
      <c r="A106" s="39">
        <f>IF('Additional Cartons'!B106 = "", "", IF('Additional Cartons-WUO_ERR'!A106 = "", "Validated", HYPERLINK("#" &amp; ADDRESS(106, 'Additional Cartons-WUO_TRK'!A106),_xlfn.TEXTAFTER('Additional Cartons-WUO_ERR'!A106, ":"))))</f>
        <v/>
      </c>
    </row>
    <row r="107">
      <c r="A107" s="39">
        <f>IF('Additional Cartons'!B107 = "", "", IF('Additional Cartons-WUO_ERR'!A107 = "", "Validated", HYPERLINK("#" &amp; ADDRESS(107, 'Additional Cartons-WUO_TRK'!A107),_xlfn.TEXTAFTER('Additional Cartons-WUO_ERR'!A107, ":"))))</f>
        <v/>
      </c>
    </row>
    <row r="108">
      <c r="A108" s="39">
        <f>IF('Additional Cartons'!B108 = "", "", IF('Additional Cartons-WUO_ERR'!A108 = "", "Validated", HYPERLINK("#" &amp; ADDRESS(108, 'Additional Cartons-WUO_TRK'!A108),_xlfn.TEXTAFTER('Additional Cartons-WUO_ERR'!A108, ":"))))</f>
        <v/>
      </c>
    </row>
    <row r="109">
      <c r="A109" s="39">
        <f>IF('Additional Cartons'!B109 = "", "", IF('Additional Cartons-WUO_ERR'!A109 = "", "Validated", HYPERLINK("#" &amp; ADDRESS(109, 'Additional Cartons-WUO_TRK'!A109),_xlfn.TEXTAFTER('Additional Cartons-WUO_ERR'!A109, ":"))))</f>
        <v/>
      </c>
    </row>
    <row r="110">
      <c r="A110" s="39">
        <f>IF('Additional Cartons'!B110 = "", "", IF('Additional Cartons-WUO_ERR'!A110 = "", "Validated", HYPERLINK("#" &amp; ADDRESS(110, 'Additional Cartons-WUO_TRK'!A110),_xlfn.TEXTAFTER('Additional Cartons-WUO_ERR'!A110, ":"))))</f>
        <v/>
      </c>
    </row>
    <row r="111">
      <c r="A111" s="39">
        <f>IF('Additional Cartons'!B111 = "", "", IF('Additional Cartons-WUO_ERR'!A111 = "", "Validated", HYPERLINK("#" &amp; ADDRESS(111, 'Additional Cartons-WUO_TRK'!A111),_xlfn.TEXTAFTER('Additional Cartons-WUO_ERR'!A111, ":"))))</f>
        <v/>
      </c>
    </row>
    <row r="112">
      <c r="A112" s="39">
        <f>IF('Additional Cartons'!B112 = "", "", IF('Additional Cartons-WUO_ERR'!A112 = "", "Validated", HYPERLINK("#" &amp; ADDRESS(112, 'Additional Cartons-WUO_TRK'!A112),_xlfn.TEXTAFTER('Additional Cartons-WUO_ERR'!A112, ":"))))</f>
        <v/>
      </c>
    </row>
    <row r="113">
      <c r="A113" s="39">
        <f>IF('Additional Cartons'!B113 = "", "", IF('Additional Cartons-WUO_ERR'!A113 = "", "Validated", HYPERLINK("#" &amp; ADDRESS(113, 'Additional Cartons-WUO_TRK'!A113),_xlfn.TEXTAFTER('Additional Cartons-WUO_ERR'!A113, ":"))))</f>
        <v/>
      </c>
    </row>
    <row r="114">
      <c r="A114" s="39">
        <f>IF('Additional Cartons'!B114 = "", "", IF('Additional Cartons-WUO_ERR'!A114 = "", "Validated", HYPERLINK("#" &amp; ADDRESS(114, 'Additional Cartons-WUO_TRK'!A114),_xlfn.TEXTAFTER('Additional Cartons-WUO_ERR'!A114, ":"))))</f>
        <v/>
      </c>
    </row>
    <row r="115">
      <c r="A115" s="39">
        <f>IF('Additional Cartons'!B115 = "", "", IF('Additional Cartons-WUO_ERR'!A115 = "", "Validated", HYPERLINK("#" &amp; ADDRESS(115, 'Additional Cartons-WUO_TRK'!A115),_xlfn.TEXTAFTER('Additional Cartons-WUO_ERR'!A115, ":"))))</f>
        <v/>
      </c>
    </row>
    <row r="116">
      <c r="A116" s="39">
        <f>IF('Additional Cartons'!B116 = "", "", IF('Additional Cartons-WUO_ERR'!A116 = "", "Validated", HYPERLINK("#" &amp; ADDRESS(116, 'Additional Cartons-WUO_TRK'!A116),_xlfn.TEXTAFTER('Additional Cartons-WUO_ERR'!A116, ":"))))</f>
        <v/>
      </c>
    </row>
    <row r="117">
      <c r="A117" s="39">
        <f>IF('Additional Cartons'!B117 = "", "", IF('Additional Cartons-WUO_ERR'!A117 = "", "Validated", HYPERLINK("#" &amp; ADDRESS(117, 'Additional Cartons-WUO_TRK'!A117),_xlfn.TEXTAFTER('Additional Cartons-WUO_ERR'!A117, ":"))))</f>
        <v/>
      </c>
    </row>
    <row r="118">
      <c r="A118" s="39">
        <f>IF('Additional Cartons'!B118 = "", "", IF('Additional Cartons-WUO_ERR'!A118 = "", "Validated", HYPERLINK("#" &amp; ADDRESS(118, 'Additional Cartons-WUO_TRK'!A118),_xlfn.TEXTAFTER('Additional Cartons-WUO_ERR'!A118, ":"))))</f>
        <v/>
      </c>
    </row>
    <row r="119">
      <c r="A119" s="39">
        <f>IF('Additional Cartons'!B119 = "", "", IF('Additional Cartons-WUO_ERR'!A119 = "", "Validated", HYPERLINK("#" &amp; ADDRESS(119, 'Additional Cartons-WUO_TRK'!A119),_xlfn.TEXTAFTER('Additional Cartons-WUO_ERR'!A119, ":"))))</f>
        <v/>
      </c>
    </row>
    <row r="120">
      <c r="A120" s="39">
        <f>IF('Additional Cartons'!B120 = "", "", IF('Additional Cartons-WUO_ERR'!A120 = "", "Validated", HYPERLINK("#" &amp; ADDRESS(120, 'Additional Cartons-WUO_TRK'!A120),_xlfn.TEXTAFTER('Additional Cartons-WUO_ERR'!A120, ":"))))</f>
        <v/>
      </c>
    </row>
    <row r="121">
      <c r="A121" s="39">
        <f>IF('Additional Cartons'!B121 = "", "", IF('Additional Cartons-WUO_ERR'!A121 = "", "Validated", HYPERLINK("#" &amp; ADDRESS(121, 'Additional Cartons-WUO_TRK'!A121),_xlfn.TEXTAFTER('Additional Cartons-WUO_ERR'!A121, ":"))))</f>
        <v/>
      </c>
    </row>
    <row r="122">
      <c r="A122" s="39">
        <f>IF('Additional Cartons'!B122 = "", "", IF('Additional Cartons-WUO_ERR'!A122 = "", "Validated", HYPERLINK("#" &amp; ADDRESS(122, 'Additional Cartons-WUO_TRK'!A122),_xlfn.TEXTAFTER('Additional Cartons-WUO_ERR'!A122, ":"))))</f>
        <v/>
      </c>
    </row>
    <row r="123">
      <c r="A123" s="39">
        <f>IF('Additional Cartons'!B123 = "", "", IF('Additional Cartons-WUO_ERR'!A123 = "", "Validated", HYPERLINK("#" &amp; ADDRESS(123, 'Additional Cartons-WUO_TRK'!A123),_xlfn.TEXTAFTER('Additional Cartons-WUO_ERR'!A123, ":"))))</f>
        <v/>
      </c>
    </row>
    <row r="124">
      <c r="A124" s="39">
        <f>IF('Additional Cartons'!B124 = "", "", IF('Additional Cartons-WUO_ERR'!A124 = "", "Validated", HYPERLINK("#" &amp; ADDRESS(124, 'Additional Cartons-WUO_TRK'!A124),_xlfn.TEXTAFTER('Additional Cartons-WUO_ERR'!A124, ":"))))</f>
        <v/>
      </c>
    </row>
    <row r="125">
      <c r="A125" s="39">
        <f>IF('Additional Cartons'!B125 = "", "", IF('Additional Cartons-WUO_ERR'!A125 = "", "Validated", HYPERLINK("#" &amp; ADDRESS(125, 'Additional Cartons-WUO_TRK'!A125),_xlfn.TEXTAFTER('Additional Cartons-WUO_ERR'!A125, ":"))))</f>
        <v/>
      </c>
    </row>
    <row r="126">
      <c r="A126" s="39">
        <f>IF('Additional Cartons'!B126 = "", "", IF('Additional Cartons-WUO_ERR'!A126 = "", "Validated", HYPERLINK("#" &amp; ADDRESS(126, 'Additional Cartons-WUO_TRK'!A126),_xlfn.TEXTAFTER('Additional Cartons-WUO_ERR'!A126, ":"))))</f>
        <v/>
      </c>
    </row>
    <row r="127">
      <c r="A127" s="39">
        <f>IF('Additional Cartons'!B127 = "", "", IF('Additional Cartons-WUO_ERR'!A127 = "", "Validated", HYPERLINK("#" &amp; ADDRESS(127, 'Additional Cartons-WUO_TRK'!A127),_xlfn.TEXTAFTER('Additional Cartons-WUO_ERR'!A127, ":"))))</f>
        <v/>
      </c>
    </row>
    <row r="128">
      <c r="A128" s="39">
        <f>IF('Additional Cartons'!B128 = "", "", IF('Additional Cartons-WUO_ERR'!A128 = "", "Validated", HYPERLINK("#" &amp; ADDRESS(128, 'Additional Cartons-WUO_TRK'!A128),_xlfn.TEXTAFTER('Additional Cartons-WUO_ERR'!A128, ":"))))</f>
        <v/>
      </c>
    </row>
    <row r="129">
      <c r="A129" s="39">
        <f>IF('Additional Cartons'!B129 = "", "", IF('Additional Cartons-WUO_ERR'!A129 = "", "Validated", HYPERLINK("#" &amp; ADDRESS(129, 'Additional Cartons-WUO_TRK'!A129),_xlfn.TEXTAFTER('Additional Cartons-WUO_ERR'!A129, ":"))))</f>
        <v/>
      </c>
    </row>
    <row r="130">
      <c r="A130" s="39">
        <f>IF('Additional Cartons'!B130 = "", "", IF('Additional Cartons-WUO_ERR'!A130 = "", "Validated", HYPERLINK("#" &amp; ADDRESS(130, 'Additional Cartons-WUO_TRK'!A130),_xlfn.TEXTAFTER('Additional Cartons-WUO_ERR'!A130, ":"))))</f>
        <v/>
      </c>
    </row>
    <row r="131">
      <c r="A131" s="39">
        <f>IF('Additional Cartons'!B131 = "", "", IF('Additional Cartons-WUO_ERR'!A131 = "", "Validated", HYPERLINK("#" &amp; ADDRESS(131, 'Additional Cartons-WUO_TRK'!A131),_xlfn.TEXTAFTER('Additional Cartons-WUO_ERR'!A131, ":"))))</f>
        <v/>
      </c>
    </row>
    <row r="132">
      <c r="A132" s="39">
        <f>IF('Additional Cartons'!B132 = "", "", IF('Additional Cartons-WUO_ERR'!A132 = "", "Validated", HYPERLINK("#" &amp; ADDRESS(132, 'Additional Cartons-WUO_TRK'!A132),_xlfn.TEXTAFTER('Additional Cartons-WUO_ERR'!A132, ":"))))</f>
        <v/>
      </c>
    </row>
    <row r="133">
      <c r="A133" s="39">
        <f>IF('Additional Cartons'!B133 = "", "", IF('Additional Cartons-WUO_ERR'!A133 = "", "Validated", HYPERLINK("#" &amp; ADDRESS(133, 'Additional Cartons-WUO_TRK'!A133),_xlfn.TEXTAFTER('Additional Cartons-WUO_ERR'!A133, ":"))))</f>
        <v/>
      </c>
    </row>
    <row r="134">
      <c r="A134" s="39">
        <f>IF('Additional Cartons'!B134 = "", "", IF('Additional Cartons-WUO_ERR'!A134 = "", "Validated", HYPERLINK("#" &amp; ADDRESS(134, 'Additional Cartons-WUO_TRK'!A134),_xlfn.TEXTAFTER('Additional Cartons-WUO_ERR'!A134, ":"))))</f>
        <v/>
      </c>
    </row>
    <row r="135">
      <c r="A135" s="39">
        <f>IF('Additional Cartons'!B135 = "", "", IF('Additional Cartons-WUO_ERR'!A135 = "", "Validated", HYPERLINK("#" &amp; ADDRESS(135, 'Additional Cartons-WUO_TRK'!A135),_xlfn.TEXTAFTER('Additional Cartons-WUO_ERR'!A135, ":"))))</f>
        <v/>
      </c>
    </row>
    <row r="136">
      <c r="A136" s="39">
        <f>IF('Additional Cartons'!B136 = "", "", IF('Additional Cartons-WUO_ERR'!A136 = "", "Validated", HYPERLINK("#" &amp; ADDRESS(136, 'Additional Cartons-WUO_TRK'!A136),_xlfn.TEXTAFTER('Additional Cartons-WUO_ERR'!A136, ":"))))</f>
        <v/>
      </c>
    </row>
    <row r="137">
      <c r="A137" s="39">
        <f>IF('Additional Cartons'!B137 = "", "", IF('Additional Cartons-WUO_ERR'!A137 = "", "Validated", HYPERLINK("#" &amp; ADDRESS(137, 'Additional Cartons-WUO_TRK'!A137),_xlfn.TEXTAFTER('Additional Cartons-WUO_ERR'!A137, ":"))))</f>
        <v/>
      </c>
    </row>
    <row r="138">
      <c r="A138" s="39">
        <f>IF('Additional Cartons'!B138 = "", "", IF('Additional Cartons-WUO_ERR'!A138 = "", "Validated", HYPERLINK("#" &amp; ADDRESS(138, 'Additional Cartons-WUO_TRK'!A138),_xlfn.TEXTAFTER('Additional Cartons-WUO_ERR'!A138, ":"))))</f>
        <v/>
      </c>
    </row>
    <row r="139">
      <c r="A139" s="39">
        <f>IF('Additional Cartons'!B139 = "", "", IF('Additional Cartons-WUO_ERR'!A139 = "", "Validated", HYPERLINK("#" &amp; ADDRESS(139, 'Additional Cartons-WUO_TRK'!A139),_xlfn.TEXTAFTER('Additional Cartons-WUO_ERR'!A139, ":"))))</f>
        <v/>
      </c>
    </row>
    <row r="140">
      <c r="A140" s="39">
        <f>IF('Additional Cartons'!B140 = "", "", IF('Additional Cartons-WUO_ERR'!A140 = "", "Validated", HYPERLINK("#" &amp; ADDRESS(140, 'Additional Cartons-WUO_TRK'!A140),_xlfn.TEXTAFTER('Additional Cartons-WUO_ERR'!A140, ":"))))</f>
        <v/>
      </c>
    </row>
    <row r="141">
      <c r="A141" s="39">
        <f>IF('Additional Cartons'!B141 = "", "", IF('Additional Cartons-WUO_ERR'!A141 = "", "Validated", HYPERLINK("#" &amp; ADDRESS(141, 'Additional Cartons-WUO_TRK'!A141),_xlfn.TEXTAFTER('Additional Cartons-WUO_ERR'!A141, ":"))))</f>
        <v/>
      </c>
    </row>
    <row r="142">
      <c r="A142" s="39">
        <f>IF('Additional Cartons'!B142 = "", "", IF('Additional Cartons-WUO_ERR'!A142 = "", "Validated", HYPERLINK("#" &amp; ADDRESS(142, 'Additional Cartons-WUO_TRK'!A142),_xlfn.TEXTAFTER('Additional Cartons-WUO_ERR'!A142, ":"))))</f>
        <v/>
      </c>
    </row>
    <row r="143">
      <c r="A143" s="39">
        <f>IF('Additional Cartons'!B143 = "", "", IF('Additional Cartons-WUO_ERR'!A143 = "", "Validated", HYPERLINK("#" &amp; ADDRESS(143, 'Additional Cartons-WUO_TRK'!A143),_xlfn.TEXTAFTER('Additional Cartons-WUO_ERR'!A143, ":"))))</f>
        <v/>
      </c>
    </row>
    <row r="144">
      <c r="A144" s="39">
        <f>IF('Additional Cartons'!B144 = "", "", IF('Additional Cartons-WUO_ERR'!A144 = "", "Validated", HYPERLINK("#" &amp; ADDRESS(144, 'Additional Cartons-WUO_TRK'!A144),_xlfn.TEXTAFTER('Additional Cartons-WUO_ERR'!A144, ":"))))</f>
        <v/>
      </c>
    </row>
    <row r="145">
      <c r="A145" s="39">
        <f>IF('Additional Cartons'!B145 = "", "", IF('Additional Cartons-WUO_ERR'!A145 = "", "Validated", HYPERLINK("#" &amp; ADDRESS(145, 'Additional Cartons-WUO_TRK'!A145),_xlfn.TEXTAFTER('Additional Cartons-WUO_ERR'!A145, ":"))))</f>
        <v/>
      </c>
    </row>
    <row r="146">
      <c r="A146" s="39">
        <f>IF('Additional Cartons'!B146 = "", "", IF('Additional Cartons-WUO_ERR'!A146 = "", "Validated", HYPERLINK("#" &amp; ADDRESS(146, 'Additional Cartons-WUO_TRK'!A146),_xlfn.TEXTAFTER('Additional Cartons-WUO_ERR'!A146, ":"))))</f>
        <v/>
      </c>
    </row>
    <row r="147">
      <c r="A147" s="39">
        <f>IF('Additional Cartons'!B147 = "", "", IF('Additional Cartons-WUO_ERR'!A147 = "", "Validated", HYPERLINK("#" &amp; ADDRESS(147, 'Additional Cartons-WUO_TRK'!A147),_xlfn.TEXTAFTER('Additional Cartons-WUO_ERR'!A147, ":"))))</f>
        <v/>
      </c>
    </row>
    <row r="148">
      <c r="A148" s="39">
        <f>IF('Additional Cartons'!B148 = "", "", IF('Additional Cartons-WUO_ERR'!A148 = "", "Validated", HYPERLINK("#" &amp; ADDRESS(148, 'Additional Cartons-WUO_TRK'!A148),_xlfn.TEXTAFTER('Additional Cartons-WUO_ERR'!A148, ":"))))</f>
        <v/>
      </c>
    </row>
    <row r="149">
      <c r="A149" s="39">
        <f>IF('Additional Cartons'!B149 = "", "", IF('Additional Cartons-WUO_ERR'!A149 = "", "Validated", HYPERLINK("#" &amp; ADDRESS(149, 'Additional Cartons-WUO_TRK'!A149),_xlfn.TEXTAFTER('Additional Cartons-WUO_ERR'!A149, ":"))))</f>
        <v/>
      </c>
    </row>
    <row r="150">
      <c r="A150" s="39">
        <f>IF('Additional Cartons'!B150 = "", "", IF('Additional Cartons-WUO_ERR'!A150 = "", "Validated", HYPERLINK("#" &amp; ADDRESS(150, 'Additional Cartons-WUO_TRK'!A150),_xlfn.TEXTAFTER('Additional Cartons-WUO_ERR'!A150, ":"))))</f>
        <v/>
      </c>
    </row>
    <row r="151">
      <c r="A151" s="39">
        <f>IF('Additional Cartons'!B151 = "", "", IF('Additional Cartons-WUO_ERR'!A151 = "", "Validated", HYPERLINK("#" &amp; ADDRESS(151, 'Additional Cartons-WUO_TRK'!A151),_xlfn.TEXTAFTER('Additional Cartons-WUO_ERR'!A151, ":"))))</f>
        <v/>
      </c>
    </row>
    <row r="152">
      <c r="A152" s="39">
        <f>IF('Additional Cartons'!B152 = "", "", IF('Additional Cartons-WUO_ERR'!A152 = "", "Validated", HYPERLINK("#" &amp; ADDRESS(152, 'Additional Cartons-WUO_TRK'!A152),_xlfn.TEXTAFTER('Additional Cartons-WUO_ERR'!A152, ":"))))</f>
        <v/>
      </c>
    </row>
    <row r="153">
      <c r="A153" s="39">
        <f>IF('Additional Cartons'!B153 = "", "", IF('Additional Cartons-WUO_ERR'!A153 = "", "Validated", HYPERLINK("#" &amp; ADDRESS(153, 'Additional Cartons-WUO_TRK'!A153),_xlfn.TEXTAFTER('Additional Cartons-WUO_ERR'!A153, ":"))))</f>
        <v/>
      </c>
    </row>
    <row r="154">
      <c r="A154" s="39">
        <f>IF('Additional Cartons'!B154 = "", "", IF('Additional Cartons-WUO_ERR'!A154 = "", "Validated", HYPERLINK("#" &amp; ADDRESS(154, 'Additional Cartons-WUO_TRK'!A154),_xlfn.TEXTAFTER('Additional Cartons-WUO_ERR'!A154, ":"))))</f>
        <v/>
      </c>
    </row>
    <row r="155">
      <c r="A155" s="39">
        <f>IF('Additional Cartons'!B155 = "", "", IF('Additional Cartons-WUO_ERR'!A155 = "", "Validated", HYPERLINK("#" &amp; ADDRESS(155, 'Additional Cartons-WUO_TRK'!A155),_xlfn.TEXTAFTER('Additional Cartons-WUO_ERR'!A155, ":"))))</f>
        <v/>
      </c>
    </row>
    <row r="156">
      <c r="A156" s="39">
        <f>IF('Additional Cartons'!B156 = "", "", IF('Additional Cartons-WUO_ERR'!A156 = "", "Validated", HYPERLINK("#" &amp; ADDRESS(156, 'Additional Cartons-WUO_TRK'!A156),_xlfn.TEXTAFTER('Additional Cartons-WUO_ERR'!A156, ":"))))</f>
        <v/>
      </c>
    </row>
    <row r="157">
      <c r="A157" s="39">
        <f>IF('Additional Cartons'!B157 = "", "", IF('Additional Cartons-WUO_ERR'!A157 = "", "Validated", HYPERLINK("#" &amp; ADDRESS(157, 'Additional Cartons-WUO_TRK'!A157),_xlfn.TEXTAFTER('Additional Cartons-WUO_ERR'!A157, ":"))))</f>
        <v/>
      </c>
    </row>
    <row r="158">
      <c r="A158" s="39">
        <f>IF('Additional Cartons'!B158 = "", "", IF('Additional Cartons-WUO_ERR'!A158 = "", "Validated", HYPERLINK("#" &amp; ADDRESS(158, 'Additional Cartons-WUO_TRK'!A158),_xlfn.TEXTAFTER('Additional Cartons-WUO_ERR'!A158, ":"))))</f>
        <v/>
      </c>
    </row>
    <row r="159">
      <c r="A159" s="39">
        <f>IF('Additional Cartons'!B159 = "", "", IF('Additional Cartons-WUO_ERR'!A159 = "", "Validated", HYPERLINK("#" &amp; ADDRESS(159, 'Additional Cartons-WUO_TRK'!A159),_xlfn.TEXTAFTER('Additional Cartons-WUO_ERR'!A159, ":"))))</f>
        <v/>
      </c>
    </row>
    <row r="160">
      <c r="A160" s="39">
        <f>IF('Additional Cartons'!B160 = "", "", IF('Additional Cartons-WUO_ERR'!A160 = "", "Validated", HYPERLINK("#" &amp; ADDRESS(160, 'Additional Cartons-WUO_TRK'!A160),_xlfn.TEXTAFTER('Additional Cartons-WUO_ERR'!A160, ":"))))</f>
        <v/>
      </c>
    </row>
    <row r="161">
      <c r="A161" s="39">
        <f>IF('Additional Cartons'!B161 = "", "", IF('Additional Cartons-WUO_ERR'!A161 = "", "Validated", HYPERLINK("#" &amp; ADDRESS(161, 'Additional Cartons-WUO_TRK'!A161),_xlfn.TEXTAFTER('Additional Cartons-WUO_ERR'!A161, ":"))))</f>
        <v/>
      </c>
    </row>
    <row r="162">
      <c r="A162" s="39">
        <f>IF('Additional Cartons'!B162 = "", "", IF('Additional Cartons-WUO_ERR'!A162 = "", "Validated", HYPERLINK("#" &amp; ADDRESS(162, 'Additional Cartons-WUO_TRK'!A162),_xlfn.TEXTAFTER('Additional Cartons-WUO_ERR'!A162, ":"))))</f>
        <v/>
      </c>
    </row>
    <row r="163">
      <c r="A163" s="39">
        <f>IF('Additional Cartons'!B163 = "", "", IF('Additional Cartons-WUO_ERR'!A163 = "", "Validated", HYPERLINK("#" &amp; ADDRESS(163, 'Additional Cartons-WUO_TRK'!A163),_xlfn.TEXTAFTER('Additional Cartons-WUO_ERR'!A163, ":"))))</f>
        <v/>
      </c>
    </row>
    <row r="164">
      <c r="A164" s="39">
        <f>IF('Additional Cartons'!B164 = "", "", IF('Additional Cartons-WUO_ERR'!A164 = "", "Validated", HYPERLINK("#" &amp; ADDRESS(164, 'Additional Cartons-WUO_TRK'!A164),_xlfn.TEXTAFTER('Additional Cartons-WUO_ERR'!A164, ":"))))</f>
        <v/>
      </c>
    </row>
    <row r="165">
      <c r="A165" s="39">
        <f>IF('Additional Cartons'!B165 = "", "", IF('Additional Cartons-WUO_ERR'!A165 = "", "Validated", HYPERLINK("#" &amp; ADDRESS(165, 'Additional Cartons-WUO_TRK'!A165),_xlfn.TEXTAFTER('Additional Cartons-WUO_ERR'!A165, ":"))))</f>
        <v/>
      </c>
    </row>
    <row r="166">
      <c r="A166" s="39">
        <f>IF('Additional Cartons'!B166 = "", "", IF('Additional Cartons-WUO_ERR'!A166 = "", "Validated", HYPERLINK("#" &amp; ADDRESS(166, 'Additional Cartons-WUO_TRK'!A166),_xlfn.TEXTAFTER('Additional Cartons-WUO_ERR'!A166, ":"))))</f>
        <v/>
      </c>
    </row>
    <row r="167">
      <c r="A167" s="39">
        <f>IF('Additional Cartons'!B167 = "", "", IF('Additional Cartons-WUO_ERR'!A167 = "", "Validated", HYPERLINK("#" &amp; ADDRESS(167, 'Additional Cartons-WUO_TRK'!A167),_xlfn.TEXTAFTER('Additional Cartons-WUO_ERR'!A167, ":"))))</f>
        <v/>
      </c>
    </row>
    <row r="168">
      <c r="A168" s="39">
        <f>IF('Additional Cartons'!B168 = "", "", IF('Additional Cartons-WUO_ERR'!A168 = "", "Validated", HYPERLINK("#" &amp; ADDRESS(168, 'Additional Cartons-WUO_TRK'!A168),_xlfn.TEXTAFTER('Additional Cartons-WUO_ERR'!A168, ":"))))</f>
        <v/>
      </c>
    </row>
    <row r="169">
      <c r="A169" s="39">
        <f>IF('Additional Cartons'!B169 = "", "", IF('Additional Cartons-WUO_ERR'!A169 = "", "Validated", HYPERLINK("#" &amp; ADDRESS(169, 'Additional Cartons-WUO_TRK'!A169),_xlfn.TEXTAFTER('Additional Cartons-WUO_ERR'!A169, ":"))))</f>
        <v/>
      </c>
    </row>
    <row r="170">
      <c r="A170" s="39">
        <f>IF('Additional Cartons'!B170 = "", "", IF('Additional Cartons-WUO_ERR'!A170 = "", "Validated", HYPERLINK("#" &amp; ADDRESS(170, 'Additional Cartons-WUO_TRK'!A170),_xlfn.TEXTAFTER('Additional Cartons-WUO_ERR'!A170, ":"))))</f>
        <v/>
      </c>
    </row>
    <row r="171">
      <c r="A171" s="39">
        <f>IF('Additional Cartons'!B171 = "", "", IF('Additional Cartons-WUO_ERR'!A171 = "", "Validated", HYPERLINK("#" &amp; ADDRESS(171, 'Additional Cartons-WUO_TRK'!A171),_xlfn.TEXTAFTER('Additional Cartons-WUO_ERR'!A171, ":"))))</f>
        <v/>
      </c>
    </row>
    <row r="172">
      <c r="A172" s="39">
        <f>IF('Additional Cartons'!B172 = "", "", IF('Additional Cartons-WUO_ERR'!A172 = "", "Validated", HYPERLINK("#" &amp; ADDRESS(172, 'Additional Cartons-WUO_TRK'!A172),_xlfn.TEXTAFTER('Additional Cartons-WUO_ERR'!A172, ":"))))</f>
        <v/>
      </c>
    </row>
    <row r="173">
      <c r="A173" s="39">
        <f>IF('Additional Cartons'!B173 = "", "", IF('Additional Cartons-WUO_ERR'!A173 = "", "Validated", HYPERLINK("#" &amp; ADDRESS(173, 'Additional Cartons-WUO_TRK'!A173),_xlfn.TEXTAFTER('Additional Cartons-WUO_ERR'!A173, ":"))))</f>
        <v/>
      </c>
    </row>
    <row r="174">
      <c r="A174" s="39">
        <f>IF('Additional Cartons'!B174 = "", "", IF('Additional Cartons-WUO_ERR'!A174 = "", "Validated", HYPERLINK("#" &amp; ADDRESS(174, 'Additional Cartons-WUO_TRK'!A174),_xlfn.TEXTAFTER('Additional Cartons-WUO_ERR'!A174, ":"))))</f>
        <v/>
      </c>
    </row>
    <row r="175">
      <c r="A175" s="39">
        <f>IF('Additional Cartons'!B175 = "", "", IF('Additional Cartons-WUO_ERR'!A175 = "", "Validated", HYPERLINK("#" &amp; ADDRESS(175, 'Additional Cartons-WUO_TRK'!A175),_xlfn.TEXTAFTER('Additional Cartons-WUO_ERR'!A175, ":"))))</f>
        <v/>
      </c>
    </row>
    <row r="176">
      <c r="A176" s="39">
        <f>IF('Additional Cartons'!B176 = "", "", IF('Additional Cartons-WUO_ERR'!A176 = "", "Validated", HYPERLINK("#" &amp; ADDRESS(176, 'Additional Cartons-WUO_TRK'!A176),_xlfn.TEXTAFTER('Additional Cartons-WUO_ERR'!A176, ":"))))</f>
        <v/>
      </c>
    </row>
    <row r="177">
      <c r="A177" s="39">
        <f>IF('Additional Cartons'!B177 = "", "", IF('Additional Cartons-WUO_ERR'!A177 = "", "Validated", HYPERLINK("#" &amp; ADDRESS(177, 'Additional Cartons-WUO_TRK'!A177),_xlfn.TEXTAFTER('Additional Cartons-WUO_ERR'!A177, ":"))))</f>
        <v/>
      </c>
    </row>
    <row r="178">
      <c r="A178" s="39">
        <f>IF('Additional Cartons'!B178 = "", "", IF('Additional Cartons-WUO_ERR'!A178 = "", "Validated", HYPERLINK("#" &amp; ADDRESS(178, 'Additional Cartons-WUO_TRK'!A178),_xlfn.TEXTAFTER('Additional Cartons-WUO_ERR'!A178, ":"))))</f>
        <v/>
      </c>
    </row>
    <row r="179">
      <c r="A179" s="39">
        <f>IF('Additional Cartons'!B179 = "", "", IF('Additional Cartons-WUO_ERR'!A179 = "", "Validated", HYPERLINK("#" &amp; ADDRESS(179, 'Additional Cartons-WUO_TRK'!A179),_xlfn.TEXTAFTER('Additional Cartons-WUO_ERR'!A179, ":"))))</f>
        <v/>
      </c>
    </row>
    <row r="180">
      <c r="A180" s="39">
        <f>IF('Additional Cartons'!B180 = "", "", IF('Additional Cartons-WUO_ERR'!A180 = "", "Validated", HYPERLINK("#" &amp; ADDRESS(180, 'Additional Cartons-WUO_TRK'!A180),_xlfn.TEXTAFTER('Additional Cartons-WUO_ERR'!A180, ":"))))</f>
        <v/>
      </c>
    </row>
    <row r="181">
      <c r="A181" s="39">
        <f>IF('Additional Cartons'!B181 = "", "", IF('Additional Cartons-WUO_ERR'!A181 = "", "Validated", HYPERLINK("#" &amp; ADDRESS(181, 'Additional Cartons-WUO_TRK'!A181),_xlfn.TEXTAFTER('Additional Cartons-WUO_ERR'!A181, ":"))))</f>
        <v/>
      </c>
    </row>
    <row r="182">
      <c r="A182" s="39">
        <f>IF('Additional Cartons'!B182 = "", "", IF('Additional Cartons-WUO_ERR'!A182 = "", "Validated", HYPERLINK("#" &amp; ADDRESS(182, 'Additional Cartons-WUO_TRK'!A182),_xlfn.TEXTAFTER('Additional Cartons-WUO_ERR'!A182, ":"))))</f>
        <v/>
      </c>
    </row>
    <row r="183">
      <c r="A183" s="39">
        <f>IF('Additional Cartons'!B183 = "", "", IF('Additional Cartons-WUO_ERR'!A183 = "", "Validated", HYPERLINK("#" &amp; ADDRESS(183, 'Additional Cartons-WUO_TRK'!A183),_xlfn.TEXTAFTER('Additional Cartons-WUO_ERR'!A183, ":"))))</f>
        <v/>
      </c>
    </row>
    <row r="184">
      <c r="A184" s="39">
        <f>IF('Additional Cartons'!B184 = "", "", IF('Additional Cartons-WUO_ERR'!A184 = "", "Validated", HYPERLINK("#" &amp; ADDRESS(184, 'Additional Cartons-WUO_TRK'!A184),_xlfn.TEXTAFTER('Additional Cartons-WUO_ERR'!A184, ":"))))</f>
        <v/>
      </c>
    </row>
    <row r="185">
      <c r="A185" s="39">
        <f>IF('Additional Cartons'!B185 = "", "", IF('Additional Cartons-WUO_ERR'!A185 = "", "Validated", HYPERLINK("#" &amp; ADDRESS(185, 'Additional Cartons-WUO_TRK'!A185),_xlfn.TEXTAFTER('Additional Cartons-WUO_ERR'!A185, ":"))))</f>
        <v/>
      </c>
    </row>
    <row r="186">
      <c r="A186" s="39">
        <f>IF('Additional Cartons'!B186 = "", "", IF('Additional Cartons-WUO_ERR'!A186 = "", "Validated", HYPERLINK("#" &amp; ADDRESS(186, 'Additional Cartons-WUO_TRK'!A186),_xlfn.TEXTAFTER('Additional Cartons-WUO_ERR'!A186, ":"))))</f>
        <v/>
      </c>
    </row>
    <row r="187">
      <c r="A187" s="39">
        <f>IF('Additional Cartons'!B187 = "", "", IF('Additional Cartons-WUO_ERR'!A187 = "", "Validated", HYPERLINK("#" &amp; ADDRESS(187, 'Additional Cartons-WUO_TRK'!A187),_xlfn.TEXTAFTER('Additional Cartons-WUO_ERR'!A187, ":"))))</f>
        <v/>
      </c>
    </row>
    <row r="188">
      <c r="A188" s="39">
        <f>IF('Additional Cartons'!B188 = "", "", IF('Additional Cartons-WUO_ERR'!A188 = "", "Validated", HYPERLINK("#" &amp; ADDRESS(188, 'Additional Cartons-WUO_TRK'!A188),_xlfn.TEXTAFTER('Additional Cartons-WUO_ERR'!A188, ":"))))</f>
        <v/>
      </c>
    </row>
    <row r="189">
      <c r="A189" s="39">
        <f>IF('Additional Cartons'!B189 = "", "", IF('Additional Cartons-WUO_ERR'!A189 = "", "Validated", HYPERLINK("#" &amp; ADDRESS(189, 'Additional Cartons-WUO_TRK'!A189),_xlfn.TEXTAFTER('Additional Cartons-WUO_ERR'!A189, ":"))))</f>
        <v/>
      </c>
    </row>
    <row r="190">
      <c r="A190" s="39">
        <f>IF('Additional Cartons'!B190 = "", "", IF('Additional Cartons-WUO_ERR'!A190 = "", "Validated", HYPERLINK("#" &amp; ADDRESS(190, 'Additional Cartons-WUO_TRK'!A190),_xlfn.TEXTAFTER('Additional Cartons-WUO_ERR'!A190, ":"))))</f>
        <v/>
      </c>
    </row>
    <row r="191">
      <c r="A191" s="39">
        <f>IF('Additional Cartons'!B191 = "", "", IF('Additional Cartons-WUO_ERR'!A191 = "", "Validated", HYPERLINK("#" &amp; ADDRESS(191, 'Additional Cartons-WUO_TRK'!A191),_xlfn.TEXTAFTER('Additional Cartons-WUO_ERR'!A191, ":"))))</f>
        <v/>
      </c>
    </row>
    <row r="192">
      <c r="A192" s="39">
        <f>IF('Additional Cartons'!B192 = "", "", IF('Additional Cartons-WUO_ERR'!A192 = "", "Validated", HYPERLINK("#" &amp; ADDRESS(192, 'Additional Cartons-WUO_TRK'!A192),_xlfn.TEXTAFTER('Additional Cartons-WUO_ERR'!A192, ":"))))</f>
        <v/>
      </c>
    </row>
    <row r="193">
      <c r="A193" s="39">
        <f>IF('Additional Cartons'!B193 = "", "", IF('Additional Cartons-WUO_ERR'!A193 = "", "Validated", HYPERLINK("#" &amp; ADDRESS(193, 'Additional Cartons-WUO_TRK'!A193),_xlfn.TEXTAFTER('Additional Cartons-WUO_ERR'!A193, ":"))))</f>
        <v/>
      </c>
    </row>
    <row r="194">
      <c r="A194" s="39">
        <f>IF('Additional Cartons'!B194 = "", "", IF('Additional Cartons-WUO_ERR'!A194 = "", "Validated", HYPERLINK("#" &amp; ADDRESS(194, 'Additional Cartons-WUO_TRK'!A194),_xlfn.TEXTAFTER('Additional Cartons-WUO_ERR'!A194, ":"))))</f>
        <v/>
      </c>
    </row>
    <row r="195">
      <c r="A195" s="39">
        <f>IF('Additional Cartons'!B195 = "", "", IF('Additional Cartons-WUO_ERR'!A195 = "", "Validated", HYPERLINK("#" &amp; ADDRESS(195, 'Additional Cartons-WUO_TRK'!A195),_xlfn.TEXTAFTER('Additional Cartons-WUO_ERR'!A195, ":"))))</f>
        <v/>
      </c>
    </row>
    <row r="196">
      <c r="A196" s="39">
        <f>IF('Additional Cartons'!B196 = "", "", IF('Additional Cartons-WUO_ERR'!A196 = "", "Validated", HYPERLINK("#" &amp; ADDRESS(196, 'Additional Cartons-WUO_TRK'!A196),_xlfn.TEXTAFTER('Additional Cartons-WUO_ERR'!A196, ":"))))</f>
        <v/>
      </c>
    </row>
    <row r="197">
      <c r="A197" s="39">
        <f>IF('Additional Cartons'!B197 = "", "", IF('Additional Cartons-WUO_ERR'!A197 = "", "Validated", HYPERLINK("#" &amp; ADDRESS(197, 'Additional Cartons-WUO_TRK'!A197),_xlfn.TEXTAFTER('Additional Cartons-WUO_ERR'!A197, ":"))))</f>
        <v/>
      </c>
    </row>
    <row r="198">
      <c r="A198" s="39">
        <f>IF('Additional Cartons'!B198 = "", "", IF('Additional Cartons-WUO_ERR'!A198 = "", "Validated", HYPERLINK("#" &amp; ADDRESS(198, 'Additional Cartons-WUO_TRK'!A198),_xlfn.TEXTAFTER('Additional Cartons-WUO_ERR'!A198, ":"))))</f>
        <v/>
      </c>
    </row>
    <row r="199">
      <c r="A199" s="39">
        <f>IF('Additional Cartons'!B199 = "", "", IF('Additional Cartons-WUO_ERR'!A199 = "", "Validated", HYPERLINK("#" &amp; ADDRESS(199, 'Additional Cartons-WUO_TRK'!A199),_xlfn.TEXTAFTER('Additional Cartons-WUO_ERR'!A199, ":"))))</f>
        <v/>
      </c>
    </row>
    <row r="200">
      <c r="A200" s="39">
        <f>IF('Additional Cartons'!B200 = "", "", IF('Additional Cartons-WUO_ERR'!A200 = "", "Validated", HYPERLINK("#" &amp; ADDRESS(200, 'Additional Cartons-WUO_TRK'!A200),_xlfn.TEXTAFTER('Additional Cartons-WUO_ERR'!A200, ":"))))</f>
        <v/>
      </c>
    </row>
    <row r="201">
      <c r="A201" s="39">
        <f>IF('Additional Cartons'!B201 = "", "", IF('Additional Cartons-WUO_ERR'!A201 = "", "Validated", HYPERLINK("#" &amp; ADDRESS(201, 'Additional Cartons-WUO_TRK'!A201),_xlfn.TEXTAFTER('Additional Cartons-WUO_ERR'!A201, ":"))))</f>
        <v/>
      </c>
    </row>
    <row r="202">
      <c r="A202" s="39">
        <f>IF('Additional Cartons'!B202 = "", "", IF('Additional Cartons-WUO_ERR'!A202 = "", "Validated", HYPERLINK("#" &amp; ADDRESS(202, 'Additional Cartons-WUO_TRK'!A202),_xlfn.TEXTAFTER('Additional Cartons-WUO_ERR'!A202, ":"))))</f>
        <v/>
      </c>
    </row>
    <row r="203">
      <c r="A203" s="39">
        <f>IF('Additional Cartons'!B203 = "", "", IF('Additional Cartons-WUO_ERR'!A203 = "", "Validated", HYPERLINK("#" &amp; ADDRESS(203, 'Additional Cartons-WUO_TRK'!A203),_xlfn.TEXTAFTER('Additional Cartons-WUO_ERR'!A203, ":"))))</f>
        <v/>
      </c>
    </row>
    <row r="204">
      <c r="A204" s="39">
        <f>IF('Additional Cartons'!B204 = "", "", IF('Additional Cartons-WUO_ERR'!A204 = "", "Validated", HYPERLINK("#" &amp; ADDRESS(204, 'Additional Cartons-WUO_TRK'!A204),_xlfn.TEXTAFTER('Additional Cartons-WUO_ERR'!A204, ":"))))</f>
        <v/>
      </c>
    </row>
    <row r="205">
      <c r="A205" s="39">
        <f>IF('Additional Cartons'!B205 = "", "", IF('Additional Cartons-WUO_ERR'!A205 = "", "Validated", HYPERLINK("#" &amp; ADDRESS(205, 'Additional Cartons-WUO_TRK'!A205),_xlfn.TEXTAFTER('Additional Cartons-WUO_ERR'!A205, ":"))))</f>
        <v/>
      </c>
    </row>
    <row r="206">
      <c r="A206" s="39">
        <f>IF('Additional Cartons'!B206 = "", "", IF('Additional Cartons-WUO_ERR'!A206 = "", "Validated", HYPERLINK("#" &amp; ADDRESS(206, 'Additional Cartons-WUO_TRK'!A206),_xlfn.TEXTAFTER('Additional Cartons-WUO_ERR'!A206, ":"))))</f>
        <v/>
      </c>
    </row>
    <row r="207">
      <c r="A207" s="39">
        <f>IF('Additional Cartons'!B207 = "", "", IF('Additional Cartons-WUO_ERR'!A207 = "", "Validated", HYPERLINK("#" &amp; ADDRESS(207, 'Additional Cartons-WUO_TRK'!A207),_xlfn.TEXTAFTER('Additional Cartons-WUO_ERR'!A207, ":"))))</f>
        <v/>
      </c>
    </row>
    <row r="208">
      <c r="A208" s="39">
        <f>IF('Additional Cartons'!B208 = "", "", IF('Additional Cartons-WUO_ERR'!A208 = "", "Validated", HYPERLINK("#" &amp; ADDRESS(208, 'Additional Cartons-WUO_TRK'!A208),_xlfn.TEXTAFTER('Additional Cartons-WUO_ERR'!A208, ":"))))</f>
        <v/>
      </c>
    </row>
    <row r="209">
      <c r="A209" s="39">
        <f>IF('Additional Cartons'!B209 = "", "", IF('Additional Cartons-WUO_ERR'!A209 = "", "Validated", HYPERLINK("#" &amp; ADDRESS(209, 'Additional Cartons-WUO_TRK'!A209),_xlfn.TEXTAFTER('Additional Cartons-WUO_ERR'!A209, ":"))))</f>
        <v/>
      </c>
    </row>
    <row r="210">
      <c r="A210" s="39">
        <f>IF('Additional Cartons'!B210 = "", "", IF('Additional Cartons-WUO_ERR'!A210 = "", "Validated", HYPERLINK("#" &amp; ADDRESS(210, 'Additional Cartons-WUO_TRK'!A210),_xlfn.TEXTAFTER('Additional Cartons-WUO_ERR'!A210, ":"))))</f>
        <v/>
      </c>
    </row>
    <row r="211">
      <c r="A211" s="39">
        <f>IF('Additional Cartons'!B211 = "", "", IF('Additional Cartons-WUO_ERR'!A211 = "", "Validated", HYPERLINK("#" &amp; ADDRESS(211, 'Additional Cartons-WUO_TRK'!A211),_xlfn.TEXTAFTER('Additional Cartons-WUO_ERR'!A211, ":"))))</f>
        <v/>
      </c>
    </row>
    <row r="212">
      <c r="A212" s="39">
        <f>IF('Additional Cartons'!B212 = "", "", IF('Additional Cartons-WUO_ERR'!A212 = "", "Validated", HYPERLINK("#" &amp; ADDRESS(212, 'Additional Cartons-WUO_TRK'!A212),_xlfn.TEXTAFTER('Additional Cartons-WUO_ERR'!A212, ":"))))</f>
        <v/>
      </c>
    </row>
    <row r="213">
      <c r="A213" s="39">
        <f>IF('Additional Cartons'!B213 = "", "", IF('Additional Cartons-WUO_ERR'!A213 = "", "Validated", HYPERLINK("#" &amp; ADDRESS(213, 'Additional Cartons-WUO_TRK'!A213),_xlfn.TEXTAFTER('Additional Cartons-WUO_ERR'!A213, ":"))))</f>
        <v/>
      </c>
    </row>
    <row r="214">
      <c r="A214" s="39">
        <f>IF('Additional Cartons'!B214 = "", "", IF('Additional Cartons-WUO_ERR'!A214 = "", "Validated", HYPERLINK("#" &amp; ADDRESS(214, 'Additional Cartons-WUO_TRK'!A214),_xlfn.TEXTAFTER('Additional Cartons-WUO_ERR'!A214, ":"))))</f>
        <v/>
      </c>
    </row>
    <row r="215">
      <c r="A215" s="39">
        <f>IF('Additional Cartons'!B215 = "", "", IF('Additional Cartons-WUO_ERR'!A215 = "", "Validated", HYPERLINK("#" &amp; ADDRESS(215, 'Additional Cartons-WUO_TRK'!A215),_xlfn.TEXTAFTER('Additional Cartons-WUO_ERR'!A215, ":"))))</f>
        <v/>
      </c>
    </row>
    <row r="216">
      <c r="A216" s="39">
        <f>IF('Additional Cartons'!B216 = "", "", IF('Additional Cartons-WUO_ERR'!A216 = "", "Validated", HYPERLINK("#" &amp; ADDRESS(216, 'Additional Cartons-WUO_TRK'!A216),_xlfn.TEXTAFTER('Additional Cartons-WUO_ERR'!A216, ":"))))</f>
        <v/>
      </c>
    </row>
    <row r="217">
      <c r="A217" s="39">
        <f>IF('Additional Cartons'!B217 = "", "", IF('Additional Cartons-WUO_ERR'!A217 = "", "Validated", HYPERLINK("#" &amp; ADDRESS(217, 'Additional Cartons-WUO_TRK'!A217),_xlfn.TEXTAFTER('Additional Cartons-WUO_ERR'!A217, ":"))))</f>
        <v/>
      </c>
    </row>
    <row r="218">
      <c r="A218" s="39">
        <f>IF('Additional Cartons'!B218 = "", "", IF('Additional Cartons-WUO_ERR'!A218 = "", "Validated", HYPERLINK("#" &amp; ADDRESS(218, 'Additional Cartons-WUO_TRK'!A218),_xlfn.TEXTAFTER('Additional Cartons-WUO_ERR'!A218, ":"))))</f>
        <v/>
      </c>
    </row>
    <row r="219">
      <c r="A219" s="39">
        <f>IF('Additional Cartons'!B219 = "", "", IF('Additional Cartons-WUO_ERR'!A219 = "", "Validated", HYPERLINK("#" &amp; ADDRESS(219, 'Additional Cartons-WUO_TRK'!A219),_xlfn.TEXTAFTER('Additional Cartons-WUO_ERR'!A219, ":"))))</f>
        <v/>
      </c>
    </row>
    <row r="220">
      <c r="A220" s="39">
        <f>IF('Additional Cartons'!B220 = "", "", IF('Additional Cartons-WUO_ERR'!A220 = "", "Validated", HYPERLINK("#" &amp; ADDRESS(220, 'Additional Cartons-WUO_TRK'!A220),_xlfn.TEXTAFTER('Additional Cartons-WUO_ERR'!A220, ":"))))</f>
        <v/>
      </c>
    </row>
    <row r="221">
      <c r="A221" s="39">
        <f>IF('Additional Cartons'!B221 = "", "", IF('Additional Cartons-WUO_ERR'!A221 = "", "Validated", HYPERLINK("#" &amp; ADDRESS(221, 'Additional Cartons-WUO_TRK'!A221),_xlfn.TEXTAFTER('Additional Cartons-WUO_ERR'!A221, ":"))))</f>
        <v/>
      </c>
    </row>
    <row r="222">
      <c r="A222" s="39">
        <f>IF('Additional Cartons'!B222 = "", "", IF('Additional Cartons-WUO_ERR'!A222 = "", "Validated", HYPERLINK("#" &amp; ADDRESS(222, 'Additional Cartons-WUO_TRK'!A222),_xlfn.TEXTAFTER('Additional Cartons-WUO_ERR'!A222, ":"))))</f>
        <v/>
      </c>
    </row>
    <row r="223">
      <c r="A223" s="39">
        <f>IF('Additional Cartons'!B223 = "", "", IF('Additional Cartons-WUO_ERR'!A223 = "", "Validated", HYPERLINK("#" &amp; ADDRESS(223, 'Additional Cartons-WUO_TRK'!A223),_xlfn.TEXTAFTER('Additional Cartons-WUO_ERR'!A223, ":"))))</f>
        <v/>
      </c>
    </row>
    <row r="224">
      <c r="A224" s="39">
        <f>IF('Additional Cartons'!B224 = "", "", IF('Additional Cartons-WUO_ERR'!A224 = "", "Validated", HYPERLINK("#" &amp; ADDRESS(224, 'Additional Cartons-WUO_TRK'!A224),_xlfn.TEXTAFTER('Additional Cartons-WUO_ERR'!A224, ":"))))</f>
        <v/>
      </c>
    </row>
    <row r="225">
      <c r="A225" s="39">
        <f>IF('Additional Cartons'!B225 = "", "", IF('Additional Cartons-WUO_ERR'!A225 = "", "Validated", HYPERLINK("#" &amp; ADDRESS(225, 'Additional Cartons-WUO_TRK'!A225),_xlfn.TEXTAFTER('Additional Cartons-WUO_ERR'!A225, ":"))))</f>
        <v/>
      </c>
    </row>
    <row r="226">
      <c r="A226" s="39">
        <f>IF('Additional Cartons'!B226 = "", "", IF('Additional Cartons-WUO_ERR'!A226 = "", "Validated", HYPERLINK("#" &amp; ADDRESS(226, 'Additional Cartons-WUO_TRK'!A226),_xlfn.TEXTAFTER('Additional Cartons-WUO_ERR'!A226, ":"))))</f>
        <v/>
      </c>
    </row>
    <row r="227">
      <c r="A227" s="39">
        <f>IF('Additional Cartons'!B227 = "", "", IF('Additional Cartons-WUO_ERR'!A227 = "", "Validated", HYPERLINK("#" &amp; ADDRESS(227, 'Additional Cartons-WUO_TRK'!A227),_xlfn.TEXTAFTER('Additional Cartons-WUO_ERR'!A227, ":"))))</f>
        <v/>
      </c>
    </row>
    <row r="228">
      <c r="A228" s="39">
        <f>IF('Additional Cartons'!B228 = "", "", IF('Additional Cartons-WUO_ERR'!A228 = "", "Validated", HYPERLINK("#" &amp; ADDRESS(228, 'Additional Cartons-WUO_TRK'!A228),_xlfn.TEXTAFTER('Additional Cartons-WUO_ERR'!A228, ":"))))</f>
        <v/>
      </c>
    </row>
    <row r="229">
      <c r="A229" s="39">
        <f>IF('Additional Cartons'!B229 = "", "", IF('Additional Cartons-WUO_ERR'!A229 = "", "Validated", HYPERLINK("#" &amp; ADDRESS(229, 'Additional Cartons-WUO_TRK'!A229),_xlfn.TEXTAFTER('Additional Cartons-WUO_ERR'!A229, ":"))))</f>
        <v/>
      </c>
    </row>
    <row r="230">
      <c r="A230" s="39">
        <f>IF('Additional Cartons'!B230 = "", "", IF('Additional Cartons-WUO_ERR'!A230 = "", "Validated", HYPERLINK("#" &amp; ADDRESS(230, 'Additional Cartons-WUO_TRK'!A230),_xlfn.TEXTAFTER('Additional Cartons-WUO_ERR'!A230, ":"))))</f>
        <v/>
      </c>
    </row>
    <row r="231">
      <c r="A231" s="39">
        <f>IF('Additional Cartons'!B231 = "", "", IF('Additional Cartons-WUO_ERR'!A231 = "", "Validated", HYPERLINK("#" &amp; ADDRESS(231, 'Additional Cartons-WUO_TRK'!A231),_xlfn.TEXTAFTER('Additional Cartons-WUO_ERR'!A231, ":"))))</f>
        <v/>
      </c>
    </row>
    <row r="232">
      <c r="A232" s="39">
        <f>IF('Additional Cartons'!B232 = "", "", IF('Additional Cartons-WUO_ERR'!A232 = "", "Validated", HYPERLINK("#" &amp; ADDRESS(232, 'Additional Cartons-WUO_TRK'!A232),_xlfn.TEXTAFTER('Additional Cartons-WUO_ERR'!A232, ":"))))</f>
        <v/>
      </c>
    </row>
    <row r="233">
      <c r="A233" s="39">
        <f>IF('Additional Cartons'!B233 = "", "", IF('Additional Cartons-WUO_ERR'!A233 = "", "Validated", HYPERLINK("#" &amp; ADDRESS(233, 'Additional Cartons-WUO_TRK'!A233),_xlfn.TEXTAFTER('Additional Cartons-WUO_ERR'!A233, ":"))))</f>
        <v/>
      </c>
    </row>
    <row r="234">
      <c r="A234" s="39">
        <f>IF('Additional Cartons'!B234 = "", "", IF('Additional Cartons-WUO_ERR'!A234 = "", "Validated", HYPERLINK("#" &amp; ADDRESS(234, 'Additional Cartons-WUO_TRK'!A234),_xlfn.TEXTAFTER('Additional Cartons-WUO_ERR'!A234, ":"))))</f>
        <v/>
      </c>
    </row>
    <row r="235">
      <c r="A235" s="39">
        <f>IF('Additional Cartons'!B235 = "", "", IF('Additional Cartons-WUO_ERR'!A235 = "", "Validated", HYPERLINK("#" &amp; ADDRESS(235, 'Additional Cartons-WUO_TRK'!A235),_xlfn.TEXTAFTER('Additional Cartons-WUO_ERR'!A235, ":"))))</f>
        <v/>
      </c>
    </row>
    <row r="236">
      <c r="A236" s="39">
        <f>IF('Additional Cartons'!B236 = "", "", IF('Additional Cartons-WUO_ERR'!A236 = "", "Validated", HYPERLINK("#" &amp; ADDRESS(236, 'Additional Cartons-WUO_TRK'!A236),_xlfn.TEXTAFTER('Additional Cartons-WUO_ERR'!A236, ":"))))</f>
        <v/>
      </c>
    </row>
    <row r="237">
      <c r="A237" s="39">
        <f>IF('Additional Cartons'!B237 = "", "", IF('Additional Cartons-WUO_ERR'!A237 = "", "Validated", HYPERLINK("#" &amp; ADDRESS(237, 'Additional Cartons-WUO_TRK'!A237),_xlfn.TEXTAFTER('Additional Cartons-WUO_ERR'!A237, ":"))))</f>
        <v/>
      </c>
    </row>
    <row r="238">
      <c r="A238" s="39">
        <f>IF('Additional Cartons'!B238 = "", "", IF('Additional Cartons-WUO_ERR'!A238 = "", "Validated", HYPERLINK("#" &amp; ADDRESS(238, 'Additional Cartons-WUO_TRK'!A238),_xlfn.TEXTAFTER('Additional Cartons-WUO_ERR'!A238, ":"))))</f>
        <v/>
      </c>
    </row>
    <row r="239">
      <c r="A239" s="39">
        <f>IF('Additional Cartons'!B239 = "", "", IF('Additional Cartons-WUO_ERR'!A239 = "", "Validated", HYPERLINK("#" &amp; ADDRESS(239, 'Additional Cartons-WUO_TRK'!A239),_xlfn.TEXTAFTER('Additional Cartons-WUO_ERR'!A239, ":"))))</f>
        <v/>
      </c>
    </row>
    <row r="240">
      <c r="A240" s="39">
        <f>IF('Additional Cartons'!B240 = "", "", IF('Additional Cartons-WUO_ERR'!A240 = "", "Validated", HYPERLINK("#" &amp; ADDRESS(240, 'Additional Cartons-WUO_TRK'!A240),_xlfn.TEXTAFTER('Additional Cartons-WUO_ERR'!A240, ":"))))</f>
        <v/>
      </c>
    </row>
    <row r="241">
      <c r="A241" s="39">
        <f>IF('Additional Cartons'!B241 = "", "", IF('Additional Cartons-WUO_ERR'!A241 = "", "Validated", HYPERLINK("#" &amp; ADDRESS(241, 'Additional Cartons-WUO_TRK'!A241),_xlfn.TEXTAFTER('Additional Cartons-WUO_ERR'!A241, ":"))))</f>
        <v/>
      </c>
    </row>
    <row r="242">
      <c r="A242" s="39">
        <f>IF('Additional Cartons'!B242 = "", "", IF('Additional Cartons-WUO_ERR'!A242 = "", "Validated", HYPERLINK("#" &amp; ADDRESS(242, 'Additional Cartons-WUO_TRK'!A242),_xlfn.TEXTAFTER('Additional Cartons-WUO_ERR'!A242, ":"))))</f>
        <v/>
      </c>
    </row>
    <row r="243">
      <c r="A243" s="39">
        <f>IF('Additional Cartons'!B243 = "", "", IF('Additional Cartons-WUO_ERR'!A243 = "", "Validated", HYPERLINK("#" &amp; ADDRESS(243, 'Additional Cartons-WUO_TRK'!A243),_xlfn.TEXTAFTER('Additional Cartons-WUO_ERR'!A243, ":"))))</f>
        <v/>
      </c>
    </row>
    <row r="244">
      <c r="A244" s="39">
        <f>IF('Additional Cartons'!B244 = "", "", IF('Additional Cartons-WUO_ERR'!A244 = "", "Validated", HYPERLINK("#" &amp; ADDRESS(244, 'Additional Cartons-WUO_TRK'!A244),_xlfn.TEXTAFTER('Additional Cartons-WUO_ERR'!A244, ":"))))</f>
        <v/>
      </c>
    </row>
    <row r="245">
      <c r="A245" s="39">
        <f>IF('Additional Cartons'!B245 = "", "", IF('Additional Cartons-WUO_ERR'!A245 = "", "Validated", HYPERLINK("#" &amp; ADDRESS(245, 'Additional Cartons-WUO_TRK'!A245),_xlfn.TEXTAFTER('Additional Cartons-WUO_ERR'!A245, ":"))))</f>
        <v/>
      </c>
    </row>
    <row r="246">
      <c r="A246" s="39">
        <f>IF('Additional Cartons'!B246 = "", "", IF('Additional Cartons-WUO_ERR'!A246 = "", "Validated", HYPERLINK("#" &amp; ADDRESS(246, 'Additional Cartons-WUO_TRK'!A246),_xlfn.TEXTAFTER('Additional Cartons-WUO_ERR'!A246, ":"))))</f>
        <v/>
      </c>
    </row>
    <row r="247">
      <c r="A247" s="39">
        <f>IF('Additional Cartons'!B247 = "", "", IF('Additional Cartons-WUO_ERR'!A247 = "", "Validated", HYPERLINK("#" &amp; ADDRESS(247, 'Additional Cartons-WUO_TRK'!A247),_xlfn.TEXTAFTER('Additional Cartons-WUO_ERR'!A247, ":"))))</f>
        <v/>
      </c>
    </row>
    <row r="248">
      <c r="A248" s="39">
        <f>IF('Additional Cartons'!B248 = "", "", IF('Additional Cartons-WUO_ERR'!A248 = "", "Validated", HYPERLINK("#" &amp; ADDRESS(248, 'Additional Cartons-WUO_TRK'!A248),_xlfn.TEXTAFTER('Additional Cartons-WUO_ERR'!A248, ":"))))</f>
        <v/>
      </c>
    </row>
    <row r="249">
      <c r="A249" s="39">
        <f>IF('Additional Cartons'!B249 = "", "", IF('Additional Cartons-WUO_ERR'!A249 = "", "Validated", HYPERLINK("#" &amp; ADDRESS(249, 'Additional Cartons-WUO_TRK'!A249),_xlfn.TEXTAFTER('Additional Cartons-WUO_ERR'!A249, ":"))))</f>
        <v/>
      </c>
    </row>
    <row r="250">
      <c r="A250" s="39">
        <f>IF('Additional Cartons'!B250 = "", "", IF('Additional Cartons-WUO_ERR'!A250 = "", "Validated", HYPERLINK("#" &amp; ADDRESS(250, 'Additional Cartons-WUO_TRK'!A250),_xlfn.TEXTAFTER('Additional Cartons-WUO_ERR'!A250, ":"))))</f>
        <v/>
      </c>
    </row>
    <row r="251">
      <c r="A251" s="39">
        <f>IF('Additional Cartons'!B251 = "", "", IF('Additional Cartons-WUO_ERR'!A251 = "", "Validated", HYPERLINK("#" &amp; ADDRESS(251, 'Additional Cartons-WUO_TRK'!A251),_xlfn.TEXTAFTER('Additional Cartons-WUO_ERR'!A251, ":"))))</f>
        <v/>
      </c>
    </row>
    <row r="252">
      <c r="A252" s="39">
        <f>IF('Additional Cartons'!B252 = "", "", IF('Additional Cartons-WUO_ERR'!A252 = "", "Validated", HYPERLINK("#" &amp; ADDRESS(252, 'Additional Cartons-WUO_TRK'!A252),_xlfn.TEXTAFTER('Additional Cartons-WUO_ERR'!A252, ":"))))</f>
        <v/>
      </c>
    </row>
    <row r="253">
      <c r="A253" s="39">
        <f>IF('Additional Cartons'!B253 = "", "", IF('Additional Cartons-WUO_ERR'!A253 = "", "Validated", HYPERLINK("#" &amp; ADDRESS(253, 'Additional Cartons-WUO_TRK'!A253),_xlfn.TEXTAFTER('Additional Cartons-WUO_ERR'!A253, ":"))))</f>
        <v/>
      </c>
    </row>
    <row r="254">
      <c r="A254" s="39">
        <f>IF('Additional Cartons'!B254 = "", "", IF('Additional Cartons-WUO_ERR'!A254 = "", "Validated", HYPERLINK("#" &amp; ADDRESS(254, 'Additional Cartons-WUO_TRK'!A254),_xlfn.TEXTAFTER('Additional Cartons-WUO_ERR'!A254, ":"))))</f>
        <v/>
      </c>
    </row>
    <row r="255">
      <c r="A255" s="39">
        <f>IF('Additional Cartons'!B255 = "", "", IF('Additional Cartons-WUO_ERR'!A255 = "", "Validated", HYPERLINK("#" &amp; ADDRESS(255, 'Additional Cartons-WUO_TRK'!A255),_xlfn.TEXTAFTER('Additional Cartons-WUO_ERR'!A255, ":"))))</f>
        <v/>
      </c>
    </row>
    <row r="256">
      <c r="A256" s="39">
        <f>IF('Additional Cartons'!B256 = "", "", IF('Additional Cartons-WUO_ERR'!A256 = "", "Validated", HYPERLINK("#" &amp; ADDRESS(256, 'Additional Cartons-WUO_TRK'!A256),_xlfn.TEXTAFTER('Additional Cartons-WUO_ERR'!A256, ":"))))</f>
        <v/>
      </c>
    </row>
    <row r="257">
      <c r="A257" s="39">
        <f>IF('Additional Cartons'!B257 = "", "", IF('Additional Cartons-WUO_ERR'!A257 = "", "Validated", HYPERLINK("#" &amp; ADDRESS(257, 'Additional Cartons-WUO_TRK'!A257),_xlfn.TEXTAFTER('Additional Cartons-WUO_ERR'!A257, ":"))))</f>
        <v/>
      </c>
    </row>
    <row r="258">
      <c r="A258" s="39">
        <f>IF('Additional Cartons'!B258 = "", "", IF('Additional Cartons-WUO_ERR'!A258 = "", "Validated", HYPERLINK("#" &amp; ADDRESS(258, 'Additional Cartons-WUO_TRK'!A258),_xlfn.TEXTAFTER('Additional Cartons-WUO_ERR'!A258, ":"))))</f>
        <v/>
      </c>
    </row>
    <row r="259">
      <c r="A259" s="39">
        <f>IF('Additional Cartons'!B259 = "", "", IF('Additional Cartons-WUO_ERR'!A259 = "", "Validated", HYPERLINK("#" &amp; ADDRESS(259, 'Additional Cartons-WUO_TRK'!A259),_xlfn.TEXTAFTER('Additional Cartons-WUO_ERR'!A259, ":"))))</f>
        <v/>
      </c>
    </row>
    <row r="260">
      <c r="A260" s="39">
        <f>IF('Additional Cartons'!B260 = "", "", IF('Additional Cartons-WUO_ERR'!A260 = "", "Validated", HYPERLINK("#" &amp; ADDRESS(260, 'Additional Cartons-WUO_TRK'!A260),_xlfn.TEXTAFTER('Additional Cartons-WUO_ERR'!A260, ":"))))</f>
        <v/>
      </c>
    </row>
    <row r="261">
      <c r="A261" s="39">
        <f>IF('Additional Cartons'!B261 = "", "", IF('Additional Cartons-WUO_ERR'!A261 = "", "Validated", HYPERLINK("#" &amp; ADDRESS(261, 'Additional Cartons-WUO_TRK'!A261),_xlfn.TEXTAFTER('Additional Cartons-WUO_ERR'!A261, ":"))))</f>
        <v/>
      </c>
    </row>
    <row r="262">
      <c r="A262" s="39">
        <f>IF('Additional Cartons'!B262 = "", "", IF('Additional Cartons-WUO_ERR'!A262 = "", "Validated", HYPERLINK("#" &amp; ADDRESS(262, 'Additional Cartons-WUO_TRK'!A262),_xlfn.TEXTAFTER('Additional Cartons-WUO_ERR'!A262, ":"))))</f>
        <v/>
      </c>
    </row>
    <row r="263">
      <c r="A263" s="39">
        <f>IF('Additional Cartons'!B263 = "", "", IF('Additional Cartons-WUO_ERR'!A263 = "", "Validated", HYPERLINK("#" &amp; ADDRESS(263, 'Additional Cartons-WUO_TRK'!A263),_xlfn.TEXTAFTER('Additional Cartons-WUO_ERR'!A263, ":"))))</f>
        <v/>
      </c>
    </row>
    <row r="264">
      <c r="A264" s="39">
        <f>IF('Additional Cartons'!B264 = "", "", IF('Additional Cartons-WUO_ERR'!A264 = "", "Validated", HYPERLINK("#" &amp; ADDRESS(264, 'Additional Cartons-WUO_TRK'!A264),_xlfn.TEXTAFTER('Additional Cartons-WUO_ERR'!A264, ":"))))</f>
        <v/>
      </c>
    </row>
    <row r="265">
      <c r="A265" s="39">
        <f>IF('Additional Cartons'!B265 = "", "", IF('Additional Cartons-WUO_ERR'!A265 = "", "Validated", HYPERLINK("#" &amp; ADDRESS(265, 'Additional Cartons-WUO_TRK'!A265),_xlfn.TEXTAFTER('Additional Cartons-WUO_ERR'!A265, ":"))))</f>
        <v/>
      </c>
    </row>
    <row r="266">
      <c r="A266" s="39">
        <f>IF('Additional Cartons'!B266 = "", "", IF('Additional Cartons-WUO_ERR'!A266 = "", "Validated", HYPERLINK("#" &amp; ADDRESS(266, 'Additional Cartons-WUO_TRK'!A266),_xlfn.TEXTAFTER('Additional Cartons-WUO_ERR'!A266, ":"))))</f>
        <v/>
      </c>
    </row>
    <row r="267">
      <c r="A267" s="39">
        <f>IF('Additional Cartons'!B267 = "", "", IF('Additional Cartons-WUO_ERR'!A267 = "", "Validated", HYPERLINK("#" &amp; ADDRESS(267, 'Additional Cartons-WUO_TRK'!A267),_xlfn.TEXTAFTER('Additional Cartons-WUO_ERR'!A267, ":"))))</f>
        <v/>
      </c>
    </row>
    <row r="268">
      <c r="A268" s="39">
        <f>IF('Additional Cartons'!B268 = "", "", IF('Additional Cartons-WUO_ERR'!A268 = "", "Validated", HYPERLINK("#" &amp; ADDRESS(268, 'Additional Cartons-WUO_TRK'!A268),_xlfn.TEXTAFTER('Additional Cartons-WUO_ERR'!A268, ":"))))</f>
        <v/>
      </c>
    </row>
    <row r="269">
      <c r="A269" s="39">
        <f>IF('Additional Cartons'!B269 = "", "", IF('Additional Cartons-WUO_ERR'!A269 = "", "Validated", HYPERLINK("#" &amp; ADDRESS(269, 'Additional Cartons-WUO_TRK'!A269),_xlfn.TEXTAFTER('Additional Cartons-WUO_ERR'!A269, ":"))))</f>
        <v/>
      </c>
    </row>
    <row r="270">
      <c r="A270" s="39">
        <f>IF('Additional Cartons'!B270 = "", "", IF('Additional Cartons-WUO_ERR'!A270 = "", "Validated", HYPERLINK("#" &amp; ADDRESS(270, 'Additional Cartons-WUO_TRK'!A270),_xlfn.TEXTAFTER('Additional Cartons-WUO_ERR'!A270, ":"))))</f>
        <v/>
      </c>
    </row>
    <row r="271">
      <c r="A271" s="39">
        <f>IF('Additional Cartons'!B271 = "", "", IF('Additional Cartons-WUO_ERR'!A271 = "", "Validated", HYPERLINK("#" &amp; ADDRESS(271, 'Additional Cartons-WUO_TRK'!A271),_xlfn.TEXTAFTER('Additional Cartons-WUO_ERR'!A271, ":"))))</f>
        <v/>
      </c>
    </row>
    <row r="272">
      <c r="A272" s="39">
        <f>IF('Additional Cartons'!B272 = "", "", IF('Additional Cartons-WUO_ERR'!A272 = "", "Validated", HYPERLINK("#" &amp; ADDRESS(272, 'Additional Cartons-WUO_TRK'!A272),_xlfn.TEXTAFTER('Additional Cartons-WUO_ERR'!A272, ":"))))</f>
        <v/>
      </c>
    </row>
    <row r="273">
      <c r="A273" s="39">
        <f>IF('Additional Cartons'!B273 = "", "", IF('Additional Cartons-WUO_ERR'!A273 = "", "Validated", HYPERLINK("#" &amp; ADDRESS(273, 'Additional Cartons-WUO_TRK'!A273),_xlfn.TEXTAFTER('Additional Cartons-WUO_ERR'!A273, ":"))))</f>
        <v/>
      </c>
    </row>
    <row r="274">
      <c r="A274" s="39">
        <f>IF('Additional Cartons'!B274 = "", "", IF('Additional Cartons-WUO_ERR'!A274 = "", "Validated", HYPERLINK("#" &amp; ADDRESS(274, 'Additional Cartons-WUO_TRK'!A274),_xlfn.TEXTAFTER('Additional Cartons-WUO_ERR'!A274, ":"))))</f>
        <v/>
      </c>
    </row>
    <row r="275">
      <c r="A275" s="39">
        <f>IF('Additional Cartons'!B275 = "", "", IF('Additional Cartons-WUO_ERR'!A275 = "", "Validated", HYPERLINK("#" &amp; ADDRESS(275, 'Additional Cartons-WUO_TRK'!A275),_xlfn.TEXTAFTER('Additional Cartons-WUO_ERR'!A275, ":"))))</f>
        <v/>
      </c>
    </row>
    <row r="276">
      <c r="A276" s="39">
        <f>IF('Additional Cartons'!B276 = "", "", IF('Additional Cartons-WUO_ERR'!A276 = "", "Validated", HYPERLINK("#" &amp; ADDRESS(276, 'Additional Cartons-WUO_TRK'!A276),_xlfn.TEXTAFTER('Additional Cartons-WUO_ERR'!A276, ":"))))</f>
        <v/>
      </c>
    </row>
    <row r="277">
      <c r="A277" s="39">
        <f>IF('Additional Cartons'!B277 = "", "", IF('Additional Cartons-WUO_ERR'!A277 = "", "Validated", HYPERLINK("#" &amp; ADDRESS(277, 'Additional Cartons-WUO_TRK'!A277),_xlfn.TEXTAFTER('Additional Cartons-WUO_ERR'!A277, ":"))))</f>
        <v/>
      </c>
    </row>
    <row r="278">
      <c r="A278" s="39">
        <f>IF('Additional Cartons'!B278 = "", "", IF('Additional Cartons-WUO_ERR'!A278 = "", "Validated", HYPERLINK("#" &amp; ADDRESS(278, 'Additional Cartons-WUO_TRK'!A278),_xlfn.TEXTAFTER('Additional Cartons-WUO_ERR'!A278, ":"))))</f>
        <v/>
      </c>
    </row>
    <row r="279">
      <c r="A279" s="39">
        <f>IF('Additional Cartons'!B279 = "", "", IF('Additional Cartons-WUO_ERR'!A279 = "", "Validated", HYPERLINK("#" &amp; ADDRESS(279, 'Additional Cartons-WUO_TRK'!A279),_xlfn.TEXTAFTER('Additional Cartons-WUO_ERR'!A279, ":"))))</f>
        <v/>
      </c>
    </row>
    <row r="280">
      <c r="A280" s="39">
        <f>IF('Additional Cartons'!B280 = "", "", IF('Additional Cartons-WUO_ERR'!A280 = "", "Validated", HYPERLINK("#" &amp; ADDRESS(280, 'Additional Cartons-WUO_TRK'!A280),_xlfn.TEXTAFTER('Additional Cartons-WUO_ERR'!A280, ":"))))</f>
        <v/>
      </c>
    </row>
    <row r="281">
      <c r="A281" s="39">
        <f>IF('Additional Cartons'!B281 = "", "", IF('Additional Cartons-WUO_ERR'!A281 = "", "Validated", HYPERLINK("#" &amp; ADDRESS(281, 'Additional Cartons-WUO_TRK'!A281),_xlfn.TEXTAFTER('Additional Cartons-WUO_ERR'!A281, ":"))))</f>
        <v/>
      </c>
    </row>
    <row r="282">
      <c r="A282" s="39">
        <f>IF('Additional Cartons'!B282 = "", "", IF('Additional Cartons-WUO_ERR'!A282 = "", "Validated", HYPERLINK("#" &amp; ADDRESS(282, 'Additional Cartons-WUO_TRK'!A282),_xlfn.TEXTAFTER('Additional Cartons-WUO_ERR'!A282, ":"))))</f>
        <v/>
      </c>
    </row>
    <row r="283">
      <c r="A283" s="39">
        <f>IF('Additional Cartons'!B283 = "", "", IF('Additional Cartons-WUO_ERR'!A283 = "", "Validated", HYPERLINK("#" &amp; ADDRESS(283, 'Additional Cartons-WUO_TRK'!A283),_xlfn.TEXTAFTER('Additional Cartons-WUO_ERR'!A283, ":"))))</f>
        <v/>
      </c>
    </row>
    <row r="284">
      <c r="A284" s="39">
        <f>IF('Additional Cartons'!B284 = "", "", IF('Additional Cartons-WUO_ERR'!A284 = "", "Validated", HYPERLINK("#" &amp; ADDRESS(284, 'Additional Cartons-WUO_TRK'!A284),_xlfn.TEXTAFTER('Additional Cartons-WUO_ERR'!A284, ":"))))</f>
        <v/>
      </c>
    </row>
    <row r="285">
      <c r="A285" s="39">
        <f>IF('Additional Cartons'!B285 = "", "", IF('Additional Cartons-WUO_ERR'!A285 = "", "Validated", HYPERLINK("#" &amp; ADDRESS(285, 'Additional Cartons-WUO_TRK'!A285),_xlfn.TEXTAFTER('Additional Cartons-WUO_ERR'!A285, ":"))))</f>
        <v/>
      </c>
    </row>
    <row r="286">
      <c r="A286" s="39">
        <f>IF('Additional Cartons'!B286 = "", "", IF('Additional Cartons-WUO_ERR'!A286 = "", "Validated", HYPERLINK("#" &amp; ADDRESS(286, 'Additional Cartons-WUO_TRK'!A286),_xlfn.TEXTAFTER('Additional Cartons-WUO_ERR'!A286, ":"))))</f>
        <v/>
      </c>
    </row>
    <row r="287">
      <c r="A287" s="39">
        <f>IF('Additional Cartons'!B287 = "", "", IF('Additional Cartons-WUO_ERR'!A287 = "", "Validated", HYPERLINK("#" &amp; ADDRESS(287, 'Additional Cartons-WUO_TRK'!A287),_xlfn.TEXTAFTER('Additional Cartons-WUO_ERR'!A287, ":"))))</f>
        <v/>
      </c>
    </row>
    <row r="288">
      <c r="A288" s="39">
        <f>IF('Additional Cartons'!B288 = "", "", IF('Additional Cartons-WUO_ERR'!A288 = "", "Validated", HYPERLINK("#" &amp; ADDRESS(288, 'Additional Cartons-WUO_TRK'!A288),_xlfn.TEXTAFTER('Additional Cartons-WUO_ERR'!A288, ":"))))</f>
        <v/>
      </c>
    </row>
    <row r="289">
      <c r="A289" s="39">
        <f>IF('Additional Cartons'!B289 = "", "", IF('Additional Cartons-WUO_ERR'!A289 = "", "Validated", HYPERLINK("#" &amp; ADDRESS(289, 'Additional Cartons-WUO_TRK'!A289),_xlfn.TEXTAFTER('Additional Cartons-WUO_ERR'!A289, ":"))))</f>
        <v/>
      </c>
    </row>
    <row r="290">
      <c r="A290" s="39">
        <f>IF('Additional Cartons'!B290 = "", "", IF('Additional Cartons-WUO_ERR'!A290 = "", "Validated", HYPERLINK("#" &amp; ADDRESS(290, 'Additional Cartons-WUO_TRK'!A290),_xlfn.TEXTAFTER('Additional Cartons-WUO_ERR'!A290, ":"))))</f>
        <v/>
      </c>
    </row>
    <row r="291">
      <c r="A291" s="39">
        <f>IF('Additional Cartons'!B291 = "", "", IF('Additional Cartons-WUO_ERR'!A291 = "", "Validated", HYPERLINK("#" &amp; ADDRESS(291, 'Additional Cartons-WUO_TRK'!A291),_xlfn.TEXTAFTER('Additional Cartons-WUO_ERR'!A291, ":"))))</f>
        <v/>
      </c>
    </row>
    <row r="292">
      <c r="A292" s="39">
        <f>IF('Additional Cartons'!B292 = "", "", IF('Additional Cartons-WUO_ERR'!A292 = "", "Validated", HYPERLINK("#" &amp; ADDRESS(292, 'Additional Cartons-WUO_TRK'!A292),_xlfn.TEXTAFTER('Additional Cartons-WUO_ERR'!A292, ":"))))</f>
        <v/>
      </c>
    </row>
    <row r="293">
      <c r="A293" s="39">
        <f>IF('Additional Cartons'!B293 = "", "", IF('Additional Cartons-WUO_ERR'!A293 = "", "Validated", HYPERLINK("#" &amp; ADDRESS(293, 'Additional Cartons-WUO_TRK'!A293),_xlfn.TEXTAFTER('Additional Cartons-WUO_ERR'!A293, ":"))))</f>
        <v/>
      </c>
    </row>
    <row r="294">
      <c r="A294" s="39">
        <f>IF('Additional Cartons'!B294 = "", "", IF('Additional Cartons-WUO_ERR'!A294 = "", "Validated", HYPERLINK("#" &amp; ADDRESS(294, 'Additional Cartons-WUO_TRK'!A294),_xlfn.TEXTAFTER('Additional Cartons-WUO_ERR'!A294, ":"))))</f>
        <v/>
      </c>
    </row>
    <row r="295">
      <c r="A295" s="39">
        <f>IF('Additional Cartons'!B295 = "", "", IF('Additional Cartons-WUO_ERR'!A295 = "", "Validated", HYPERLINK("#" &amp; ADDRESS(295, 'Additional Cartons-WUO_TRK'!A295),_xlfn.TEXTAFTER('Additional Cartons-WUO_ERR'!A295, ":"))))</f>
        <v/>
      </c>
    </row>
    <row r="296">
      <c r="A296" s="39">
        <f>IF('Additional Cartons'!B296 = "", "", IF('Additional Cartons-WUO_ERR'!A296 = "", "Validated", HYPERLINK("#" &amp; ADDRESS(296, 'Additional Cartons-WUO_TRK'!A296),_xlfn.TEXTAFTER('Additional Cartons-WUO_ERR'!A296, ":"))))</f>
        <v/>
      </c>
    </row>
    <row r="297">
      <c r="A297" s="39">
        <f>IF('Additional Cartons'!B297 = "", "", IF('Additional Cartons-WUO_ERR'!A297 = "", "Validated", HYPERLINK("#" &amp; ADDRESS(297, 'Additional Cartons-WUO_TRK'!A297),_xlfn.TEXTAFTER('Additional Cartons-WUO_ERR'!A297, ":"))))</f>
        <v/>
      </c>
    </row>
    <row r="298">
      <c r="A298" s="39">
        <f>IF('Additional Cartons'!B298 = "", "", IF('Additional Cartons-WUO_ERR'!A298 = "", "Validated", HYPERLINK("#" &amp; ADDRESS(298, 'Additional Cartons-WUO_TRK'!A298),_xlfn.TEXTAFTER('Additional Cartons-WUO_ERR'!A298, ":"))))</f>
        <v/>
      </c>
    </row>
    <row r="299">
      <c r="A299" s="39">
        <f>IF('Additional Cartons'!B299 = "", "", IF('Additional Cartons-WUO_ERR'!A299 = "", "Validated", HYPERLINK("#" &amp; ADDRESS(299, 'Additional Cartons-WUO_TRK'!A299),_xlfn.TEXTAFTER('Additional Cartons-WUO_ERR'!A299, ":"))))</f>
        <v/>
      </c>
    </row>
    <row r="300">
      <c r="A300" s="39">
        <f>IF('Additional Cartons'!B300 = "", "", IF('Additional Cartons-WUO_ERR'!A300 = "", "Validated", HYPERLINK("#" &amp; ADDRESS(300, 'Additional Cartons-WUO_TRK'!A300),_xlfn.TEXTAFTER('Additional Cartons-WUO_ERR'!A300, ":"))))</f>
        <v/>
      </c>
    </row>
    <row r="301">
      <c r="A301" s="39">
        <f>IF('Additional Cartons'!B301 = "", "", IF('Additional Cartons-WUO_ERR'!A301 = "", "Validated", HYPERLINK("#" &amp; ADDRESS(301, 'Additional Cartons-WUO_TRK'!A301),_xlfn.TEXTAFTER('Additional Cartons-WUO_ERR'!A301, ":"))))</f>
        <v/>
      </c>
    </row>
    <row r="302">
      <c r="A302" s="39">
        <f>IF('Additional Cartons'!B302 = "", "", IF('Additional Cartons-WUO_ERR'!A302 = "", "Validated", HYPERLINK("#" &amp; ADDRESS(302, 'Additional Cartons-WUO_TRK'!A302),_xlfn.TEXTAFTER('Additional Cartons-WUO_ERR'!A302, ":"))))</f>
        <v/>
      </c>
    </row>
    <row r="303">
      <c r="A303" s="39">
        <f>IF('Additional Cartons'!B303 = "", "", IF('Additional Cartons-WUO_ERR'!A303 = "", "Validated", HYPERLINK("#" &amp; ADDRESS(303, 'Additional Cartons-WUO_TRK'!A303),_xlfn.TEXTAFTER('Additional Cartons-WUO_ERR'!A303, ":"))))</f>
        <v/>
      </c>
    </row>
    <row r="304">
      <c r="A304" s="39">
        <f>IF('Additional Cartons'!B304 = "", "", IF('Additional Cartons-WUO_ERR'!A304 = "", "Validated", HYPERLINK("#" &amp; ADDRESS(304, 'Additional Cartons-WUO_TRK'!A304),_xlfn.TEXTAFTER('Additional Cartons-WUO_ERR'!A304, ":"))))</f>
        <v/>
      </c>
    </row>
    <row r="305">
      <c r="A305" s="39">
        <f>IF('Additional Cartons'!B305 = "", "", IF('Additional Cartons-WUO_ERR'!A305 = "", "Validated", HYPERLINK("#" &amp; ADDRESS(305, 'Additional Cartons-WUO_TRK'!A305),_xlfn.TEXTAFTER('Additional Cartons-WUO_ERR'!A305, ":"))))</f>
        <v/>
      </c>
    </row>
    <row r="306">
      <c r="A306" s="39">
        <f>IF('Additional Cartons'!B306 = "", "", IF('Additional Cartons-WUO_ERR'!A306 = "", "Validated", HYPERLINK("#" &amp; ADDRESS(306, 'Additional Cartons-WUO_TRK'!A306),_xlfn.TEXTAFTER('Additional Cartons-WUO_ERR'!A306, ":"))))</f>
        <v/>
      </c>
    </row>
    <row r="307">
      <c r="A307" s="39">
        <f>IF('Additional Cartons'!B307 = "", "", IF('Additional Cartons-WUO_ERR'!A307 = "", "Validated", HYPERLINK("#" &amp; ADDRESS(307, 'Additional Cartons-WUO_TRK'!A307),_xlfn.TEXTAFTER('Additional Cartons-WUO_ERR'!A307, ":"))))</f>
        <v/>
      </c>
    </row>
    <row r="308">
      <c r="A308" s="39">
        <f>IF('Additional Cartons'!B308 = "", "", IF('Additional Cartons-WUO_ERR'!A308 = "", "Validated", HYPERLINK("#" &amp; ADDRESS(308, 'Additional Cartons-WUO_TRK'!A308),_xlfn.TEXTAFTER('Additional Cartons-WUO_ERR'!A308, ":"))))</f>
        <v/>
      </c>
    </row>
    <row r="309">
      <c r="A309" s="39">
        <f>IF('Additional Cartons'!B309 = "", "", IF('Additional Cartons-WUO_ERR'!A309 = "", "Validated", HYPERLINK("#" &amp; ADDRESS(309, 'Additional Cartons-WUO_TRK'!A309),_xlfn.TEXTAFTER('Additional Cartons-WUO_ERR'!A309, ":"))))</f>
        <v/>
      </c>
    </row>
    <row r="310">
      <c r="A310" s="39">
        <f>IF('Additional Cartons'!B310 = "", "", IF('Additional Cartons-WUO_ERR'!A310 = "", "Validated", HYPERLINK("#" &amp; ADDRESS(310, 'Additional Cartons-WUO_TRK'!A310),_xlfn.TEXTAFTER('Additional Cartons-WUO_ERR'!A310, ":"))))</f>
        <v/>
      </c>
    </row>
    <row r="311">
      <c r="A311" s="39">
        <f>IF('Additional Cartons'!B311 = "", "", IF('Additional Cartons-WUO_ERR'!A311 = "", "Validated", HYPERLINK("#" &amp; ADDRESS(311, 'Additional Cartons-WUO_TRK'!A311),_xlfn.TEXTAFTER('Additional Cartons-WUO_ERR'!A311, ":"))))</f>
        <v/>
      </c>
    </row>
    <row r="312">
      <c r="A312" s="39">
        <f>IF('Additional Cartons'!B312 = "", "", IF('Additional Cartons-WUO_ERR'!A312 = "", "Validated", HYPERLINK("#" &amp; ADDRESS(312, 'Additional Cartons-WUO_TRK'!A312),_xlfn.TEXTAFTER('Additional Cartons-WUO_ERR'!A312, ":"))))</f>
        <v/>
      </c>
    </row>
    <row r="313">
      <c r="A313" s="39">
        <f>IF('Additional Cartons'!B313 = "", "", IF('Additional Cartons-WUO_ERR'!A313 = "", "Validated", HYPERLINK("#" &amp; ADDRESS(313, 'Additional Cartons-WUO_TRK'!A313),_xlfn.TEXTAFTER('Additional Cartons-WUO_ERR'!A313, ":"))))</f>
        <v/>
      </c>
    </row>
    <row r="314">
      <c r="A314" s="39">
        <f>IF('Additional Cartons'!B314 = "", "", IF('Additional Cartons-WUO_ERR'!A314 = "", "Validated", HYPERLINK("#" &amp; ADDRESS(314, 'Additional Cartons-WUO_TRK'!A314),_xlfn.TEXTAFTER('Additional Cartons-WUO_ERR'!A314, ":"))))</f>
        <v/>
      </c>
    </row>
    <row r="315">
      <c r="A315" s="39">
        <f>IF('Additional Cartons'!B315 = "", "", IF('Additional Cartons-WUO_ERR'!A315 = "", "Validated", HYPERLINK("#" &amp; ADDRESS(315, 'Additional Cartons-WUO_TRK'!A315),_xlfn.TEXTAFTER('Additional Cartons-WUO_ERR'!A315, ":"))))</f>
        <v/>
      </c>
    </row>
    <row r="316">
      <c r="A316" s="39">
        <f>IF('Additional Cartons'!B316 = "", "", IF('Additional Cartons-WUO_ERR'!A316 = "", "Validated", HYPERLINK("#" &amp; ADDRESS(316, 'Additional Cartons-WUO_TRK'!A316),_xlfn.TEXTAFTER('Additional Cartons-WUO_ERR'!A316, ":"))))</f>
        <v/>
      </c>
    </row>
    <row r="317">
      <c r="A317" s="39">
        <f>IF('Additional Cartons'!B317 = "", "", IF('Additional Cartons-WUO_ERR'!A317 = "", "Validated", HYPERLINK("#" &amp; ADDRESS(317, 'Additional Cartons-WUO_TRK'!A317),_xlfn.TEXTAFTER('Additional Cartons-WUO_ERR'!A317, ":"))))</f>
        <v/>
      </c>
    </row>
    <row r="318">
      <c r="A318" s="39">
        <f>IF('Additional Cartons'!B318 = "", "", IF('Additional Cartons-WUO_ERR'!A318 = "", "Validated", HYPERLINK("#" &amp; ADDRESS(318, 'Additional Cartons-WUO_TRK'!A318),_xlfn.TEXTAFTER('Additional Cartons-WUO_ERR'!A318, ":"))))</f>
        <v/>
      </c>
    </row>
    <row r="319">
      <c r="A319" s="39">
        <f>IF('Additional Cartons'!B319 = "", "", IF('Additional Cartons-WUO_ERR'!A319 = "", "Validated", HYPERLINK("#" &amp; ADDRESS(319, 'Additional Cartons-WUO_TRK'!A319),_xlfn.TEXTAFTER('Additional Cartons-WUO_ERR'!A319, ":"))))</f>
        <v/>
      </c>
    </row>
    <row r="320">
      <c r="A320" s="39">
        <f>IF('Additional Cartons'!B320 = "", "", IF('Additional Cartons-WUO_ERR'!A320 = "", "Validated", HYPERLINK("#" &amp; ADDRESS(320, 'Additional Cartons-WUO_TRK'!A320),_xlfn.TEXTAFTER('Additional Cartons-WUO_ERR'!A320, ":"))))</f>
        <v/>
      </c>
    </row>
    <row r="321">
      <c r="A321" s="39">
        <f>IF('Additional Cartons'!B321 = "", "", IF('Additional Cartons-WUO_ERR'!A321 = "", "Validated", HYPERLINK("#" &amp; ADDRESS(321, 'Additional Cartons-WUO_TRK'!A321),_xlfn.TEXTAFTER('Additional Cartons-WUO_ERR'!A321, ":"))))</f>
        <v/>
      </c>
    </row>
    <row r="322">
      <c r="A322" s="39">
        <f>IF('Additional Cartons'!B322 = "", "", IF('Additional Cartons-WUO_ERR'!A322 = "", "Validated", HYPERLINK("#" &amp; ADDRESS(322, 'Additional Cartons-WUO_TRK'!A322),_xlfn.TEXTAFTER('Additional Cartons-WUO_ERR'!A322, ":"))))</f>
        <v/>
      </c>
    </row>
    <row r="323">
      <c r="A323" s="39">
        <f>IF('Additional Cartons'!B323 = "", "", IF('Additional Cartons-WUO_ERR'!A323 = "", "Validated", HYPERLINK("#" &amp; ADDRESS(323, 'Additional Cartons-WUO_TRK'!A323),_xlfn.TEXTAFTER('Additional Cartons-WUO_ERR'!A323, ":"))))</f>
        <v/>
      </c>
    </row>
    <row r="324">
      <c r="A324" s="39">
        <f>IF('Additional Cartons'!B324 = "", "", IF('Additional Cartons-WUO_ERR'!A324 = "", "Validated", HYPERLINK("#" &amp; ADDRESS(324, 'Additional Cartons-WUO_TRK'!A324),_xlfn.TEXTAFTER('Additional Cartons-WUO_ERR'!A324, ":"))))</f>
        <v/>
      </c>
    </row>
    <row r="325">
      <c r="A325" s="39">
        <f>IF('Additional Cartons'!B325 = "", "", IF('Additional Cartons-WUO_ERR'!A325 = "", "Validated", HYPERLINK("#" &amp; ADDRESS(325, 'Additional Cartons-WUO_TRK'!A325),_xlfn.TEXTAFTER('Additional Cartons-WUO_ERR'!A325, ":"))))</f>
        <v/>
      </c>
    </row>
    <row r="326">
      <c r="A326" s="39">
        <f>IF('Additional Cartons'!B326 = "", "", IF('Additional Cartons-WUO_ERR'!A326 = "", "Validated", HYPERLINK("#" &amp; ADDRESS(326, 'Additional Cartons-WUO_TRK'!A326),_xlfn.TEXTAFTER('Additional Cartons-WUO_ERR'!A326, ":"))))</f>
        <v/>
      </c>
    </row>
    <row r="327">
      <c r="A327" s="39">
        <f>IF('Additional Cartons'!B327 = "", "", IF('Additional Cartons-WUO_ERR'!A327 = "", "Validated", HYPERLINK("#" &amp; ADDRESS(327, 'Additional Cartons-WUO_TRK'!A327),_xlfn.TEXTAFTER('Additional Cartons-WUO_ERR'!A327, ":"))))</f>
        <v/>
      </c>
    </row>
    <row r="328">
      <c r="A328" s="39">
        <f>IF('Additional Cartons'!B328 = "", "", IF('Additional Cartons-WUO_ERR'!A328 = "", "Validated", HYPERLINK("#" &amp; ADDRESS(328, 'Additional Cartons-WUO_TRK'!A328),_xlfn.TEXTAFTER('Additional Cartons-WUO_ERR'!A328, ":"))))</f>
        <v/>
      </c>
    </row>
    <row r="329">
      <c r="A329" s="39">
        <f>IF('Additional Cartons'!B329 = "", "", IF('Additional Cartons-WUO_ERR'!A329 = "", "Validated", HYPERLINK("#" &amp; ADDRESS(329, 'Additional Cartons-WUO_TRK'!A329),_xlfn.TEXTAFTER('Additional Cartons-WUO_ERR'!A329, ":"))))</f>
        <v/>
      </c>
    </row>
    <row r="330">
      <c r="A330" s="39">
        <f>IF('Additional Cartons'!B330 = "", "", IF('Additional Cartons-WUO_ERR'!A330 = "", "Validated", HYPERLINK("#" &amp; ADDRESS(330, 'Additional Cartons-WUO_TRK'!A330),_xlfn.TEXTAFTER('Additional Cartons-WUO_ERR'!A330, ":"))))</f>
        <v/>
      </c>
    </row>
    <row r="331">
      <c r="A331" s="39">
        <f>IF('Additional Cartons'!B331 = "", "", IF('Additional Cartons-WUO_ERR'!A331 = "", "Validated", HYPERLINK("#" &amp; ADDRESS(331, 'Additional Cartons-WUO_TRK'!A331),_xlfn.TEXTAFTER('Additional Cartons-WUO_ERR'!A331, ":"))))</f>
        <v/>
      </c>
    </row>
    <row r="332">
      <c r="A332" s="39">
        <f>IF('Additional Cartons'!B332 = "", "", IF('Additional Cartons-WUO_ERR'!A332 = "", "Validated", HYPERLINK("#" &amp; ADDRESS(332, 'Additional Cartons-WUO_TRK'!A332),_xlfn.TEXTAFTER('Additional Cartons-WUO_ERR'!A332, ":"))))</f>
        <v/>
      </c>
    </row>
    <row r="333">
      <c r="A333" s="39">
        <f>IF('Additional Cartons'!B333 = "", "", IF('Additional Cartons-WUO_ERR'!A333 = "", "Validated", HYPERLINK("#" &amp; ADDRESS(333, 'Additional Cartons-WUO_TRK'!A333),_xlfn.TEXTAFTER('Additional Cartons-WUO_ERR'!A333, ":"))))</f>
        <v/>
      </c>
    </row>
    <row r="334">
      <c r="A334" s="39">
        <f>IF('Additional Cartons'!B334 = "", "", IF('Additional Cartons-WUO_ERR'!A334 = "", "Validated", HYPERLINK("#" &amp; ADDRESS(334, 'Additional Cartons-WUO_TRK'!A334),_xlfn.TEXTAFTER('Additional Cartons-WUO_ERR'!A334, ":"))))</f>
        <v/>
      </c>
    </row>
    <row r="335">
      <c r="A335" s="39">
        <f>IF('Additional Cartons'!B335 = "", "", IF('Additional Cartons-WUO_ERR'!A335 = "", "Validated", HYPERLINK("#" &amp; ADDRESS(335, 'Additional Cartons-WUO_TRK'!A335),_xlfn.TEXTAFTER('Additional Cartons-WUO_ERR'!A335, ":"))))</f>
        <v/>
      </c>
    </row>
    <row r="336">
      <c r="A336" s="39">
        <f>IF('Additional Cartons'!B336 = "", "", IF('Additional Cartons-WUO_ERR'!A336 = "", "Validated", HYPERLINK("#" &amp; ADDRESS(336, 'Additional Cartons-WUO_TRK'!A336),_xlfn.TEXTAFTER('Additional Cartons-WUO_ERR'!A336, ":"))))</f>
        <v/>
      </c>
    </row>
    <row r="337">
      <c r="A337" s="39">
        <f>IF('Additional Cartons'!B337 = "", "", IF('Additional Cartons-WUO_ERR'!A337 = "", "Validated", HYPERLINK("#" &amp; ADDRESS(337, 'Additional Cartons-WUO_TRK'!A337),_xlfn.TEXTAFTER('Additional Cartons-WUO_ERR'!A337, ":"))))</f>
        <v/>
      </c>
    </row>
    <row r="338">
      <c r="A338" s="39">
        <f>IF('Additional Cartons'!B338 = "", "", IF('Additional Cartons-WUO_ERR'!A338 = "", "Validated", HYPERLINK("#" &amp; ADDRESS(338, 'Additional Cartons-WUO_TRK'!A338),_xlfn.TEXTAFTER('Additional Cartons-WUO_ERR'!A338, ":"))))</f>
        <v/>
      </c>
    </row>
    <row r="339">
      <c r="A339" s="39">
        <f>IF('Additional Cartons'!B339 = "", "", IF('Additional Cartons-WUO_ERR'!A339 = "", "Validated", HYPERLINK("#" &amp; ADDRESS(339, 'Additional Cartons-WUO_TRK'!A339),_xlfn.TEXTAFTER('Additional Cartons-WUO_ERR'!A339, ":"))))</f>
        <v/>
      </c>
    </row>
    <row r="340">
      <c r="A340" s="39">
        <f>IF('Additional Cartons'!B340 = "", "", IF('Additional Cartons-WUO_ERR'!A340 = "", "Validated", HYPERLINK("#" &amp; ADDRESS(340, 'Additional Cartons-WUO_TRK'!A340),_xlfn.TEXTAFTER('Additional Cartons-WUO_ERR'!A340, ":"))))</f>
        <v/>
      </c>
    </row>
    <row r="341">
      <c r="A341" s="39">
        <f>IF('Additional Cartons'!B341 = "", "", IF('Additional Cartons-WUO_ERR'!A341 = "", "Validated", HYPERLINK("#" &amp; ADDRESS(341, 'Additional Cartons-WUO_TRK'!A341),_xlfn.TEXTAFTER('Additional Cartons-WUO_ERR'!A341, ":"))))</f>
        <v/>
      </c>
    </row>
    <row r="342">
      <c r="A342" s="39">
        <f>IF('Additional Cartons'!B342 = "", "", IF('Additional Cartons-WUO_ERR'!A342 = "", "Validated", HYPERLINK("#" &amp; ADDRESS(342, 'Additional Cartons-WUO_TRK'!A342),_xlfn.TEXTAFTER('Additional Cartons-WUO_ERR'!A342, ":"))))</f>
        <v/>
      </c>
    </row>
    <row r="343">
      <c r="A343" s="39">
        <f>IF('Additional Cartons'!B343 = "", "", IF('Additional Cartons-WUO_ERR'!A343 = "", "Validated", HYPERLINK("#" &amp; ADDRESS(343, 'Additional Cartons-WUO_TRK'!A343),_xlfn.TEXTAFTER('Additional Cartons-WUO_ERR'!A343, ":"))))</f>
        <v/>
      </c>
    </row>
    <row r="344">
      <c r="A344" s="39">
        <f>IF('Additional Cartons'!B344 = "", "", IF('Additional Cartons-WUO_ERR'!A344 = "", "Validated", HYPERLINK("#" &amp; ADDRESS(344, 'Additional Cartons-WUO_TRK'!A344),_xlfn.TEXTAFTER('Additional Cartons-WUO_ERR'!A344, ":"))))</f>
        <v/>
      </c>
    </row>
    <row r="345">
      <c r="A345" s="39">
        <f>IF('Additional Cartons'!B345 = "", "", IF('Additional Cartons-WUO_ERR'!A345 = "", "Validated", HYPERLINK("#" &amp; ADDRESS(345, 'Additional Cartons-WUO_TRK'!A345),_xlfn.TEXTAFTER('Additional Cartons-WUO_ERR'!A345, ":"))))</f>
        <v/>
      </c>
    </row>
    <row r="346">
      <c r="A346" s="39">
        <f>IF('Additional Cartons'!B346 = "", "", IF('Additional Cartons-WUO_ERR'!A346 = "", "Validated", HYPERLINK("#" &amp; ADDRESS(346, 'Additional Cartons-WUO_TRK'!A346),_xlfn.TEXTAFTER('Additional Cartons-WUO_ERR'!A346, ":"))))</f>
        <v/>
      </c>
    </row>
    <row r="347">
      <c r="A347" s="39">
        <f>IF('Additional Cartons'!B347 = "", "", IF('Additional Cartons-WUO_ERR'!A347 = "", "Validated", HYPERLINK("#" &amp; ADDRESS(347, 'Additional Cartons-WUO_TRK'!A347),_xlfn.TEXTAFTER('Additional Cartons-WUO_ERR'!A347, ":"))))</f>
        <v/>
      </c>
    </row>
    <row r="348">
      <c r="A348" s="39">
        <f>IF('Additional Cartons'!B348 = "", "", IF('Additional Cartons-WUO_ERR'!A348 = "", "Validated", HYPERLINK("#" &amp; ADDRESS(348, 'Additional Cartons-WUO_TRK'!A348),_xlfn.TEXTAFTER('Additional Cartons-WUO_ERR'!A348, ":"))))</f>
        <v/>
      </c>
    </row>
    <row r="349">
      <c r="A349" s="39">
        <f>IF('Additional Cartons'!B349 = "", "", IF('Additional Cartons-WUO_ERR'!A349 = "", "Validated", HYPERLINK("#" &amp; ADDRESS(349, 'Additional Cartons-WUO_TRK'!A349),_xlfn.TEXTAFTER('Additional Cartons-WUO_ERR'!A349, ":"))))</f>
        <v/>
      </c>
    </row>
    <row r="350">
      <c r="A350" s="39">
        <f>IF('Additional Cartons'!B350 = "", "", IF('Additional Cartons-WUO_ERR'!A350 = "", "Validated", HYPERLINK("#" &amp; ADDRESS(350, 'Additional Cartons-WUO_TRK'!A350),_xlfn.TEXTAFTER('Additional Cartons-WUO_ERR'!A350, ":"))))</f>
        <v/>
      </c>
    </row>
    <row r="351">
      <c r="A351" s="39">
        <f>IF('Additional Cartons'!B351 = "", "", IF('Additional Cartons-WUO_ERR'!A351 = "", "Validated", HYPERLINK("#" &amp; ADDRESS(351, 'Additional Cartons-WUO_TRK'!A351),_xlfn.TEXTAFTER('Additional Cartons-WUO_ERR'!A351, ":"))))</f>
        <v/>
      </c>
    </row>
    <row r="352">
      <c r="A352" s="39">
        <f>IF('Additional Cartons'!B352 = "", "", IF('Additional Cartons-WUO_ERR'!A352 = "", "Validated", HYPERLINK("#" &amp; ADDRESS(352, 'Additional Cartons-WUO_TRK'!A352),_xlfn.TEXTAFTER('Additional Cartons-WUO_ERR'!A352, ":"))))</f>
        <v/>
      </c>
    </row>
    <row r="353">
      <c r="A353" s="39">
        <f>IF('Additional Cartons'!B353 = "", "", IF('Additional Cartons-WUO_ERR'!A353 = "", "Validated", HYPERLINK("#" &amp; ADDRESS(353, 'Additional Cartons-WUO_TRK'!A353),_xlfn.TEXTAFTER('Additional Cartons-WUO_ERR'!A353, ":"))))</f>
        <v/>
      </c>
    </row>
    <row r="354">
      <c r="A354" s="39">
        <f>IF('Additional Cartons'!B354 = "", "", IF('Additional Cartons-WUO_ERR'!A354 = "", "Validated", HYPERLINK("#" &amp; ADDRESS(354, 'Additional Cartons-WUO_TRK'!A354),_xlfn.TEXTAFTER('Additional Cartons-WUO_ERR'!A354, ":"))))</f>
        <v/>
      </c>
    </row>
    <row r="355">
      <c r="A355" s="39">
        <f>IF('Additional Cartons'!B355 = "", "", IF('Additional Cartons-WUO_ERR'!A355 = "", "Validated", HYPERLINK("#" &amp; ADDRESS(355, 'Additional Cartons-WUO_TRK'!A355),_xlfn.TEXTAFTER('Additional Cartons-WUO_ERR'!A355, ":"))))</f>
        <v/>
      </c>
    </row>
    <row r="356">
      <c r="A356" s="39">
        <f>IF('Additional Cartons'!B356 = "", "", IF('Additional Cartons-WUO_ERR'!A356 = "", "Validated", HYPERLINK("#" &amp; ADDRESS(356, 'Additional Cartons-WUO_TRK'!A356),_xlfn.TEXTAFTER('Additional Cartons-WUO_ERR'!A356, ":"))))</f>
        <v/>
      </c>
    </row>
    <row r="357">
      <c r="A357" s="39">
        <f>IF('Additional Cartons'!B357 = "", "", IF('Additional Cartons-WUO_ERR'!A357 = "", "Validated", HYPERLINK("#" &amp; ADDRESS(357, 'Additional Cartons-WUO_TRK'!A357),_xlfn.TEXTAFTER('Additional Cartons-WUO_ERR'!A357, ":"))))</f>
        <v/>
      </c>
    </row>
    <row r="358">
      <c r="A358" s="39">
        <f>IF('Additional Cartons'!B358 = "", "", IF('Additional Cartons-WUO_ERR'!A358 = "", "Validated", HYPERLINK("#" &amp; ADDRESS(358, 'Additional Cartons-WUO_TRK'!A358),_xlfn.TEXTAFTER('Additional Cartons-WUO_ERR'!A358, ":"))))</f>
        <v/>
      </c>
    </row>
    <row r="359">
      <c r="A359" s="39">
        <f>IF('Additional Cartons'!B359 = "", "", IF('Additional Cartons-WUO_ERR'!A359 = "", "Validated", HYPERLINK("#" &amp; ADDRESS(359, 'Additional Cartons-WUO_TRK'!A359),_xlfn.TEXTAFTER('Additional Cartons-WUO_ERR'!A359, ":"))))</f>
        <v/>
      </c>
    </row>
    <row r="360">
      <c r="A360" s="39">
        <f>IF('Additional Cartons'!B360 = "", "", IF('Additional Cartons-WUO_ERR'!A360 = "", "Validated", HYPERLINK("#" &amp; ADDRESS(360, 'Additional Cartons-WUO_TRK'!A360),_xlfn.TEXTAFTER('Additional Cartons-WUO_ERR'!A360, ":"))))</f>
        <v/>
      </c>
    </row>
    <row r="361">
      <c r="A361" s="39">
        <f>IF('Additional Cartons'!B361 = "", "", IF('Additional Cartons-WUO_ERR'!A361 = "", "Validated", HYPERLINK("#" &amp; ADDRESS(361, 'Additional Cartons-WUO_TRK'!A361),_xlfn.TEXTAFTER('Additional Cartons-WUO_ERR'!A361, ":"))))</f>
        <v/>
      </c>
    </row>
    <row r="362">
      <c r="A362" s="39">
        <f>IF('Additional Cartons'!B362 = "", "", IF('Additional Cartons-WUO_ERR'!A362 = "", "Validated", HYPERLINK("#" &amp; ADDRESS(362, 'Additional Cartons-WUO_TRK'!A362),_xlfn.TEXTAFTER('Additional Cartons-WUO_ERR'!A362, ":"))))</f>
        <v/>
      </c>
    </row>
    <row r="363">
      <c r="A363" s="39">
        <f>IF('Additional Cartons'!B363 = "", "", IF('Additional Cartons-WUO_ERR'!A363 = "", "Validated", HYPERLINK("#" &amp; ADDRESS(363, 'Additional Cartons-WUO_TRK'!A363),_xlfn.TEXTAFTER('Additional Cartons-WUO_ERR'!A363, ":"))))</f>
        <v/>
      </c>
    </row>
    <row r="364">
      <c r="A364" s="39">
        <f>IF('Additional Cartons'!B364 = "", "", IF('Additional Cartons-WUO_ERR'!A364 = "", "Validated", HYPERLINK("#" &amp; ADDRESS(364, 'Additional Cartons-WUO_TRK'!A364),_xlfn.TEXTAFTER('Additional Cartons-WUO_ERR'!A364, ":"))))</f>
        <v/>
      </c>
    </row>
    <row r="365">
      <c r="A365" s="39">
        <f>IF('Additional Cartons'!B365 = "", "", IF('Additional Cartons-WUO_ERR'!A365 = "", "Validated", HYPERLINK("#" &amp; ADDRESS(365, 'Additional Cartons-WUO_TRK'!A365),_xlfn.TEXTAFTER('Additional Cartons-WUO_ERR'!A365, ":"))))</f>
        <v/>
      </c>
    </row>
    <row r="366">
      <c r="A366" s="39">
        <f>IF('Additional Cartons'!B366 = "", "", IF('Additional Cartons-WUO_ERR'!A366 = "", "Validated", HYPERLINK("#" &amp; ADDRESS(366, 'Additional Cartons-WUO_TRK'!A366),_xlfn.TEXTAFTER('Additional Cartons-WUO_ERR'!A366, ":"))))</f>
        <v/>
      </c>
    </row>
    <row r="367">
      <c r="A367" s="39">
        <f>IF('Additional Cartons'!B367 = "", "", IF('Additional Cartons-WUO_ERR'!A367 = "", "Validated", HYPERLINK("#" &amp; ADDRESS(367, 'Additional Cartons-WUO_TRK'!A367),_xlfn.TEXTAFTER('Additional Cartons-WUO_ERR'!A367, ":"))))</f>
        <v/>
      </c>
    </row>
    <row r="368">
      <c r="A368" s="39">
        <f>IF('Additional Cartons'!B368 = "", "", IF('Additional Cartons-WUO_ERR'!A368 = "", "Validated", HYPERLINK("#" &amp; ADDRESS(368, 'Additional Cartons-WUO_TRK'!A368),_xlfn.TEXTAFTER('Additional Cartons-WUO_ERR'!A368, ":"))))</f>
        <v/>
      </c>
    </row>
    <row r="369">
      <c r="A369" s="39">
        <f>IF('Additional Cartons'!B369 = "", "", IF('Additional Cartons-WUO_ERR'!A369 = "", "Validated", HYPERLINK("#" &amp; ADDRESS(369, 'Additional Cartons-WUO_TRK'!A369),_xlfn.TEXTAFTER('Additional Cartons-WUO_ERR'!A369, ":"))))</f>
        <v/>
      </c>
    </row>
    <row r="370">
      <c r="A370" s="39">
        <f>IF('Additional Cartons'!B370 = "", "", IF('Additional Cartons-WUO_ERR'!A370 = "", "Validated", HYPERLINK("#" &amp; ADDRESS(370, 'Additional Cartons-WUO_TRK'!A370),_xlfn.TEXTAFTER('Additional Cartons-WUO_ERR'!A370, ":"))))</f>
        <v/>
      </c>
    </row>
    <row r="371">
      <c r="A371" s="39">
        <f>IF('Additional Cartons'!B371 = "", "", IF('Additional Cartons-WUO_ERR'!A371 = "", "Validated", HYPERLINK("#" &amp; ADDRESS(371, 'Additional Cartons-WUO_TRK'!A371),_xlfn.TEXTAFTER('Additional Cartons-WUO_ERR'!A371, ":"))))</f>
        <v/>
      </c>
    </row>
    <row r="372">
      <c r="A372" s="39">
        <f>IF('Additional Cartons'!B372 = "", "", IF('Additional Cartons-WUO_ERR'!A372 = "", "Validated", HYPERLINK("#" &amp; ADDRESS(372, 'Additional Cartons-WUO_TRK'!A372),_xlfn.TEXTAFTER('Additional Cartons-WUO_ERR'!A372, ":"))))</f>
        <v/>
      </c>
    </row>
    <row r="373">
      <c r="A373" s="39">
        <f>IF('Additional Cartons'!B373 = "", "", IF('Additional Cartons-WUO_ERR'!A373 = "", "Validated", HYPERLINK("#" &amp; ADDRESS(373, 'Additional Cartons-WUO_TRK'!A373),_xlfn.TEXTAFTER('Additional Cartons-WUO_ERR'!A373, ":"))))</f>
        <v/>
      </c>
    </row>
    <row r="374">
      <c r="A374" s="39">
        <f>IF('Additional Cartons'!B374 = "", "", IF('Additional Cartons-WUO_ERR'!A374 = "", "Validated", HYPERLINK("#" &amp; ADDRESS(374, 'Additional Cartons-WUO_TRK'!A374),_xlfn.TEXTAFTER('Additional Cartons-WUO_ERR'!A374, ":"))))</f>
        <v/>
      </c>
    </row>
    <row r="375">
      <c r="A375" s="39">
        <f>IF('Additional Cartons'!B375 = "", "", IF('Additional Cartons-WUO_ERR'!A375 = "", "Validated", HYPERLINK("#" &amp; ADDRESS(375, 'Additional Cartons-WUO_TRK'!A375),_xlfn.TEXTAFTER('Additional Cartons-WUO_ERR'!A375, ":"))))</f>
        <v/>
      </c>
    </row>
    <row r="376">
      <c r="A376" s="39">
        <f>IF('Additional Cartons'!B376 = "", "", IF('Additional Cartons-WUO_ERR'!A376 = "", "Validated", HYPERLINK("#" &amp; ADDRESS(376, 'Additional Cartons-WUO_TRK'!A376),_xlfn.TEXTAFTER('Additional Cartons-WUO_ERR'!A376, ":"))))</f>
        <v/>
      </c>
    </row>
    <row r="377">
      <c r="A377" s="39">
        <f>IF('Additional Cartons'!B377 = "", "", IF('Additional Cartons-WUO_ERR'!A377 = "", "Validated", HYPERLINK("#" &amp; ADDRESS(377, 'Additional Cartons-WUO_TRK'!A377),_xlfn.TEXTAFTER('Additional Cartons-WUO_ERR'!A377, ":"))))</f>
        <v/>
      </c>
    </row>
    <row r="378">
      <c r="A378" s="39">
        <f>IF('Additional Cartons'!B378 = "", "", IF('Additional Cartons-WUO_ERR'!A378 = "", "Validated", HYPERLINK("#" &amp; ADDRESS(378, 'Additional Cartons-WUO_TRK'!A378),_xlfn.TEXTAFTER('Additional Cartons-WUO_ERR'!A378, ":"))))</f>
        <v/>
      </c>
    </row>
    <row r="379">
      <c r="A379" s="39">
        <f>IF('Additional Cartons'!B379 = "", "", IF('Additional Cartons-WUO_ERR'!A379 = "", "Validated", HYPERLINK("#" &amp; ADDRESS(379, 'Additional Cartons-WUO_TRK'!A379),_xlfn.TEXTAFTER('Additional Cartons-WUO_ERR'!A379, ":"))))</f>
        <v/>
      </c>
    </row>
    <row r="380">
      <c r="A380" s="39">
        <f>IF('Additional Cartons'!B380 = "", "", IF('Additional Cartons-WUO_ERR'!A380 = "", "Validated", HYPERLINK("#" &amp; ADDRESS(380, 'Additional Cartons-WUO_TRK'!A380),_xlfn.TEXTAFTER('Additional Cartons-WUO_ERR'!A380, ":"))))</f>
        <v/>
      </c>
    </row>
    <row r="381">
      <c r="A381" s="39">
        <f>IF('Additional Cartons'!B381 = "", "", IF('Additional Cartons-WUO_ERR'!A381 = "", "Validated", HYPERLINK("#" &amp; ADDRESS(381, 'Additional Cartons-WUO_TRK'!A381),_xlfn.TEXTAFTER('Additional Cartons-WUO_ERR'!A381, ":"))))</f>
        <v/>
      </c>
    </row>
    <row r="382">
      <c r="A382" s="39">
        <f>IF('Additional Cartons'!B382 = "", "", IF('Additional Cartons-WUO_ERR'!A382 = "", "Validated", HYPERLINK("#" &amp; ADDRESS(382, 'Additional Cartons-WUO_TRK'!A382),_xlfn.TEXTAFTER('Additional Cartons-WUO_ERR'!A382, ":"))))</f>
        <v/>
      </c>
    </row>
    <row r="383">
      <c r="A383" s="39">
        <f>IF('Additional Cartons'!B383 = "", "", IF('Additional Cartons-WUO_ERR'!A383 = "", "Validated", HYPERLINK("#" &amp; ADDRESS(383, 'Additional Cartons-WUO_TRK'!A383),_xlfn.TEXTAFTER('Additional Cartons-WUO_ERR'!A383, ":"))))</f>
        <v/>
      </c>
    </row>
    <row r="384">
      <c r="A384" s="39">
        <f>IF('Additional Cartons'!B384 = "", "", IF('Additional Cartons-WUO_ERR'!A384 = "", "Validated", HYPERLINK("#" &amp; ADDRESS(384, 'Additional Cartons-WUO_TRK'!A384),_xlfn.TEXTAFTER('Additional Cartons-WUO_ERR'!A384, ":"))))</f>
        <v/>
      </c>
    </row>
    <row r="385">
      <c r="A385" s="39">
        <f>IF('Additional Cartons'!B385 = "", "", IF('Additional Cartons-WUO_ERR'!A385 = "", "Validated", HYPERLINK("#" &amp; ADDRESS(385, 'Additional Cartons-WUO_TRK'!A385),_xlfn.TEXTAFTER('Additional Cartons-WUO_ERR'!A385, ":"))))</f>
        <v/>
      </c>
    </row>
    <row r="386">
      <c r="A386" s="39">
        <f>IF('Additional Cartons'!B386 = "", "", IF('Additional Cartons-WUO_ERR'!A386 = "", "Validated", HYPERLINK("#" &amp; ADDRESS(386, 'Additional Cartons-WUO_TRK'!A386),_xlfn.TEXTAFTER('Additional Cartons-WUO_ERR'!A386, ":"))))</f>
        <v/>
      </c>
    </row>
    <row r="387">
      <c r="A387" s="39">
        <f>IF('Additional Cartons'!B387 = "", "", IF('Additional Cartons-WUO_ERR'!A387 = "", "Validated", HYPERLINK("#" &amp; ADDRESS(387, 'Additional Cartons-WUO_TRK'!A387),_xlfn.TEXTAFTER('Additional Cartons-WUO_ERR'!A387, ":"))))</f>
        <v/>
      </c>
    </row>
    <row r="388">
      <c r="A388" s="39">
        <f>IF('Additional Cartons'!B388 = "", "", IF('Additional Cartons-WUO_ERR'!A388 = "", "Validated", HYPERLINK("#" &amp; ADDRESS(388, 'Additional Cartons-WUO_TRK'!A388),_xlfn.TEXTAFTER('Additional Cartons-WUO_ERR'!A388, ":"))))</f>
        <v/>
      </c>
    </row>
    <row r="389">
      <c r="A389" s="39">
        <f>IF('Additional Cartons'!B389 = "", "", IF('Additional Cartons-WUO_ERR'!A389 = "", "Validated", HYPERLINK("#" &amp; ADDRESS(389, 'Additional Cartons-WUO_TRK'!A389),_xlfn.TEXTAFTER('Additional Cartons-WUO_ERR'!A389, ":"))))</f>
        <v/>
      </c>
    </row>
    <row r="390">
      <c r="A390" s="39">
        <f>IF('Additional Cartons'!B390 = "", "", IF('Additional Cartons-WUO_ERR'!A390 = "", "Validated", HYPERLINK("#" &amp; ADDRESS(390, 'Additional Cartons-WUO_TRK'!A390),_xlfn.TEXTAFTER('Additional Cartons-WUO_ERR'!A390, ":"))))</f>
        <v/>
      </c>
    </row>
    <row r="391">
      <c r="A391" s="39">
        <f>IF('Additional Cartons'!B391 = "", "", IF('Additional Cartons-WUO_ERR'!A391 = "", "Validated", HYPERLINK("#" &amp; ADDRESS(391, 'Additional Cartons-WUO_TRK'!A391),_xlfn.TEXTAFTER('Additional Cartons-WUO_ERR'!A391, ":"))))</f>
        <v/>
      </c>
    </row>
    <row r="392">
      <c r="A392" s="39">
        <f>IF('Additional Cartons'!B392 = "", "", IF('Additional Cartons-WUO_ERR'!A392 = "", "Validated", HYPERLINK("#" &amp; ADDRESS(392, 'Additional Cartons-WUO_TRK'!A392),_xlfn.TEXTAFTER('Additional Cartons-WUO_ERR'!A392, ":"))))</f>
        <v/>
      </c>
    </row>
    <row r="393">
      <c r="A393" s="39">
        <f>IF('Additional Cartons'!B393 = "", "", IF('Additional Cartons-WUO_ERR'!A393 = "", "Validated", HYPERLINK("#" &amp; ADDRESS(393, 'Additional Cartons-WUO_TRK'!A393),_xlfn.TEXTAFTER('Additional Cartons-WUO_ERR'!A393, ":"))))</f>
        <v/>
      </c>
    </row>
    <row r="394">
      <c r="A394" s="39">
        <f>IF('Additional Cartons'!B394 = "", "", IF('Additional Cartons-WUO_ERR'!A394 = "", "Validated", HYPERLINK("#" &amp; ADDRESS(394, 'Additional Cartons-WUO_TRK'!A394),_xlfn.TEXTAFTER('Additional Cartons-WUO_ERR'!A394, ":"))))</f>
        <v/>
      </c>
    </row>
    <row r="395">
      <c r="A395" s="39">
        <f>IF('Additional Cartons'!B395 = "", "", IF('Additional Cartons-WUO_ERR'!A395 = "", "Validated", HYPERLINK("#" &amp; ADDRESS(395, 'Additional Cartons-WUO_TRK'!A395),_xlfn.TEXTAFTER('Additional Cartons-WUO_ERR'!A395, ":"))))</f>
        <v/>
      </c>
    </row>
    <row r="396">
      <c r="A396" s="39">
        <f>IF('Additional Cartons'!B396 = "", "", IF('Additional Cartons-WUO_ERR'!A396 = "", "Validated", HYPERLINK("#" &amp; ADDRESS(396, 'Additional Cartons-WUO_TRK'!A396),_xlfn.TEXTAFTER('Additional Cartons-WUO_ERR'!A396, ":"))))</f>
        <v/>
      </c>
    </row>
    <row r="397">
      <c r="A397" s="39">
        <f>IF('Additional Cartons'!B397 = "", "", IF('Additional Cartons-WUO_ERR'!A397 = "", "Validated", HYPERLINK("#" &amp; ADDRESS(397, 'Additional Cartons-WUO_TRK'!A397),_xlfn.TEXTAFTER('Additional Cartons-WUO_ERR'!A397, ":"))))</f>
        <v/>
      </c>
    </row>
    <row r="398">
      <c r="A398" s="39">
        <f>IF('Additional Cartons'!B398 = "", "", IF('Additional Cartons-WUO_ERR'!A398 = "", "Validated", HYPERLINK("#" &amp; ADDRESS(398, 'Additional Cartons-WUO_TRK'!A398),_xlfn.TEXTAFTER('Additional Cartons-WUO_ERR'!A398, ":"))))</f>
        <v/>
      </c>
    </row>
    <row r="399">
      <c r="A399" s="39">
        <f>IF('Additional Cartons'!B399 = "", "", IF('Additional Cartons-WUO_ERR'!A399 = "", "Validated", HYPERLINK("#" &amp; ADDRESS(399, 'Additional Cartons-WUO_TRK'!A399),_xlfn.TEXTAFTER('Additional Cartons-WUO_ERR'!A399, ":"))))</f>
        <v/>
      </c>
    </row>
    <row r="400">
      <c r="A400" s="39">
        <f>IF('Additional Cartons'!B400 = "", "", IF('Additional Cartons-WUO_ERR'!A400 = "", "Validated", HYPERLINK("#" &amp; ADDRESS(400, 'Additional Cartons-WUO_TRK'!A400),_xlfn.TEXTAFTER('Additional Cartons-WUO_ERR'!A400, ":"))))</f>
        <v/>
      </c>
    </row>
    <row r="401">
      <c r="A401" s="39">
        <f>IF('Additional Cartons'!B401 = "", "", IF('Additional Cartons-WUO_ERR'!A401 = "", "Validated", HYPERLINK("#" &amp; ADDRESS(401, 'Additional Cartons-WUO_TRK'!A401),_xlfn.TEXTAFTER('Additional Cartons-WUO_ERR'!A401, ":"))))</f>
        <v/>
      </c>
    </row>
    <row r="402">
      <c r="A402" s="39">
        <f>IF('Additional Cartons'!B402 = "", "", IF('Additional Cartons-WUO_ERR'!A402 = "", "Validated", HYPERLINK("#" &amp; ADDRESS(402, 'Additional Cartons-WUO_TRK'!A402),_xlfn.TEXTAFTER('Additional Cartons-WUO_ERR'!A402, ":"))))</f>
        <v/>
      </c>
    </row>
    <row r="403">
      <c r="A403" s="39">
        <f>IF('Additional Cartons'!B403 = "", "", IF('Additional Cartons-WUO_ERR'!A403 = "", "Validated", HYPERLINK("#" &amp; ADDRESS(403, 'Additional Cartons-WUO_TRK'!A403),_xlfn.TEXTAFTER('Additional Cartons-WUO_ERR'!A403, ":"))))</f>
        <v/>
      </c>
    </row>
    <row r="404">
      <c r="A404" s="39">
        <f>IF('Additional Cartons'!B404 = "", "", IF('Additional Cartons-WUO_ERR'!A404 = "", "Validated", HYPERLINK("#" &amp; ADDRESS(404, 'Additional Cartons-WUO_TRK'!A404),_xlfn.TEXTAFTER('Additional Cartons-WUO_ERR'!A404, ":"))))</f>
        <v/>
      </c>
    </row>
    <row r="405">
      <c r="A405" s="39">
        <f>IF('Additional Cartons'!B405 = "", "", IF('Additional Cartons-WUO_ERR'!A405 = "", "Validated", HYPERLINK("#" &amp; ADDRESS(405, 'Additional Cartons-WUO_TRK'!A405),_xlfn.TEXTAFTER('Additional Cartons-WUO_ERR'!A405, ":"))))</f>
        <v/>
      </c>
    </row>
    <row r="406">
      <c r="A406" s="39">
        <f>IF('Additional Cartons'!B406 = "", "", IF('Additional Cartons-WUO_ERR'!A406 = "", "Validated", HYPERLINK("#" &amp; ADDRESS(406, 'Additional Cartons-WUO_TRK'!A406),_xlfn.TEXTAFTER('Additional Cartons-WUO_ERR'!A406, ":"))))</f>
        <v/>
      </c>
    </row>
    <row r="407">
      <c r="A407" s="39">
        <f>IF('Additional Cartons'!B407 = "", "", IF('Additional Cartons-WUO_ERR'!A407 = "", "Validated", HYPERLINK("#" &amp; ADDRESS(407, 'Additional Cartons-WUO_TRK'!A407),_xlfn.TEXTAFTER('Additional Cartons-WUO_ERR'!A407, ":"))))</f>
        <v/>
      </c>
    </row>
    <row r="408">
      <c r="A408" s="39">
        <f>IF('Additional Cartons'!B408 = "", "", IF('Additional Cartons-WUO_ERR'!A408 = "", "Validated", HYPERLINK("#" &amp; ADDRESS(408, 'Additional Cartons-WUO_TRK'!A408),_xlfn.TEXTAFTER('Additional Cartons-WUO_ERR'!A408, ":"))))</f>
        <v/>
      </c>
    </row>
    <row r="409">
      <c r="A409" s="39">
        <f>IF('Additional Cartons'!B409 = "", "", IF('Additional Cartons-WUO_ERR'!A409 = "", "Validated", HYPERLINK("#" &amp; ADDRESS(409, 'Additional Cartons-WUO_TRK'!A409),_xlfn.TEXTAFTER('Additional Cartons-WUO_ERR'!A409, ":"))))</f>
        <v/>
      </c>
    </row>
    <row r="410">
      <c r="A410" s="39">
        <f>IF('Additional Cartons'!B410 = "", "", IF('Additional Cartons-WUO_ERR'!A410 = "", "Validated", HYPERLINK("#" &amp; ADDRESS(410, 'Additional Cartons-WUO_TRK'!A410),_xlfn.TEXTAFTER('Additional Cartons-WUO_ERR'!A410, ":"))))</f>
        <v/>
      </c>
    </row>
    <row r="411">
      <c r="A411" s="39">
        <f>IF('Additional Cartons'!B411 = "", "", IF('Additional Cartons-WUO_ERR'!A411 = "", "Validated", HYPERLINK("#" &amp; ADDRESS(411, 'Additional Cartons-WUO_TRK'!A411),_xlfn.TEXTAFTER('Additional Cartons-WUO_ERR'!A411, ":"))))</f>
        <v/>
      </c>
    </row>
    <row r="412">
      <c r="A412" s="39">
        <f>IF('Additional Cartons'!B412 = "", "", IF('Additional Cartons-WUO_ERR'!A412 = "", "Validated", HYPERLINK("#" &amp; ADDRESS(412, 'Additional Cartons-WUO_TRK'!A412),_xlfn.TEXTAFTER('Additional Cartons-WUO_ERR'!A412, ":"))))</f>
        <v/>
      </c>
    </row>
    <row r="413">
      <c r="A413" s="39">
        <f>IF('Additional Cartons'!B413 = "", "", IF('Additional Cartons-WUO_ERR'!A413 = "", "Validated", HYPERLINK("#" &amp; ADDRESS(413, 'Additional Cartons-WUO_TRK'!A413),_xlfn.TEXTAFTER('Additional Cartons-WUO_ERR'!A413, ":"))))</f>
        <v/>
      </c>
    </row>
    <row r="414">
      <c r="A414" s="39">
        <f>IF('Additional Cartons'!B414 = "", "", IF('Additional Cartons-WUO_ERR'!A414 = "", "Validated", HYPERLINK("#" &amp; ADDRESS(414, 'Additional Cartons-WUO_TRK'!A414),_xlfn.TEXTAFTER('Additional Cartons-WUO_ERR'!A414, ":"))))</f>
        <v/>
      </c>
    </row>
    <row r="415">
      <c r="A415" s="39">
        <f>IF('Additional Cartons'!B415 = "", "", IF('Additional Cartons-WUO_ERR'!A415 = "", "Validated", HYPERLINK("#" &amp; ADDRESS(415, 'Additional Cartons-WUO_TRK'!A415),_xlfn.TEXTAFTER('Additional Cartons-WUO_ERR'!A415, ":"))))</f>
        <v/>
      </c>
    </row>
    <row r="416">
      <c r="A416" s="39">
        <f>IF('Additional Cartons'!B416 = "", "", IF('Additional Cartons-WUO_ERR'!A416 = "", "Validated", HYPERLINK("#" &amp; ADDRESS(416, 'Additional Cartons-WUO_TRK'!A416),_xlfn.TEXTAFTER('Additional Cartons-WUO_ERR'!A416, ":"))))</f>
        <v/>
      </c>
    </row>
    <row r="417">
      <c r="A417" s="39">
        <f>IF('Additional Cartons'!B417 = "", "", IF('Additional Cartons-WUO_ERR'!A417 = "", "Validated", HYPERLINK("#" &amp; ADDRESS(417, 'Additional Cartons-WUO_TRK'!A417),_xlfn.TEXTAFTER('Additional Cartons-WUO_ERR'!A417, ":"))))</f>
        <v/>
      </c>
    </row>
    <row r="418">
      <c r="A418" s="39">
        <f>IF('Additional Cartons'!B418 = "", "", IF('Additional Cartons-WUO_ERR'!A418 = "", "Validated", HYPERLINK("#" &amp; ADDRESS(418, 'Additional Cartons-WUO_TRK'!A418),_xlfn.TEXTAFTER('Additional Cartons-WUO_ERR'!A418, ":"))))</f>
        <v/>
      </c>
    </row>
    <row r="419">
      <c r="A419" s="39">
        <f>IF('Additional Cartons'!B419 = "", "", IF('Additional Cartons-WUO_ERR'!A419 = "", "Validated", HYPERLINK("#" &amp; ADDRESS(419, 'Additional Cartons-WUO_TRK'!A419),_xlfn.TEXTAFTER('Additional Cartons-WUO_ERR'!A419, ":"))))</f>
        <v/>
      </c>
    </row>
    <row r="420">
      <c r="A420" s="39">
        <f>IF('Additional Cartons'!B420 = "", "", IF('Additional Cartons-WUO_ERR'!A420 = "", "Validated", HYPERLINK("#" &amp; ADDRESS(420, 'Additional Cartons-WUO_TRK'!A420),_xlfn.TEXTAFTER('Additional Cartons-WUO_ERR'!A420, ":"))))</f>
        <v/>
      </c>
    </row>
    <row r="421">
      <c r="A421" s="39">
        <f>IF('Additional Cartons'!B421 = "", "", IF('Additional Cartons-WUO_ERR'!A421 = "", "Validated", HYPERLINK("#" &amp; ADDRESS(421, 'Additional Cartons-WUO_TRK'!A421),_xlfn.TEXTAFTER('Additional Cartons-WUO_ERR'!A421, ":"))))</f>
        <v/>
      </c>
    </row>
    <row r="422">
      <c r="A422" s="39">
        <f>IF('Additional Cartons'!B422 = "", "", IF('Additional Cartons-WUO_ERR'!A422 = "", "Validated", HYPERLINK("#" &amp; ADDRESS(422, 'Additional Cartons-WUO_TRK'!A422),_xlfn.TEXTAFTER('Additional Cartons-WUO_ERR'!A422, ":"))))</f>
        <v/>
      </c>
    </row>
    <row r="423">
      <c r="A423" s="39">
        <f>IF('Additional Cartons'!B423 = "", "", IF('Additional Cartons-WUO_ERR'!A423 = "", "Validated", HYPERLINK("#" &amp; ADDRESS(423, 'Additional Cartons-WUO_TRK'!A423),_xlfn.TEXTAFTER('Additional Cartons-WUO_ERR'!A423, ":"))))</f>
        <v/>
      </c>
    </row>
    <row r="424">
      <c r="A424" s="39">
        <f>IF('Additional Cartons'!B424 = "", "", IF('Additional Cartons-WUO_ERR'!A424 = "", "Validated", HYPERLINK("#" &amp; ADDRESS(424, 'Additional Cartons-WUO_TRK'!A424),_xlfn.TEXTAFTER('Additional Cartons-WUO_ERR'!A424, ":"))))</f>
        <v/>
      </c>
    </row>
    <row r="425">
      <c r="A425" s="39">
        <f>IF('Additional Cartons'!B425 = "", "", IF('Additional Cartons-WUO_ERR'!A425 = "", "Validated", HYPERLINK("#" &amp; ADDRESS(425, 'Additional Cartons-WUO_TRK'!A425),_xlfn.TEXTAFTER('Additional Cartons-WUO_ERR'!A425, ":"))))</f>
        <v/>
      </c>
    </row>
    <row r="426">
      <c r="A426" s="39">
        <f>IF('Additional Cartons'!B426 = "", "", IF('Additional Cartons-WUO_ERR'!A426 = "", "Validated", HYPERLINK("#" &amp; ADDRESS(426, 'Additional Cartons-WUO_TRK'!A426),_xlfn.TEXTAFTER('Additional Cartons-WUO_ERR'!A426, ":"))))</f>
        <v/>
      </c>
    </row>
    <row r="427">
      <c r="A427" s="39">
        <f>IF('Additional Cartons'!B427 = "", "", IF('Additional Cartons-WUO_ERR'!A427 = "", "Validated", HYPERLINK("#" &amp; ADDRESS(427, 'Additional Cartons-WUO_TRK'!A427),_xlfn.TEXTAFTER('Additional Cartons-WUO_ERR'!A427, ":"))))</f>
        <v/>
      </c>
    </row>
    <row r="428">
      <c r="A428" s="39">
        <f>IF('Additional Cartons'!B428 = "", "", IF('Additional Cartons-WUO_ERR'!A428 = "", "Validated", HYPERLINK("#" &amp; ADDRESS(428, 'Additional Cartons-WUO_TRK'!A428),_xlfn.TEXTAFTER('Additional Cartons-WUO_ERR'!A428, ":"))))</f>
        <v/>
      </c>
    </row>
    <row r="429">
      <c r="A429" s="39">
        <f>IF('Additional Cartons'!B429 = "", "", IF('Additional Cartons-WUO_ERR'!A429 = "", "Validated", HYPERLINK("#" &amp; ADDRESS(429, 'Additional Cartons-WUO_TRK'!A429),_xlfn.TEXTAFTER('Additional Cartons-WUO_ERR'!A429, ":"))))</f>
        <v/>
      </c>
    </row>
    <row r="430">
      <c r="A430" s="39">
        <f>IF('Additional Cartons'!B430 = "", "", IF('Additional Cartons-WUO_ERR'!A430 = "", "Validated", HYPERLINK("#" &amp; ADDRESS(430, 'Additional Cartons-WUO_TRK'!A430),_xlfn.TEXTAFTER('Additional Cartons-WUO_ERR'!A430, ":"))))</f>
        <v/>
      </c>
    </row>
    <row r="431">
      <c r="A431" s="39">
        <f>IF('Additional Cartons'!B431 = "", "", IF('Additional Cartons-WUO_ERR'!A431 = "", "Validated", HYPERLINK("#" &amp; ADDRESS(431, 'Additional Cartons-WUO_TRK'!A431),_xlfn.TEXTAFTER('Additional Cartons-WUO_ERR'!A431, ":"))))</f>
        <v/>
      </c>
    </row>
    <row r="432">
      <c r="A432" s="39">
        <f>IF('Additional Cartons'!B432 = "", "", IF('Additional Cartons-WUO_ERR'!A432 = "", "Validated", HYPERLINK("#" &amp; ADDRESS(432, 'Additional Cartons-WUO_TRK'!A432),_xlfn.TEXTAFTER('Additional Cartons-WUO_ERR'!A432, ":"))))</f>
        <v/>
      </c>
    </row>
    <row r="433">
      <c r="A433" s="39">
        <f>IF('Additional Cartons'!B433 = "", "", IF('Additional Cartons-WUO_ERR'!A433 = "", "Validated", HYPERLINK("#" &amp; ADDRESS(433, 'Additional Cartons-WUO_TRK'!A433),_xlfn.TEXTAFTER('Additional Cartons-WUO_ERR'!A433, ":"))))</f>
        <v/>
      </c>
    </row>
    <row r="434">
      <c r="A434" s="39">
        <f>IF('Additional Cartons'!B434 = "", "", IF('Additional Cartons-WUO_ERR'!A434 = "", "Validated", HYPERLINK("#" &amp; ADDRESS(434, 'Additional Cartons-WUO_TRK'!A434),_xlfn.TEXTAFTER('Additional Cartons-WUO_ERR'!A434, ":"))))</f>
        <v/>
      </c>
    </row>
    <row r="435">
      <c r="A435" s="39">
        <f>IF('Additional Cartons'!B435 = "", "", IF('Additional Cartons-WUO_ERR'!A435 = "", "Validated", HYPERLINK("#" &amp; ADDRESS(435, 'Additional Cartons-WUO_TRK'!A435),_xlfn.TEXTAFTER('Additional Cartons-WUO_ERR'!A435, ":"))))</f>
        <v/>
      </c>
    </row>
    <row r="436">
      <c r="A436" s="39">
        <f>IF('Additional Cartons'!B436 = "", "", IF('Additional Cartons-WUO_ERR'!A436 = "", "Validated", HYPERLINK("#" &amp; ADDRESS(436, 'Additional Cartons-WUO_TRK'!A436),_xlfn.TEXTAFTER('Additional Cartons-WUO_ERR'!A436, ":"))))</f>
        <v/>
      </c>
    </row>
    <row r="437">
      <c r="A437" s="39">
        <f>IF('Additional Cartons'!B437 = "", "", IF('Additional Cartons-WUO_ERR'!A437 = "", "Validated", HYPERLINK("#" &amp; ADDRESS(437, 'Additional Cartons-WUO_TRK'!A437),_xlfn.TEXTAFTER('Additional Cartons-WUO_ERR'!A437, ":"))))</f>
        <v/>
      </c>
    </row>
    <row r="438">
      <c r="A438" s="39">
        <f>IF('Additional Cartons'!B438 = "", "", IF('Additional Cartons-WUO_ERR'!A438 = "", "Validated", HYPERLINK("#" &amp; ADDRESS(438, 'Additional Cartons-WUO_TRK'!A438),_xlfn.TEXTAFTER('Additional Cartons-WUO_ERR'!A438, ":"))))</f>
        <v/>
      </c>
    </row>
    <row r="439">
      <c r="A439" s="39">
        <f>IF('Additional Cartons'!B439 = "", "", IF('Additional Cartons-WUO_ERR'!A439 = "", "Validated", HYPERLINK("#" &amp; ADDRESS(439, 'Additional Cartons-WUO_TRK'!A439),_xlfn.TEXTAFTER('Additional Cartons-WUO_ERR'!A439, ":"))))</f>
        <v/>
      </c>
    </row>
    <row r="440">
      <c r="A440" s="39">
        <f>IF('Additional Cartons'!B440 = "", "", IF('Additional Cartons-WUO_ERR'!A440 = "", "Validated", HYPERLINK("#" &amp; ADDRESS(440, 'Additional Cartons-WUO_TRK'!A440),_xlfn.TEXTAFTER('Additional Cartons-WUO_ERR'!A440, ":"))))</f>
        <v/>
      </c>
    </row>
    <row r="441">
      <c r="A441" s="39">
        <f>IF('Additional Cartons'!B441 = "", "", IF('Additional Cartons-WUO_ERR'!A441 = "", "Validated", HYPERLINK("#" &amp; ADDRESS(441, 'Additional Cartons-WUO_TRK'!A441),_xlfn.TEXTAFTER('Additional Cartons-WUO_ERR'!A441, ":"))))</f>
        <v/>
      </c>
    </row>
    <row r="442">
      <c r="A442" s="39">
        <f>IF('Additional Cartons'!B442 = "", "", IF('Additional Cartons-WUO_ERR'!A442 = "", "Validated", HYPERLINK("#" &amp; ADDRESS(442, 'Additional Cartons-WUO_TRK'!A442),_xlfn.TEXTAFTER('Additional Cartons-WUO_ERR'!A442, ":"))))</f>
        <v/>
      </c>
    </row>
    <row r="443">
      <c r="A443" s="39">
        <f>IF('Additional Cartons'!B443 = "", "", IF('Additional Cartons-WUO_ERR'!A443 = "", "Validated", HYPERLINK("#" &amp; ADDRESS(443, 'Additional Cartons-WUO_TRK'!A443),_xlfn.TEXTAFTER('Additional Cartons-WUO_ERR'!A443, ":"))))</f>
        <v/>
      </c>
    </row>
    <row r="444">
      <c r="A444" s="39">
        <f>IF('Additional Cartons'!B444 = "", "", IF('Additional Cartons-WUO_ERR'!A444 = "", "Validated", HYPERLINK("#" &amp; ADDRESS(444, 'Additional Cartons-WUO_TRK'!A444),_xlfn.TEXTAFTER('Additional Cartons-WUO_ERR'!A444, ":"))))</f>
        <v/>
      </c>
    </row>
    <row r="445">
      <c r="A445" s="39">
        <f>IF('Additional Cartons'!B445 = "", "", IF('Additional Cartons-WUO_ERR'!A445 = "", "Validated", HYPERLINK("#" &amp; ADDRESS(445, 'Additional Cartons-WUO_TRK'!A445),_xlfn.TEXTAFTER('Additional Cartons-WUO_ERR'!A445, ":"))))</f>
        <v/>
      </c>
    </row>
    <row r="446">
      <c r="A446" s="39">
        <f>IF('Additional Cartons'!B446 = "", "", IF('Additional Cartons-WUO_ERR'!A446 = "", "Validated", HYPERLINK("#" &amp; ADDRESS(446, 'Additional Cartons-WUO_TRK'!A446),_xlfn.TEXTAFTER('Additional Cartons-WUO_ERR'!A446, ":"))))</f>
        <v/>
      </c>
    </row>
    <row r="447">
      <c r="A447" s="39">
        <f>IF('Additional Cartons'!B447 = "", "", IF('Additional Cartons-WUO_ERR'!A447 = "", "Validated", HYPERLINK("#" &amp; ADDRESS(447, 'Additional Cartons-WUO_TRK'!A447),_xlfn.TEXTAFTER('Additional Cartons-WUO_ERR'!A447, ":"))))</f>
        <v/>
      </c>
    </row>
    <row r="448">
      <c r="A448" s="39">
        <f>IF('Additional Cartons'!B448 = "", "", IF('Additional Cartons-WUO_ERR'!A448 = "", "Validated", HYPERLINK("#" &amp; ADDRESS(448, 'Additional Cartons-WUO_TRK'!A448),_xlfn.TEXTAFTER('Additional Cartons-WUO_ERR'!A448, ":"))))</f>
        <v/>
      </c>
    </row>
    <row r="449">
      <c r="A449" s="39">
        <f>IF('Additional Cartons'!B449 = "", "", IF('Additional Cartons-WUO_ERR'!A449 = "", "Validated", HYPERLINK("#" &amp; ADDRESS(449, 'Additional Cartons-WUO_TRK'!A449),_xlfn.TEXTAFTER('Additional Cartons-WUO_ERR'!A449, ":"))))</f>
        <v/>
      </c>
    </row>
    <row r="450">
      <c r="A450" s="39">
        <f>IF('Additional Cartons'!B450 = "", "", IF('Additional Cartons-WUO_ERR'!A450 = "", "Validated", HYPERLINK("#" &amp; ADDRESS(450, 'Additional Cartons-WUO_TRK'!A450),_xlfn.TEXTAFTER('Additional Cartons-WUO_ERR'!A450, ":"))))</f>
        <v/>
      </c>
    </row>
    <row r="451">
      <c r="A451" s="39">
        <f>IF('Additional Cartons'!B451 = "", "", IF('Additional Cartons-WUO_ERR'!A451 = "", "Validated", HYPERLINK("#" &amp; ADDRESS(451, 'Additional Cartons-WUO_TRK'!A451),_xlfn.TEXTAFTER('Additional Cartons-WUO_ERR'!A451, ":"))))</f>
        <v/>
      </c>
    </row>
    <row r="452">
      <c r="A452" s="39">
        <f>IF('Additional Cartons'!B452 = "", "", IF('Additional Cartons-WUO_ERR'!A452 = "", "Validated", HYPERLINK("#" &amp; ADDRESS(452, 'Additional Cartons-WUO_TRK'!A452),_xlfn.TEXTAFTER('Additional Cartons-WUO_ERR'!A452, ":"))))</f>
        <v/>
      </c>
    </row>
    <row r="453">
      <c r="A453" s="39">
        <f>IF('Additional Cartons'!B453 = "", "", IF('Additional Cartons-WUO_ERR'!A453 = "", "Validated", HYPERLINK("#" &amp; ADDRESS(453, 'Additional Cartons-WUO_TRK'!A453),_xlfn.TEXTAFTER('Additional Cartons-WUO_ERR'!A453, ":"))))</f>
        <v/>
      </c>
    </row>
    <row r="454">
      <c r="A454" s="39">
        <f>IF('Additional Cartons'!B454 = "", "", IF('Additional Cartons-WUO_ERR'!A454 = "", "Validated", HYPERLINK("#" &amp; ADDRESS(454, 'Additional Cartons-WUO_TRK'!A454),_xlfn.TEXTAFTER('Additional Cartons-WUO_ERR'!A454, ":"))))</f>
        <v/>
      </c>
    </row>
    <row r="455">
      <c r="A455" s="39">
        <f>IF('Additional Cartons'!B455 = "", "", IF('Additional Cartons-WUO_ERR'!A455 = "", "Validated", HYPERLINK("#" &amp; ADDRESS(455, 'Additional Cartons-WUO_TRK'!A455),_xlfn.TEXTAFTER('Additional Cartons-WUO_ERR'!A455, ":"))))</f>
        <v/>
      </c>
    </row>
    <row r="456">
      <c r="A456" s="39">
        <f>IF('Additional Cartons'!B456 = "", "", IF('Additional Cartons-WUO_ERR'!A456 = "", "Validated", HYPERLINK("#" &amp; ADDRESS(456, 'Additional Cartons-WUO_TRK'!A456),_xlfn.TEXTAFTER('Additional Cartons-WUO_ERR'!A456, ":"))))</f>
        <v/>
      </c>
    </row>
    <row r="457">
      <c r="A457" s="39">
        <f>IF('Additional Cartons'!B457 = "", "", IF('Additional Cartons-WUO_ERR'!A457 = "", "Validated", HYPERLINK("#" &amp; ADDRESS(457, 'Additional Cartons-WUO_TRK'!A457),_xlfn.TEXTAFTER('Additional Cartons-WUO_ERR'!A457, ":"))))</f>
        <v/>
      </c>
    </row>
    <row r="458">
      <c r="A458" s="39">
        <f>IF('Additional Cartons'!B458 = "", "", IF('Additional Cartons-WUO_ERR'!A458 = "", "Validated", HYPERLINK("#" &amp; ADDRESS(458, 'Additional Cartons-WUO_TRK'!A458),_xlfn.TEXTAFTER('Additional Cartons-WUO_ERR'!A458, ":"))))</f>
        <v/>
      </c>
    </row>
    <row r="459">
      <c r="A459" s="39">
        <f>IF('Additional Cartons'!B459 = "", "", IF('Additional Cartons-WUO_ERR'!A459 = "", "Validated", HYPERLINK("#" &amp; ADDRESS(459, 'Additional Cartons-WUO_TRK'!A459),_xlfn.TEXTAFTER('Additional Cartons-WUO_ERR'!A459, ":"))))</f>
        <v/>
      </c>
    </row>
    <row r="460">
      <c r="A460" s="39">
        <f>IF('Additional Cartons'!B460 = "", "", IF('Additional Cartons-WUO_ERR'!A460 = "", "Validated", HYPERLINK("#" &amp; ADDRESS(460, 'Additional Cartons-WUO_TRK'!A460),_xlfn.TEXTAFTER('Additional Cartons-WUO_ERR'!A460, ":"))))</f>
        <v/>
      </c>
    </row>
    <row r="461">
      <c r="A461" s="39">
        <f>IF('Additional Cartons'!B461 = "", "", IF('Additional Cartons-WUO_ERR'!A461 = "", "Validated", HYPERLINK("#" &amp; ADDRESS(461, 'Additional Cartons-WUO_TRK'!A461),_xlfn.TEXTAFTER('Additional Cartons-WUO_ERR'!A461, ":"))))</f>
        <v/>
      </c>
    </row>
    <row r="462">
      <c r="A462" s="39">
        <f>IF('Additional Cartons'!B462 = "", "", IF('Additional Cartons-WUO_ERR'!A462 = "", "Validated", HYPERLINK("#" &amp; ADDRESS(462, 'Additional Cartons-WUO_TRK'!A462),_xlfn.TEXTAFTER('Additional Cartons-WUO_ERR'!A462, ":"))))</f>
        <v/>
      </c>
    </row>
    <row r="463">
      <c r="A463" s="39">
        <f>IF('Additional Cartons'!B463 = "", "", IF('Additional Cartons-WUO_ERR'!A463 = "", "Validated", HYPERLINK("#" &amp; ADDRESS(463, 'Additional Cartons-WUO_TRK'!A463),_xlfn.TEXTAFTER('Additional Cartons-WUO_ERR'!A463, ":"))))</f>
        <v/>
      </c>
    </row>
    <row r="464">
      <c r="A464" s="39">
        <f>IF('Additional Cartons'!B464 = "", "", IF('Additional Cartons-WUO_ERR'!A464 = "", "Validated", HYPERLINK("#" &amp; ADDRESS(464, 'Additional Cartons-WUO_TRK'!A464),_xlfn.TEXTAFTER('Additional Cartons-WUO_ERR'!A464, ":"))))</f>
        <v/>
      </c>
    </row>
    <row r="465">
      <c r="A465" s="39">
        <f>IF('Additional Cartons'!B465 = "", "", IF('Additional Cartons-WUO_ERR'!A465 = "", "Validated", HYPERLINK("#" &amp; ADDRESS(465, 'Additional Cartons-WUO_TRK'!A465),_xlfn.TEXTAFTER('Additional Cartons-WUO_ERR'!A465, ":"))))</f>
        <v/>
      </c>
    </row>
    <row r="466">
      <c r="A466" s="39">
        <f>IF('Additional Cartons'!B466 = "", "", IF('Additional Cartons-WUO_ERR'!A466 = "", "Validated", HYPERLINK("#" &amp; ADDRESS(466, 'Additional Cartons-WUO_TRK'!A466),_xlfn.TEXTAFTER('Additional Cartons-WUO_ERR'!A466, ":"))))</f>
        <v/>
      </c>
    </row>
    <row r="467">
      <c r="A467" s="39">
        <f>IF('Additional Cartons'!B467 = "", "", IF('Additional Cartons-WUO_ERR'!A467 = "", "Validated", HYPERLINK("#" &amp; ADDRESS(467, 'Additional Cartons-WUO_TRK'!A467),_xlfn.TEXTAFTER('Additional Cartons-WUO_ERR'!A467, ":"))))</f>
        <v/>
      </c>
    </row>
    <row r="468">
      <c r="A468" s="39">
        <f>IF('Additional Cartons'!B468 = "", "", IF('Additional Cartons-WUO_ERR'!A468 = "", "Validated", HYPERLINK("#" &amp; ADDRESS(468, 'Additional Cartons-WUO_TRK'!A468),_xlfn.TEXTAFTER('Additional Cartons-WUO_ERR'!A468, ":"))))</f>
        <v/>
      </c>
    </row>
    <row r="469">
      <c r="A469" s="39">
        <f>IF('Additional Cartons'!B469 = "", "", IF('Additional Cartons-WUO_ERR'!A469 = "", "Validated", HYPERLINK("#" &amp; ADDRESS(469, 'Additional Cartons-WUO_TRK'!A469),_xlfn.TEXTAFTER('Additional Cartons-WUO_ERR'!A469, ":"))))</f>
        <v/>
      </c>
    </row>
    <row r="470">
      <c r="A470" s="39">
        <f>IF('Additional Cartons'!B470 = "", "", IF('Additional Cartons-WUO_ERR'!A470 = "", "Validated", HYPERLINK("#" &amp; ADDRESS(470, 'Additional Cartons-WUO_TRK'!A470),_xlfn.TEXTAFTER('Additional Cartons-WUO_ERR'!A470, ":"))))</f>
        <v/>
      </c>
    </row>
    <row r="471">
      <c r="A471" s="39">
        <f>IF('Additional Cartons'!B471 = "", "", IF('Additional Cartons-WUO_ERR'!A471 = "", "Validated", HYPERLINK("#" &amp; ADDRESS(471, 'Additional Cartons-WUO_TRK'!A471),_xlfn.TEXTAFTER('Additional Cartons-WUO_ERR'!A471, ":"))))</f>
        <v/>
      </c>
    </row>
    <row r="472">
      <c r="A472" s="39">
        <f>IF('Additional Cartons'!B472 = "", "", IF('Additional Cartons-WUO_ERR'!A472 = "", "Validated", HYPERLINK("#" &amp; ADDRESS(472, 'Additional Cartons-WUO_TRK'!A472),_xlfn.TEXTAFTER('Additional Cartons-WUO_ERR'!A472, ":"))))</f>
        <v/>
      </c>
    </row>
    <row r="473">
      <c r="A473" s="39">
        <f>IF('Additional Cartons'!B473 = "", "", IF('Additional Cartons-WUO_ERR'!A473 = "", "Validated", HYPERLINK("#" &amp; ADDRESS(473, 'Additional Cartons-WUO_TRK'!A473),_xlfn.TEXTAFTER('Additional Cartons-WUO_ERR'!A473, ":"))))</f>
        <v/>
      </c>
    </row>
    <row r="474">
      <c r="A474" s="39">
        <f>IF('Additional Cartons'!B474 = "", "", IF('Additional Cartons-WUO_ERR'!A474 = "", "Validated", HYPERLINK("#" &amp; ADDRESS(474, 'Additional Cartons-WUO_TRK'!A474),_xlfn.TEXTAFTER('Additional Cartons-WUO_ERR'!A474, ":"))))</f>
        <v/>
      </c>
    </row>
    <row r="475">
      <c r="A475" s="39">
        <f>IF('Additional Cartons'!B475 = "", "", IF('Additional Cartons-WUO_ERR'!A475 = "", "Validated", HYPERLINK("#" &amp; ADDRESS(475, 'Additional Cartons-WUO_TRK'!A475),_xlfn.TEXTAFTER('Additional Cartons-WUO_ERR'!A475, ":"))))</f>
        <v/>
      </c>
    </row>
    <row r="476">
      <c r="A476" s="39">
        <f>IF('Additional Cartons'!B476 = "", "", IF('Additional Cartons-WUO_ERR'!A476 = "", "Validated", HYPERLINK("#" &amp; ADDRESS(476, 'Additional Cartons-WUO_TRK'!A476),_xlfn.TEXTAFTER('Additional Cartons-WUO_ERR'!A476, ":"))))</f>
        <v/>
      </c>
    </row>
    <row r="477">
      <c r="A477" s="39">
        <f>IF('Additional Cartons'!B477 = "", "", IF('Additional Cartons-WUO_ERR'!A477 = "", "Validated", HYPERLINK("#" &amp; ADDRESS(477, 'Additional Cartons-WUO_TRK'!A477),_xlfn.TEXTAFTER('Additional Cartons-WUO_ERR'!A477, ":"))))</f>
        <v/>
      </c>
    </row>
    <row r="478">
      <c r="A478" s="39">
        <f>IF('Additional Cartons'!B478 = "", "", IF('Additional Cartons-WUO_ERR'!A478 = "", "Validated", HYPERLINK("#" &amp; ADDRESS(478, 'Additional Cartons-WUO_TRK'!A478),_xlfn.TEXTAFTER('Additional Cartons-WUO_ERR'!A478, ":"))))</f>
        <v/>
      </c>
    </row>
    <row r="479">
      <c r="A479" s="39">
        <f>IF('Additional Cartons'!B479 = "", "", IF('Additional Cartons-WUO_ERR'!A479 = "", "Validated", HYPERLINK("#" &amp; ADDRESS(479, 'Additional Cartons-WUO_TRK'!A479),_xlfn.TEXTAFTER('Additional Cartons-WUO_ERR'!A479, ":"))))</f>
        <v/>
      </c>
    </row>
    <row r="480">
      <c r="A480" s="39">
        <f>IF('Additional Cartons'!B480 = "", "", IF('Additional Cartons-WUO_ERR'!A480 = "", "Validated", HYPERLINK("#" &amp; ADDRESS(480, 'Additional Cartons-WUO_TRK'!A480),_xlfn.TEXTAFTER('Additional Cartons-WUO_ERR'!A480, ":"))))</f>
        <v/>
      </c>
    </row>
    <row r="481">
      <c r="A481" s="39">
        <f>IF('Additional Cartons'!B481 = "", "", IF('Additional Cartons-WUO_ERR'!A481 = "", "Validated", HYPERLINK("#" &amp; ADDRESS(481, 'Additional Cartons-WUO_TRK'!A481),_xlfn.TEXTAFTER('Additional Cartons-WUO_ERR'!A481, ":"))))</f>
        <v/>
      </c>
    </row>
    <row r="482">
      <c r="A482" s="39">
        <f>IF('Additional Cartons'!B482 = "", "", IF('Additional Cartons-WUO_ERR'!A482 = "", "Validated", HYPERLINK("#" &amp; ADDRESS(482, 'Additional Cartons-WUO_TRK'!A482),_xlfn.TEXTAFTER('Additional Cartons-WUO_ERR'!A482, ":"))))</f>
        <v/>
      </c>
    </row>
    <row r="483">
      <c r="A483" s="39">
        <f>IF('Additional Cartons'!B483 = "", "", IF('Additional Cartons-WUO_ERR'!A483 = "", "Validated", HYPERLINK("#" &amp; ADDRESS(483, 'Additional Cartons-WUO_TRK'!A483),_xlfn.TEXTAFTER('Additional Cartons-WUO_ERR'!A483, ":"))))</f>
        <v/>
      </c>
    </row>
    <row r="484">
      <c r="A484" s="39">
        <f>IF('Additional Cartons'!B484 = "", "", IF('Additional Cartons-WUO_ERR'!A484 = "", "Validated", HYPERLINK("#" &amp; ADDRESS(484, 'Additional Cartons-WUO_TRK'!A484),_xlfn.TEXTAFTER('Additional Cartons-WUO_ERR'!A484, ":"))))</f>
        <v/>
      </c>
    </row>
    <row r="485">
      <c r="A485" s="39">
        <f>IF('Additional Cartons'!B485 = "", "", IF('Additional Cartons-WUO_ERR'!A485 = "", "Validated", HYPERLINK("#" &amp; ADDRESS(485, 'Additional Cartons-WUO_TRK'!A485),_xlfn.TEXTAFTER('Additional Cartons-WUO_ERR'!A485, ":"))))</f>
        <v/>
      </c>
    </row>
    <row r="486">
      <c r="A486" s="39">
        <f>IF('Additional Cartons'!B486 = "", "", IF('Additional Cartons-WUO_ERR'!A486 = "", "Validated", HYPERLINK("#" &amp; ADDRESS(486, 'Additional Cartons-WUO_TRK'!A486),_xlfn.TEXTAFTER('Additional Cartons-WUO_ERR'!A486, ":"))))</f>
        <v/>
      </c>
    </row>
    <row r="487">
      <c r="A487" s="39">
        <f>IF('Additional Cartons'!B487 = "", "", IF('Additional Cartons-WUO_ERR'!A487 = "", "Validated", HYPERLINK("#" &amp; ADDRESS(487, 'Additional Cartons-WUO_TRK'!A487),_xlfn.TEXTAFTER('Additional Cartons-WUO_ERR'!A487, ":"))))</f>
        <v/>
      </c>
    </row>
    <row r="488">
      <c r="A488" s="39">
        <f>IF('Additional Cartons'!B488 = "", "", IF('Additional Cartons-WUO_ERR'!A488 = "", "Validated", HYPERLINK("#" &amp; ADDRESS(488, 'Additional Cartons-WUO_TRK'!A488),_xlfn.TEXTAFTER('Additional Cartons-WUO_ERR'!A488, ":"))))</f>
        <v/>
      </c>
    </row>
    <row r="489">
      <c r="A489" s="39">
        <f>IF('Additional Cartons'!B489 = "", "", IF('Additional Cartons-WUO_ERR'!A489 = "", "Validated", HYPERLINK("#" &amp; ADDRESS(489, 'Additional Cartons-WUO_TRK'!A489),_xlfn.TEXTAFTER('Additional Cartons-WUO_ERR'!A489, ":"))))</f>
        <v/>
      </c>
    </row>
    <row r="490">
      <c r="A490" s="39">
        <f>IF('Additional Cartons'!B490 = "", "", IF('Additional Cartons-WUO_ERR'!A490 = "", "Validated", HYPERLINK("#" &amp; ADDRESS(490, 'Additional Cartons-WUO_TRK'!A490),_xlfn.TEXTAFTER('Additional Cartons-WUO_ERR'!A490, ":"))))</f>
        <v/>
      </c>
    </row>
    <row r="491">
      <c r="A491" s="39">
        <f>IF('Additional Cartons'!B491 = "", "", IF('Additional Cartons-WUO_ERR'!A491 = "", "Validated", HYPERLINK("#" &amp; ADDRESS(491, 'Additional Cartons-WUO_TRK'!A491),_xlfn.TEXTAFTER('Additional Cartons-WUO_ERR'!A491, ":"))))</f>
        <v/>
      </c>
    </row>
    <row r="492">
      <c r="A492" s="39">
        <f>IF('Additional Cartons'!B492 = "", "", IF('Additional Cartons-WUO_ERR'!A492 = "", "Validated", HYPERLINK("#" &amp; ADDRESS(492, 'Additional Cartons-WUO_TRK'!A492),_xlfn.TEXTAFTER('Additional Cartons-WUO_ERR'!A492, ":"))))</f>
        <v/>
      </c>
    </row>
    <row r="493">
      <c r="A493" s="39">
        <f>IF('Additional Cartons'!B493 = "", "", IF('Additional Cartons-WUO_ERR'!A493 = "", "Validated", HYPERLINK("#" &amp; ADDRESS(493, 'Additional Cartons-WUO_TRK'!A493),_xlfn.TEXTAFTER('Additional Cartons-WUO_ERR'!A493, ":"))))</f>
        <v/>
      </c>
    </row>
    <row r="494">
      <c r="A494" s="39">
        <f>IF('Additional Cartons'!B494 = "", "", IF('Additional Cartons-WUO_ERR'!A494 = "", "Validated", HYPERLINK("#" &amp; ADDRESS(494, 'Additional Cartons-WUO_TRK'!A494),_xlfn.TEXTAFTER('Additional Cartons-WUO_ERR'!A494, ":"))))</f>
        <v/>
      </c>
    </row>
    <row r="495">
      <c r="A495" s="39">
        <f>IF('Additional Cartons'!B495 = "", "", IF('Additional Cartons-WUO_ERR'!A495 = "", "Validated", HYPERLINK("#" &amp; ADDRESS(495, 'Additional Cartons-WUO_TRK'!A495),_xlfn.TEXTAFTER('Additional Cartons-WUO_ERR'!A495, ":"))))</f>
        <v/>
      </c>
    </row>
    <row r="496">
      <c r="A496" s="39">
        <f>IF('Additional Cartons'!B496 = "", "", IF('Additional Cartons-WUO_ERR'!A496 = "", "Validated", HYPERLINK("#" &amp; ADDRESS(496, 'Additional Cartons-WUO_TRK'!A496),_xlfn.TEXTAFTER('Additional Cartons-WUO_ERR'!A496, ":"))))</f>
        <v/>
      </c>
    </row>
    <row r="497">
      <c r="A497" s="39">
        <f>IF('Additional Cartons'!B497 = "", "", IF('Additional Cartons-WUO_ERR'!A497 = "", "Validated", HYPERLINK("#" &amp; ADDRESS(497, 'Additional Cartons-WUO_TRK'!A497),_xlfn.TEXTAFTER('Additional Cartons-WUO_ERR'!A497, ":"))))</f>
        <v/>
      </c>
    </row>
    <row r="498">
      <c r="A498" s="39">
        <f>IF('Additional Cartons'!B498 = "", "", IF('Additional Cartons-WUO_ERR'!A498 = "", "Validated", HYPERLINK("#" &amp; ADDRESS(498, 'Additional Cartons-WUO_TRK'!A498),_xlfn.TEXTAFTER('Additional Cartons-WUO_ERR'!A498, ":"))))</f>
        <v/>
      </c>
    </row>
    <row r="499">
      <c r="A499" s="39">
        <f>IF('Additional Cartons'!B499 = "", "", IF('Additional Cartons-WUO_ERR'!A499 = "", "Validated", HYPERLINK("#" &amp; ADDRESS(499, 'Additional Cartons-WUO_TRK'!A499),_xlfn.TEXTAFTER('Additional Cartons-WUO_ERR'!A499, ":"))))</f>
        <v/>
      </c>
    </row>
    <row r="500">
      <c r="A500" s="39">
        <f>IF('Additional Cartons'!B500 = "", "", IF('Additional Cartons-WUO_ERR'!A500 = "", "Validated", HYPERLINK("#" &amp; ADDRESS(500, 'Additional Cartons-WUO_TRK'!A500),_xlfn.TEXTAFTER('Additional Cartons-WUO_ERR'!A500, ":"))))</f>
        <v/>
      </c>
    </row>
    <row r="501">
      <c r="A501" s="39">
        <f>IF('Additional Cartons'!B501 = "", "", IF('Additional Cartons-WUO_ERR'!A501 = "", "Validated", HYPERLINK("#" &amp; ADDRESS(501, 'Additional Cartons-WUO_TRK'!A501),_xlfn.TEXTAFTER('Additional Cartons-WUO_ERR'!A501, ":"))))</f>
        <v/>
      </c>
    </row>
    <row r="502">
      <c r="A502" s="39">
        <f>IF('Additional Cartons'!B502 = "", "", IF('Additional Cartons-WUO_ERR'!A502 = "", "Validated", HYPERLINK("#" &amp; ADDRESS(502, 'Additional Cartons-WUO_TRK'!A502),_xlfn.TEXTAFTER('Additional Cartons-WUO_ERR'!A502, ":"))))</f>
        <v/>
      </c>
    </row>
    <row r="503">
      <c r="A503" s="39">
        <f>IF('Additional Cartons'!B503 = "", "", IF('Additional Cartons-WUO_ERR'!A503 = "", "Validated", HYPERLINK("#" &amp; ADDRESS(503, 'Additional Cartons-WUO_TRK'!A503),_xlfn.TEXTAFTER('Additional Cartons-WUO_ERR'!A503, ":"))))</f>
        <v/>
      </c>
    </row>
    <row r="504">
      <c r="A504" s="39">
        <f>IF('Additional Cartons'!B504 = "", "", IF('Additional Cartons-WUO_ERR'!A504 = "", "Validated", HYPERLINK("#" &amp; ADDRESS(504, 'Additional Cartons-WUO_TRK'!A504),_xlfn.TEXTAFTER('Additional Cartons-WUO_ERR'!A504, ":"))))</f>
        <v/>
      </c>
    </row>
    <row r="505">
      <c r="A505" s="39">
        <f>IF('Additional Cartons'!B505 = "", "", IF('Additional Cartons-WUO_ERR'!A505 = "", "Validated", HYPERLINK("#" &amp; ADDRESS(505, 'Additional Cartons-WUO_TRK'!A505),_xlfn.TEXTAFTER('Additional Cartons-WUO_ERR'!A505, ":"))))</f>
        <v/>
      </c>
    </row>
    <row r="506">
      <c r="A506" s="39">
        <f>IF('Additional Cartons'!B506 = "", "", IF('Additional Cartons-WUO_ERR'!A506 = "", "Validated", HYPERLINK("#" &amp; ADDRESS(506, 'Additional Cartons-WUO_TRK'!A506),_xlfn.TEXTAFTER('Additional Cartons-WUO_ERR'!A506, ":"))))</f>
        <v/>
      </c>
    </row>
    <row r="507">
      <c r="A507" s="39">
        <f>IF('Additional Cartons'!B507 = "", "", IF('Additional Cartons-WUO_ERR'!A507 = "", "Validated", HYPERLINK("#" &amp; ADDRESS(507, 'Additional Cartons-WUO_TRK'!A507),_xlfn.TEXTAFTER('Additional Cartons-WUO_ERR'!A507, ":"))))</f>
        <v/>
      </c>
    </row>
  </sheetData>
  <sheetProtection selectLockedCells="0" selectUnlockedCells="0" sheet="1" objects="1" insertRows="1" insertHyperlinks="1" autoFilter="1" scenarios="1" formatColumns="0" deleteColumns="1" insertColumns="1" pivotTables="1" deleteRows="1" formatCells="1" formatRows="0" sort="1" password="E718"/>
  <mergeCells count="1">
    <mergeCell ref="C2:F2"/>
  </mergeCells>
  <conditionalFormatting sqref="A7:A50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50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dataValidations count="4">
    <dataValidation sqref="C7:C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D7:D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E7:E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F7:F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2" t="inlineStr">
        <is>
          <t>Required</t>
        </is>
      </c>
      <c r="C3" s="32" t="inlineStr">
        <is>
          <t>Conditional</t>
        </is>
      </c>
      <c r="D3" s="32" t="inlineStr">
        <is>
          <t>Conditional</t>
        </is>
      </c>
      <c r="E3" s="32" t="inlineStr">
        <is>
          <t>Conditional</t>
        </is>
      </c>
      <c r="F3" s="32"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B6" s="35" t="inlineStr">
        <is>
          <t>Text</t>
        </is>
      </c>
      <c r="C6" s="35" t="inlineStr">
        <is>
          <t>Number</t>
        </is>
      </c>
      <c r="D6" s="35" t="inlineStr">
        <is>
          <t>Number</t>
        </is>
      </c>
      <c r="E6" s="35" t="inlineStr">
        <is>
          <t>Number</t>
        </is>
      </c>
      <c r="F6" s="35" t="inlineStr">
        <is>
          <t>Number</t>
        </is>
      </c>
    </row>
    <row r="7">
      <c r="A7">
        <f t="array" ref="A7">_xlfn.BYROW(B7:G507,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Cartons'!B7:B507, 'Additional Cartons'!B7:B507,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Cartons'!B7:B507, 'Additional Cartons'!C7:C507, 'Additional Cartons'!D7:D507, 'Additional Cartons'!E7:E507, 'Additional Cartons'!F7:F507,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s="22">
        <f t="array" ref="D7">_xlfn.MAP('Additional Cartons'!B7:B507, 'Additional Cartons'!D7:D507, 'Additional Cartons'!C7:C507, 'Additional Cartons'!E7:E507, 'Additional Cartons'!F7:F507,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s="22">
        <f t="array" ref="E7">_xlfn.MAP('Additional Cartons'!B7:B507, 'Additional Cartons'!E7:E507, 'Additional Cartons'!C7:C507, 'Additional Cartons'!D7:D507, 'Additional Cartons'!F7:F507,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s="22">
        <f t="array" ref="F7">_xlfn.MAP('Additional Cartons'!B7:B507, 'Additional Cartons'!F7:F507, 'Additional Cartons'!C7:C507, 'Additional Cartons'!D7:D507, 'Additional Cartons'!E7:E507,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2" t="inlineStr">
        <is>
          <t>Required</t>
        </is>
      </c>
      <c r="C3" s="32" t="inlineStr">
        <is>
          <t>Conditional</t>
        </is>
      </c>
      <c r="D3" s="32" t="inlineStr">
        <is>
          <t>Conditional</t>
        </is>
      </c>
      <c r="E3" s="32" t="inlineStr">
        <is>
          <t>Conditional</t>
        </is>
      </c>
      <c r="F3" s="32"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B6" s="35" t="inlineStr">
        <is>
          <t>Text</t>
        </is>
      </c>
      <c r="C6" s="35" t="inlineStr">
        <is>
          <t>Number</t>
        </is>
      </c>
      <c r="D6" s="35" t="inlineStr">
        <is>
          <t>Number</t>
        </is>
      </c>
      <c r="E6" s="35" t="inlineStr">
        <is>
          <t>Number</t>
        </is>
      </c>
      <c r="F6" s="35" t="inlineStr">
        <is>
          <t>Number</t>
        </is>
      </c>
    </row>
    <row r="7">
      <c r="A7">
        <f t="array" ref="A7">_xlfn.BYROW(B7:G507, _xlfn.LAMBDA(_xlpm.r, _xlfn.LET(_xlpm.high_priority_idx, IFERROR(MATCH(TRUE, (_xlpm.r = "Error") + (_xlpm.r = "Required") &gt; 0, 0), 0), IF(_xlpm.high_priority_idx &gt; 0, _xlpm.high_priority_idx + 1, IFERROR(MATCH(1, (_xlpm.r = "Warning") * 1, 0) + 1, "")))))</f>
        <v/>
      </c>
      <c r="B7" s="22">
        <f t="array" ref="B7">_xlfn.MAP('Additional Cartons'!B7:B507, 'Additional Cartons'!B7:B507, 'Additional Cartons-WUO_ERR'!B7:B507, _xlfn.LAMBDA(_xlpm.part, _xlpm.val, _xlpm.error, IF(_xlpm.part = "", "", IF(LEN(_xlpm.error), _xlfn.SWITCH(IFERROR(_xlfn.TEXTBEFORE(_xlpm.error,":"), ""), "1", "Error", "2", "Disabled", "3", "Required", "4", "Warning", "Valid"), "Valid"))))</f>
        <v/>
      </c>
      <c r="C7" s="22">
        <f t="array" ref="C7">_xlfn.MAP('Additional Cartons'!B7:B507, 'Additional Cartons'!C7:C507, 'Additional Cartons-WUO_ERR'!C7:C507, _xlfn.LAMBDA(_xlpm.part, _xlpm.val, _xlpm.error, IF(_xlpm.part = "", "", IF(LEN(_xlpm.error), _xlfn.SWITCH(IFERROR(_xlfn.TEXTBEFORE(_xlpm.error,":"), ""), "1", "Error", "2", "Disabled", "3", "Required", "4", "Warning", "Valid"), "Valid"))))</f>
        <v/>
      </c>
      <c r="D7" s="22">
        <f t="array" ref="D7">_xlfn.MAP('Additional Cartons'!B7:B507, 'Additional Cartons'!D7:D507, 'Additional Cartons-WUO_ERR'!D7:D507, _xlfn.LAMBDA(_xlpm.part, _xlpm.val, _xlpm.error, IF(_xlpm.part = "", "", IF(LEN(_xlpm.error), _xlfn.SWITCH(IFERROR(_xlfn.TEXTBEFORE(_xlpm.error,":"), ""), "1", "Error", "2", "Disabled", "3", "Required", "4", "Warning", "Valid"), "Valid"))))</f>
        <v/>
      </c>
      <c r="E7" s="22">
        <f t="array" ref="E7">_xlfn.MAP('Additional Cartons'!B7:B507, 'Additional Cartons'!E7:E507, 'Additional Cartons-WUO_ERR'!E7:E507, _xlfn.LAMBDA(_xlpm.part, _xlpm.val, _xlpm.error, IF(_xlpm.part = "", "", IF(LEN(_xlpm.error), _xlfn.SWITCH(IFERROR(_xlfn.TEXTBEFORE(_xlpm.error,":"), ""), "1", "Error", "2", "Disabled", "3", "Required", "4", "Warning", "Valid"), "Valid"))))</f>
        <v/>
      </c>
      <c r="F7" s="22">
        <f t="array" ref="F7">_xlfn.MAP('Additional Cartons'!B7:B507, 'Additional Cartons'!F7:F507, 'Additional Cartons-WUO_ERR'!F7:F507,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3.7109375" customWidth="1" style="22" min="3" max="4"/>
    <col hidden="1" width="13" customWidth="1" min="26" max="26"/>
  </cols>
  <sheetData>
    <row r="1" hidden="1">
      <c r="B1" s="22" t="inlineStr">
        <is>
          <t>core::supplierPartNumber</t>
        </is>
      </c>
      <c r="C1" s="22" t="inlineStr">
        <is>
          <t>propSixtyFive::chemicalId</t>
        </is>
      </c>
      <c r="D1" s="22" t="inlineStr">
        <is>
          <t>propSixtyFive::toxicity</t>
        </is>
      </c>
    </row>
    <row r="2">
      <c r="B2" s="23" t="inlineStr">
        <is>
          <t>Basic Information</t>
        </is>
      </c>
      <c r="C2" s="29" t="inlineStr">
        <is>
          <t>Compliance</t>
        </is>
      </c>
      <c r="D2" s="42" t="n"/>
    </row>
    <row r="3">
      <c r="B3" s="32" t="inlineStr">
        <is>
          <t>Required</t>
        </is>
      </c>
      <c r="C3" s="32" t="inlineStr">
        <is>
          <t>Conditional</t>
        </is>
      </c>
      <c r="D3" s="32" t="inlineStr">
        <is>
          <t>Conditional</t>
        </is>
      </c>
    </row>
    <row r="4" ht="50" customHeight="1">
      <c r="A4" s="19" t="inlineStr">
        <is>
          <t>Errors</t>
        </is>
      </c>
      <c r="B4" s="19" t="inlineStr">
        <is>
          <t>Supplier Part Number</t>
        </is>
      </c>
      <c r="C4" s="19" t="inlineStr">
        <is>
          <t>Chemical</t>
        </is>
      </c>
      <c r="D4" s="19" t="inlineStr">
        <is>
          <t>Toxicity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A6" s="35" t="inlineStr">
        <is>
          <t>Read-Only</t>
        </is>
      </c>
      <c r="B6" s="35" t="inlineStr">
        <is>
          <t>Text</t>
        </is>
      </c>
      <c r="C6" s="36" t="inlineStr">
        <is>
          <t>Select</t>
        </is>
      </c>
      <c r="D6" s="36" t="inlineStr">
        <is>
          <t>Please choose one or more from the following, using a semicolon (;) to separate each value: Cancer; Developmental</t>
        </is>
      </c>
    </row>
    <row r="7">
      <c r="A7" s="39">
        <f>IF('Additional Chemicals'!B7 = "", "", IF('Additional Chemicals-WUO_ERR'!A7 = "", "Validated", HYPERLINK("#" &amp; ADDRESS(7, 'Additional Chemicals-WUO_TRK'!A7),_xlfn.TEXTAFTER('Additional Chemicals-WUO_ERR'!A7,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Chemicals'!B8 = "", "", IF('Additional Chemicals-WUO_ERR'!A8 = "", "Validated", HYPERLINK("#" &amp; ADDRESS(8, 'Additional Chemicals-WUO_TRK'!A8),_xlfn.TEXTAFTER('Additional Chemicals-WUO_ERR'!A8, ":"))))</f>
        <v/>
      </c>
    </row>
    <row r="9">
      <c r="A9" s="39">
        <f>IF('Additional Chemicals'!B9 = "", "", IF('Additional Chemicals-WUO_ERR'!A9 = "", "Validated", HYPERLINK("#" &amp; ADDRESS(9, 'Additional Chemicals-WUO_TRK'!A9),_xlfn.TEXTAFTER('Additional Chemicals-WUO_ERR'!A9, ":"))))</f>
        <v/>
      </c>
    </row>
    <row r="10">
      <c r="A10" s="39">
        <f>IF('Additional Chemicals'!B10 = "", "", IF('Additional Chemicals-WUO_ERR'!A10 = "", "Validated", HYPERLINK("#" &amp; ADDRESS(10, 'Additional Chemicals-WUO_TRK'!A10),_xlfn.TEXTAFTER('Additional Chemicals-WUO_ERR'!A10, ":"))))</f>
        <v/>
      </c>
    </row>
    <row r="11">
      <c r="A11" s="39">
        <f>IF('Additional Chemicals'!B11 = "", "", IF('Additional Chemicals-WUO_ERR'!A11 = "", "Validated", HYPERLINK("#" &amp; ADDRESS(11, 'Additional Chemicals-WUO_TRK'!A11),_xlfn.TEXTAFTER('Additional Chemicals-WUO_ERR'!A11, ":"))))</f>
        <v/>
      </c>
    </row>
    <row r="12">
      <c r="A12" s="39">
        <f>IF('Additional Chemicals'!B12 = "", "", IF('Additional Chemicals-WUO_ERR'!A12 = "", "Validated", HYPERLINK("#" &amp; ADDRESS(12, 'Additional Chemicals-WUO_TRK'!A12),_xlfn.TEXTAFTER('Additional Chemicals-WUO_ERR'!A12, ":"))))</f>
        <v/>
      </c>
    </row>
    <row r="13">
      <c r="A13" s="39">
        <f>IF('Additional Chemicals'!B13 = "", "", IF('Additional Chemicals-WUO_ERR'!A13 = "", "Validated", HYPERLINK("#" &amp; ADDRESS(13, 'Additional Chemicals-WUO_TRK'!A13),_xlfn.TEXTAFTER('Additional Chemicals-WUO_ERR'!A13, ":"))))</f>
        <v/>
      </c>
    </row>
    <row r="14">
      <c r="A14" s="39">
        <f>IF('Additional Chemicals'!B14 = "", "", IF('Additional Chemicals-WUO_ERR'!A14 = "", "Validated", HYPERLINK("#" &amp; ADDRESS(14, 'Additional Chemicals-WUO_TRK'!A14),_xlfn.TEXTAFTER('Additional Chemicals-WUO_ERR'!A14, ":"))))</f>
        <v/>
      </c>
    </row>
    <row r="15">
      <c r="A15" s="39">
        <f>IF('Additional Chemicals'!B15 = "", "", IF('Additional Chemicals-WUO_ERR'!A15 = "", "Validated", HYPERLINK("#" &amp; ADDRESS(15, 'Additional Chemicals-WUO_TRK'!A15),_xlfn.TEXTAFTER('Additional Chemicals-WUO_ERR'!A15, ":"))))</f>
        <v/>
      </c>
    </row>
    <row r="16">
      <c r="A16" s="39">
        <f>IF('Additional Chemicals'!B16 = "", "", IF('Additional Chemicals-WUO_ERR'!A16 = "", "Validated", HYPERLINK("#" &amp; ADDRESS(16, 'Additional Chemicals-WUO_TRK'!A16),_xlfn.TEXTAFTER('Additional Chemicals-WUO_ERR'!A16, ":"))))</f>
        <v/>
      </c>
    </row>
    <row r="17">
      <c r="A17" s="39">
        <f>IF('Additional Chemicals'!B17 = "", "", IF('Additional Chemicals-WUO_ERR'!A17 = "", "Validated", HYPERLINK("#" &amp; ADDRESS(17, 'Additional Chemicals-WUO_TRK'!A17),_xlfn.TEXTAFTER('Additional Chemicals-WUO_ERR'!A17, ":"))))</f>
        <v/>
      </c>
    </row>
    <row r="18">
      <c r="A18" s="39">
        <f>IF('Additional Chemicals'!B18 = "", "", IF('Additional Chemicals-WUO_ERR'!A18 = "", "Validated", HYPERLINK("#" &amp; ADDRESS(18, 'Additional Chemicals-WUO_TRK'!A18),_xlfn.TEXTAFTER('Additional Chemicals-WUO_ERR'!A18, ":"))))</f>
        <v/>
      </c>
    </row>
    <row r="19">
      <c r="A19" s="39">
        <f>IF('Additional Chemicals'!B19 = "", "", IF('Additional Chemicals-WUO_ERR'!A19 = "", "Validated", HYPERLINK("#" &amp; ADDRESS(19, 'Additional Chemicals-WUO_TRK'!A19),_xlfn.TEXTAFTER('Additional Chemicals-WUO_ERR'!A19, ":"))))</f>
        <v/>
      </c>
    </row>
    <row r="20">
      <c r="A20" s="39">
        <f>IF('Additional Chemicals'!B20 = "", "", IF('Additional Chemicals-WUO_ERR'!A20 = "", "Validated", HYPERLINK("#" &amp; ADDRESS(20, 'Additional Chemicals-WUO_TRK'!A20),_xlfn.TEXTAFTER('Additional Chemicals-WUO_ERR'!A20, ":"))))</f>
        <v/>
      </c>
    </row>
    <row r="21">
      <c r="A21" s="39">
        <f>IF('Additional Chemicals'!B21 = "", "", IF('Additional Chemicals-WUO_ERR'!A21 = "", "Validated", HYPERLINK("#" &amp; ADDRESS(21, 'Additional Chemicals-WUO_TRK'!A21),_xlfn.TEXTAFTER('Additional Chemicals-WUO_ERR'!A21, ":"))))</f>
        <v/>
      </c>
    </row>
    <row r="22">
      <c r="A22" s="39">
        <f>IF('Additional Chemicals'!B22 = "", "", IF('Additional Chemicals-WUO_ERR'!A22 = "", "Validated", HYPERLINK("#" &amp; ADDRESS(22, 'Additional Chemicals-WUO_TRK'!A22),_xlfn.TEXTAFTER('Additional Chemicals-WUO_ERR'!A22, ":"))))</f>
        <v/>
      </c>
    </row>
    <row r="23">
      <c r="A23" s="39">
        <f>IF('Additional Chemicals'!B23 = "", "", IF('Additional Chemicals-WUO_ERR'!A23 = "", "Validated", HYPERLINK("#" &amp; ADDRESS(23, 'Additional Chemicals-WUO_TRK'!A23),_xlfn.TEXTAFTER('Additional Chemicals-WUO_ERR'!A23, ":"))))</f>
        <v/>
      </c>
    </row>
    <row r="24">
      <c r="A24" s="39">
        <f>IF('Additional Chemicals'!B24 = "", "", IF('Additional Chemicals-WUO_ERR'!A24 = "", "Validated", HYPERLINK("#" &amp; ADDRESS(24, 'Additional Chemicals-WUO_TRK'!A24),_xlfn.TEXTAFTER('Additional Chemicals-WUO_ERR'!A24, ":"))))</f>
        <v/>
      </c>
    </row>
    <row r="25">
      <c r="A25" s="39">
        <f>IF('Additional Chemicals'!B25 = "", "", IF('Additional Chemicals-WUO_ERR'!A25 = "", "Validated", HYPERLINK("#" &amp; ADDRESS(25, 'Additional Chemicals-WUO_TRK'!A25),_xlfn.TEXTAFTER('Additional Chemicals-WUO_ERR'!A25, ":"))))</f>
        <v/>
      </c>
    </row>
    <row r="26">
      <c r="A26" s="39">
        <f>IF('Additional Chemicals'!B26 = "", "", IF('Additional Chemicals-WUO_ERR'!A26 = "", "Validated", HYPERLINK("#" &amp; ADDRESS(26, 'Additional Chemicals-WUO_TRK'!A26),_xlfn.TEXTAFTER('Additional Chemicals-WUO_ERR'!A26, ":"))))</f>
        <v/>
      </c>
    </row>
    <row r="27">
      <c r="A27" s="39">
        <f>IF('Additional Chemicals'!B27 = "", "", IF('Additional Chemicals-WUO_ERR'!A27 = "", "Validated", HYPERLINK("#" &amp; ADDRESS(27, 'Additional Chemicals-WUO_TRK'!A27),_xlfn.TEXTAFTER('Additional Chemicals-WUO_ERR'!A27, ":"))))</f>
        <v/>
      </c>
    </row>
    <row r="28">
      <c r="A28" s="39">
        <f>IF('Additional Chemicals'!B28 = "", "", IF('Additional Chemicals-WUO_ERR'!A28 = "", "Validated", HYPERLINK("#" &amp; ADDRESS(28, 'Additional Chemicals-WUO_TRK'!A28),_xlfn.TEXTAFTER('Additional Chemicals-WUO_ERR'!A28, ":"))))</f>
        <v/>
      </c>
    </row>
    <row r="29">
      <c r="A29" s="39">
        <f>IF('Additional Chemicals'!B29 = "", "", IF('Additional Chemicals-WUO_ERR'!A29 = "", "Validated", HYPERLINK("#" &amp; ADDRESS(29, 'Additional Chemicals-WUO_TRK'!A29),_xlfn.TEXTAFTER('Additional Chemicals-WUO_ERR'!A29, ":"))))</f>
        <v/>
      </c>
    </row>
    <row r="30">
      <c r="A30" s="39">
        <f>IF('Additional Chemicals'!B30 = "", "", IF('Additional Chemicals-WUO_ERR'!A30 = "", "Validated", HYPERLINK("#" &amp; ADDRESS(30, 'Additional Chemicals-WUO_TRK'!A30),_xlfn.TEXTAFTER('Additional Chemicals-WUO_ERR'!A30, ":"))))</f>
        <v/>
      </c>
    </row>
    <row r="31">
      <c r="A31" s="39">
        <f>IF('Additional Chemicals'!B31 = "", "", IF('Additional Chemicals-WUO_ERR'!A31 = "", "Validated", HYPERLINK("#" &amp; ADDRESS(31, 'Additional Chemicals-WUO_TRK'!A31),_xlfn.TEXTAFTER('Additional Chemicals-WUO_ERR'!A31, ":"))))</f>
        <v/>
      </c>
    </row>
    <row r="32">
      <c r="A32" s="39">
        <f>IF('Additional Chemicals'!B32 = "", "", IF('Additional Chemicals-WUO_ERR'!A32 = "", "Validated", HYPERLINK("#" &amp; ADDRESS(32, 'Additional Chemicals-WUO_TRK'!A32),_xlfn.TEXTAFTER('Additional Chemicals-WUO_ERR'!A32, ":"))))</f>
        <v/>
      </c>
    </row>
    <row r="33">
      <c r="A33" s="39">
        <f>IF('Additional Chemicals'!B33 = "", "", IF('Additional Chemicals-WUO_ERR'!A33 = "", "Validated", HYPERLINK("#" &amp; ADDRESS(33, 'Additional Chemicals-WUO_TRK'!A33),_xlfn.TEXTAFTER('Additional Chemicals-WUO_ERR'!A33, ":"))))</f>
        <v/>
      </c>
    </row>
    <row r="34">
      <c r="A34" s="39">
        <f>IF('Additional Chemicals'!B34 = "", "", IF('Additional Chemicals-WUO_ERR'!A34 = "", "Validated", HYPERLINK("#" &amp; ADDRESS(34, 'Additional Chemicals-WUO_TRK'!A34),_xlfn.TEXTAFTER('Additional Chemicals-WUO_ERR'!A34, ":"))))</f>
        <v/>
      </c>
    </row>
    <row r="35">
      <c r="A35" s="39">
        <f>IF('Additional Chemicals'!B35 = "", "", IF('Additional Chemicals-WUO_ERR'!A35 = "", "Validated", HYPERLINK("#" &amp; ADDRESS(35, 'Additional Chemicals-WUO_TRK'!A35),_xlfn.TEXTAFTER('Additional Chemicals-WUO_ERR'!A35, ":"))))</f>
        <v/>
      </c>
    </row>
    <row r="36">
      <c r="A36" s="39">
        <f>IF('Additional Chemicals'!B36 = "", "", IF('Additional Chemicals-WUO_ERR'!A36 = "", "Validated", HYPERLINK("#" &amp; ADDRESS(36, 'Additional Chemicals-WUO_TRK'!A36),_xlfn.TEXTAFTER('Additional Chemicals-WUO_ERR'!A36, ":"))))</f>
        <v/>
      </c>
    </row>
    <row r="37">
      <c r="A37" s="39">
        <f>IF('Additional Chemicals'!B37 = "", "", IF('Additional Chemicals-WUO_ERR'!A37 = "", "Validated", HYPERLINK("#" &amp; ADDRESS(37, 'Additional Chemicals-WUO_TRK'!A37),_xlfn.TEXTAFTER('Additional Chemicals-WUO_ERR'!A37, ":"))))</f>
        <v/>
      </c>
    </row>
    <row r="38">
      <c r="A38" s="39">
        <f>IF('Additional Chemicals'!B38 = "", "", IF('Additional Chemicals-WUO_ERR'!A38 = "", "Validated", HYPERLINK("#" &amp; ADDRESS(38, 'Additional Chemicals-WUO_TRK'!A38),_xlfn.TEXTAFTER('Additional Chemicals-WUO_ERR'!A38, ":"))))</f>
        <v/>
      </c>
    </row>
    <row r="39">
      <c r="A39" s="39">
        <f>IF('Additional Chemicals'!B39 = "", "", IF('Additional Chemicals-WUO_ERR'!A39 = "", "Validated", HYPERLINK("#" &amp; ADDRESS(39, 'Additional Chemicals-WUO_TRK'!A39),_xlfn.TEXTAFTER('Additional Chemicals-WUO_ERR'!A39, ":"))))</f>
        <v/>
      </c>
    </row>
    <row r="40">
      <c r="A40" s="39">
        <f>IF('Additional Chemicals'!B40 = "", "", IF('Additional Chemicals-WUO_ERR'!A40 = "", "Validated", HYPERLINK("#" &amp; ADDRESS(40, 'Additional Chemicals-WUO_TRK'!A40),_xlfn.TEXTAFTER('Additional Chemicals-WUO_ERR'!A40, ":"))))</f>
        <v/>
      </c>
    </row>
    <row r="41">
      <c r="A41" s="39">
        <f>IF('Additional Chemicals'!B41 = "", "", IF('Additional Chemicals-WUO_ERR'!A41 = "", "Validated", HYPERLINK("#" &amp; ADDRESS(41, 'Additional Chemicals-WUO_TRK'!A41),_xlfn.TEXTAFTER('Additional Chemicals-WUO_ERR'!A41, ":"))))</f>
        <v/>
      </c>
    </row>
    <row r="42">
      <c r="A42" s="39">
        <f>IF('Additional Chemicals'!B42 = "", "", IF('Additional Chemicals-WUO_ERR'!A42 = "", "Validated", HYPERLINK("#" &amp; ADDRESS(42, 'Additional Chemicals-WUO_TRK'!A42),_xlfn.TEXTAFTER('Additional Chemicals-WUO_ERR'!A42, ":"))))</f>
        <v/>
      </c>
    </row>
    <row r="43">
      <c r="A43" s="39">
        <f>IF('Additional Chemicals'!B43 = "", "", IF('Additional Chemicals-WUO_ERR'!A43 = "", "Validated", HYPERLINK("#" &amp; ADDRESS(43, 'Additional Chemicals-WUO_TRK'!A43),_xlfn.TEXTAFTER('Additional Chemicals-WUO_ERR'!A43, ":"))))</f>
        <v/>
      </c>
    </row>
    <row r="44">
      <c r="A44" s="39">
        <f>IF('Additional Chemicals'!B44 = "", "", IF('Additional Chemicals-WUO_ERR'!A44 = "", "Validated", HYPERLINK("#" &amp; ADDRESS(44, 'Additional Chemicals-WUO_TRK'!A44),_xlfn.TEXTAFTER('Additional Chemicals-WUO_ERR'!A44, ":"))))</f>
        <v/>
      </c>
    </row>
    <row r="45">
      <c r="A45" s="39">
        <f>IF('Additional Chemicals'!B45 = "", "", IF('Additional Chemicals-WUO_ERR'!A45 = "", "Validated", HYPERLINK("#" &amp; ADDRESS(45, 'Additional Chemicals-WUO_TRK'!A45),_xlfn.TEXTAFTER('Additional Chemicals-WUO_ERR'!A45, ":"))))</f>
        <v/>
      </c>
    </row>
    <row r="46">
      <c r="A46" s="39">
        <f>IF('Additional Chemicals'!B46 = "", "", IF('Additional Chemicals-WUO_ERR'!A46 = "", "Validated", HYPERLINK("#" &amp; ADDRESS(46, 'Additional Chemicals-WUO_TRK'!A46),_xlfn.TEXTAFTER('Additional Chemicals-WUO_ERR'!A46, ":"))))</f>
        <v/>
      </c>
    </row>
    <row r="47">
      <c r="A47" s="39">
        <f>IF('Additional Chemicals'!B47 = "", "", IF('Additional Chemicals-WUO_ERR'!A47 = "", "Validated", HYPERLINK("#" &amp; ADDRESS(47, 'Additional Chemicals-WUO_TRK'!A47),_xlfn.TEXTAFTER('Additional Chemicals-WUO_ERR'!A47, ":"))))</f>
        <v/>
      </c>
    </row>
    <row r="48">
      <c r="A48" s="39">
        <f>IF('Additional Chemicals'!B48 = "", "", IF('Additional Chemicals-WUO_ERR'!A48 = "", "Validated", HYPERLINK("#" &amp; ADDRESS(48, 'Additional Chemicals-WUO_TRK'!A48),_xlfn.TEXTAFTER('Additional Chemicals-WUO_ERR'!A48, ":"))))</f>
        <v/>
      </c>
    </row>
    <row r="49">
      <c r="A49" s="39">
        <f>IF('Additional Chemicals'!B49 = "", "", IF('Additional Chemicals-WUO_ERR'!A49 = "", "Validated", HYPERLINK("#" &amp; ADDRESS(49, 'Additional Chemicals-WUO_TRK'!A49),_xlfn.TEXTAFTER('Additional Chemicals-WUO_ERR'!A49, ":"))))</f>
        <v/>
      </c>
    </row>
    <row r="50">
      <c r="A50" s="39">
        <f>IF('Additional Chemicals'!B50 = "", "", IF('Additional Chemicals-WUO_ERR'!A50 = "", "Validated", HYPERLINK("#" &amp; ADDRESS(50, 'Additional Chemicals-WUO_TRK'!A50),_xlfn.TEXTAFTER('Additional Chemicals-WUO_ERR'!A50, ":"))))</f>
        <v/>
      </c>
    </row>
    <row r="51">
      <c r="A51" s="39">
        <f>IF('Additional Chemicals'!B51 = "", "", IF('Additional Chemicals-WUO_ERR'!A51 = "", "Validated", HYPERLINK("#" &amp; ADDRESS(51, 'Additional Chemicals-WUO_TRK'!A51),_xlfn.TEXTAFTER('Additional Chemicals-WUO_ERR'!A51, ":"))))</f>
        <v/>
      </c>
    </row>
    <row r="52">
      <c r="A52" s="39">
        <f>IF('Additional Chemicals'!B52 = "", "", IF('Additional Chemicals-WUO_ERR'!A52 = "", "Validated", HYPERLINK("#" &amp; ADDRESS(52, 'Additional Chemicals-WUO_TRK'!A52),_xlfn.TEXTAFTER('Additional Chemicals-WUO_ERR'!A52, ":"))))</f>
        <v/>
      </c>
    </row>
    <row r="53">
      <c r="A53" s="39">
        <f>IF('Additional Chemicals'!B53 = "", "", IF('Additional Chemicals-WUO_ERR'!A53 = "", "Validated", HYPERLINK("#" &amp; ADDRESS(53, 'Additional Chemicals-WUO_TRK'!A53),_xlfn.TEXTAFTER('Additional Chemicals-WUO_ERR'!A53, ":"))))</f>
        <v/>
      </c>
    </row>
    <row r="54">
      <c r="A54" s="39">
        <f>IF('Additional Chemicals'!B54 = "", "", IF('Additional Chemicals-WUO_ERR'!A54 = "", "Validated", HYPERLINK("#" &amp; ADDRESS(54, 'Additional Chemicals-WUO_TRK'!A54),_xlfn.TEXTAFTER('Additional Chemicals-WUO_ERR'!A54, ":"))))</f>
        <v/>
      </c>
    </row>
    <row r="55">
      <c r="A55" s="39">
        <f>IF('Additional Chemicals'!B55 = "", "", IF('Additional Chemicals-WUO_ERR'!A55 = "", "Validated", HYPERLINK("#" &amp; ADDRESS(55, 'Additional Chemicals-WUO_TRK'!A55),_xlfn.TEXTAFTER('Additional Chemicals-WUO_ERR'!A55, ":"))))</f>
        <v/>
      </c>
    </row>
    <row r="56">
      <c r="A56" s="39">
        <f>IF('Additional Chemicals'!B56 = "", "", IF('Additional Chemicals-WUO_ERR'!A56 = "", "Validated", HYPERLINK("#" &amp; ADDRESS(56, 'Additional Chemicals-WUO_TRK'!A56),_xlfn.TEXTAFTER('Additional Chemicals-WUO_ERR'!A56, ":"))))</f>
        <v/>
      </c>
    </row>
    <row r="57">
      <c r="A57" s="39">
        <f>IF('Additional Chemicals'!B57 = "", "", IF('Additional Chemicals-WUO_ERR'!A57 = "", "Validated", HYPERLINK("#" &amp; ADDRESS(57, 'Additional Chemicals-WUO_TRK'!A57),_xlfn.TEXTAFTER('Additional Chemicals-WUO_ERR'!A57, ":"))))</f>
        <v/>
      </c>
    </row>
    <row r="58">
      <c r="A58" s="39">
        <f>IF('Additional Chemicals'!B58 = "", "", IF('Additional Chemicals-WUO_ERR'!A58 = "", "Validated", HYPERLINK("#" &amp; ADDRESS(58, 'Additional Chemicals-WUO_TRK'!A58),_xlfn.TEXTAFTER('Additional Chemicals-WUO_ERR'!A58, ":"))))</f>
        <v/>
      </c>
    </row>
    <row r="59">
      <c r="A59" s="39">
        <f>IF('Additional Chemicals'!B59 = "", "", IF('Additional Chemicals-WUO_ERR'!A59 = "", "Validated", HYPERLINK("#" &amp; ADDRESS(59, 'Additional Chemicals-WUO_TRK'!A59),_xlfn.TEXTAFTER('Additional Chemicals-WUO_ERR'!A59, ":"))))</f>
        <v/>
      </c>
    </row>
    <row r="60">
      <c r="A60" s="39">
        <f>IF('Additional Chemicals'!B60 = "", "", IF('Additional Chemicals-WUO_ERR'!A60 = "", "Validated", HYPERLINK("#" &amp; ADDRESS(60, 'Additional Chemicals-WUO_TRK'!A60),_xlfn.TEXTAFTER('Additional Chemicals-WUO_ERR'!A60, ":"))))</f>
        <v/>
      </c>
    </row>
    <row r="61">
      <c r="A61" s="39">
        <f>IF('Additional Chemicals'!B61 = "", "", IF('Additional Chemicals-WUO_ERR'!A61 = "", "Validated", HYPERLINK("#" &amp; ADDRESS(61, 'Additional Chemicals-WUO_TRK'!A61),_xlfn.TEXTAFTER('Additional Chemicals-WUO_ERR'!A61, ":"))))</f>
        <v/>
      </c>
    </row>
    <row r="62">
      <c r="A62" s="39">
        <f>IF('Additional Chemicals'!B62 = "", "", IF('Additional Chemicals-WUO_ERR'!A62 = "", "Validated", HYPERLINK("#" &amp; ADDRESS(62, 'Additional Chemicals-WUO_TRK'!A62),_xlfn.TEXTAFTER('Additional Chemicals-WUO_ERR'!A62, ":"))))</f>
        <v/>
      </c>
    </row>
    <row r="63">
      <c r="A63" s="39">
        <f>IF('Additional Chemicals'!B63 = "", "", IF('Additional Chemicals-WUO_ERR'!A63 = "", "Validated", HYPERLINK("#" &amp; ADDRESS(63, 'Additional Chemicals-WUO_TRK'!A63),_xlfn.TEXTAFTER('Additional Chemicals-WUO_ERR'!A63, ":"))))</f>
        <v/>
      </c>
    </row>
    <row r="64">
      <c r="A64" s="39">
        <f>IF('Additional Chemicals'!B64 = "", "", IF('Additional Chemicals-WUO_ERR'!A64 = "", "Validated", HYPERLINK("#" &amp; ADDRESS(64, 'Additional Chemicals-WUO_TRK'!A64),_xlfn.TEXTAFTER('Additional Chemicals-WUO_ERR'!A64, ":"))))</f>
        <v/>
      </c>
    </row>
    <row r="65">
      <c r="A65" s="39">
        <f>IF('Additional Chemicals'!B65 = "", "", IF('Additional Chemicals-WUO_ERR'!A65 = "", "Validated", HYPERLINK("#" &amp; ADDRESS(65, 'Additional Chemicals-WUO_TRK'!A65),_xlfn.TEXTAFTER('Additional Chemicals-WUO_ERR'!A65, ":"))))</f>
        <v/>
      </c>
    </row>
    <row r="66">
      <c r="A66" s="39">
        <f>IF('Additional Chemicals'!B66 = "", "", IF('Additional Chemicals-WUO_ERR'!A66 = "", "Validated", HYPERLINK("#" &amp; ADDRESS(66, 'Additional Chemicals-WUO_TRK'!A66),_xlfn.TEXTAFTER('Additional Chemicals-WUO_ERR'!A66, ":"))))</f>
        <v/>
      </c>
    </row>
    <row r="67">
      <c r="A67" s="39">
        <f>IF('Additional Chemicals'!B67 = "", "", IF('Additional Chemicals-WUO_ERR'!A67 = "", "Validated", HYPERLINK("#" &amp; ADDRESS(67, 'Additional Chemicals-WUO_TRK'!A67),_xlfn.TEXTAFTER('Additional Chemicals-WUO_ERR'!A67, ":"))))</f>
        <v/>
      </c>
    </row>
    <row r="68">
      <c r="A68" s="39">
        <f>IF('Additional Chemicals'!B68 = "", "", IF('Additional Chemicals-WUO_ERR'!A68 = "", "Validated", HYPERLINK("#" &amp; ADDRESS(68, 'Additional Chemicals-WUO_TRK'!A68),_xlfn.TEXTAFTER('Additional Chemicals-WUO_ERR'!A68, ":"))))</f>
        <v/>
      </c>
    </row>
    <row r="69">
      <c r="A69" s="39">
        <f>IF('Additional Chemicals'!B69 = "", "", IF('Additional Chemicals-WUO_ERR'!A69 = "", "Validated", HYPERLINK("#" &amp; ADDRESS(69, 'Additional Chemicals-WUO_TRK'!A69),_xlfn.TEXTAFTER('Additional Chemicals-WUO_ERR'!A69, ":"))))</f>
        <v/>
      </c>
    </row>
    <row r="70">
      <c r="A70" s="39">
        <f>IF('Additional Chemicals'!B70 = "", "", IF('Additional Chemicals-WUO_ERR'!A70 = "", "Validated", HYPERLINK("#" &amp; ADDRESS(70, 'Additional Chemicals-WUO_TRK'!A70),_xlfn.TEXTAFTER('Additional Chemicals-WUO_ERR'!A70, ":"))))</f>
        <v/>
      </c>
    </row>
    <row r="71">
      <c r="A71" s="39">
        <f>IF('Additional Chemicals'!B71 = "", "", IF('Additional Chemicals-WUO_ERR'!A71 = "", "Validated", HYPERLINK("#" &amp; ADDRESS(71, 'Additional Chemicals-WUO_TRK'!A71),_xlfn.TEXTAFTER('Additional Chemicals-WUO_ERR'!A71, ":"))))</f>
        <v/>
      </c>
    </row>
    <row r="72">
      <c r="A72" s="39">
        <f>IF('Additional Chemicals'!B72 = "", "", IF('Additional Chemicals-WUO_ERR'!A72 = "", "Validated", HYPERLINK("#" &amp; ADDRESS(72, 'Additional Chemicals-WUO_TRK'!A72),_xlfn.TEXTAFTER('Additional Chemicals-WUO_ERR'!A72, ":"))))</f>
        <v/>
      </c>
    </row>
    <row r="73">
      <c r="A73" s="39">
        <f>IF('Additional Chemicals'!B73 = "", "", IF('Additional Chemicals-WUO_ERR'!A73 = "", "Validated", HYPERLINK("#" &amp; ADDRESS(73, 'Additional Chemicals-WUO_TRK'!A73),_xlfn.TEXTAFTER('Additional Chemicals-WUO_ERR'!A73, ":"))))</f>
        <v/>
      </c>
    </row>
    <row r="74">
      <c r="A74" s="39">
        <f>IF('Additional Chemicals'!B74 = "", "", IF('Additional Chemicals-WUO_ERR'!A74 = "", "Validated", HYPERLINK("#" &amp; ADDRESS(74, 'Additional Chemicals-WUO_TRK'!A74),_xlfn.TEXTAFTER('Additional Chemicals-WUO_ERR'!A74, ":"))))</f>
        <v/>
      </c>
    </row>
    <row r="75">
      <c r="A75" s="39">
        <f>IF('Additional Chemicals'!B75 = "", "", IF('Additional Chemicals-WUO_ERR'!A75 = "", "Validated", HYPERLINK("#" &amp; ADDRESS(75, 'Additional Chemicals-WUO_TRK'!A75),_xlfn.TEXTAFTER('Additional Chemicals-WUO_ERR'!A75, ":"))))</f>
        <v/>
      </c>
    </row>
    <row r="76">
      <c r="A76" s="39">
        <f>IF('Additional Chemicals'!B76 = "", "", IF('Additional Chemicals-WUO_ERR'!A76 = "", "Validated", HYPERLINK("#" &amp; ADDRESS(76, 'Additional Chemicals-WUO_TRK'!A76),_xlfn.TEXTAFTER('Additional Chemicals-WUO_ERR'!A76, ":"))))</f>
        <v/>
      </c>
    </row>
    <row r="77">
      <c r="A77" s="39">
        <f>IF('Additional Chemicals'!B77 = "", "", IF('Additional Chemicals-WUO_ERR'!A77 = "", "Validated", HYPERLINK("#" &amp; ADDRESS(77, 'Additional Chemicals-WUO_TRK'!A77),_xlfn.TEXTAFTER('Additional Chemicals-WUO_ERR'!A77, ":"))))</f>
        <v/>
      </c>
    </row>
    <row r="78">
      <c r="A78" s="39">
        <f>IF('Additional Chemicals'!B78 = "", "", IF('Additional Chemicals-WUO_ERR'!A78 = "", "Validated", HYPERLINK("#" &amp; ADDRESS(78, 'Additional Chemicals-WUO_TRK'!A78),_xlfn.TEXTAFTER('Additional Chemicals-WUO_ERR'!A78, ":"))))</f>
        <v/>
      </c>
    </row>
    <row r="79">
      <c r="A79" s="39">
        <f>IF('Additional Chemicals'!B79 = "", "", IF('Additional Chemicals-WUO_ERR'!A79 = "", "Validated", HYPERLINK("#" &amp; ADDRESS(79, 'Additional Chemicals-WUO_TRK'!A79),_xlfn.TEXTAFTER('Additional Chemicals-WUO_ERR'!A79, ":"))))</f>
        <v/>
      </c>
    </row>
    <row r="80">
      <c r="A80" s="39">
        <f>IF('Additional Chemicals'!B80 = "", "", IF('Additional Chemicals-WUO_ERR'!A80 = "", "Validated", HYPERLINK("#" &amp; ADDRESS(80, 'Additional Chemicals-WUO_TRK'!A80),_xlfn.TEXTAFTER('Additional Chemicals-WUO_ERR'!A80, ":"))))</f>
        <v/>
      </c>
    </row>
    <row r="81">
      <c r="A81" s="39">
        <f>IF('Additional Chemicals'!B81 = "", "", IF('Additional Chemicals-WUO_ERR'!A81 = "", "Validated", HYPERLINK("#" &amp; ADDRESS(81, 'Additional Chemicals-WUO_TRK'!A81),_xlfn.TEXTAFTER('Additional Chemicals-WUO_ERR'!A81, ":"))))</f>
        <v/>
      </c>
    </row>
    <row r="82">
      <c r="A82" s="39">
        <f>IF('Additional Chemicals'!B82 = "", "", IF('Additional Chemicals-WUO_ERR'!A82 = "", "Validated", HYPERLINK("#" &amp; ADDRESS(82, 'Additional Chemicals-WUO_TRK'!A82),_xlfn.TEXTAFTER('Additional Chemicals-WUO_ERR'!A82, ":"))))</f>
        <v/>
      </c>
    </row>
    <row r="83">
      <c r="A83" s="39">
        <f>IF('Additional Chemicals'!B83 = "", "", IF('Additional Chemicals-WUO_ERR'!A83 = "", "Validated", HYPERLINK("#" &amp; ADDRESS(83, 'Additional Chemicals-WUO_TRK'!A83),_xlfn.TEXTAFTER('Additional Chemicals-WUO_ERR'!A83, ":"))))</f>
        <v/>
      </c>
    </row>
    <row r="84">
      <c r="A84" s="39">
        <f>IF('Additional Chemicals'!B84 = "", "", IF('Additional Chemicals-WUO_ERR'!A84 = "", "Validated", HYPERLINK("#" &amp; ADDRESS(84, 'Additional Chemicals-WUO_TRK'!A84),_xlfn.TEXTAFTER('Additional Chemicals-WUO_ERR'!A84, ":"))))</f>
        <v/>
      </c>
    </row>
    <row r="85">
      <c r="A85" s="39">
        <f>IF('Additional Chemicals'!B85 = "", "", IF('Additional Chemicals-WUO_ERR'!A85 = "", "Validated", HYPERLINK("#" &amp; ADDRESS(85, 'Additional Chemicals-WUO_TRK'!A85),_xlfn.TEXTAFTER('Additional Chemicals-WUO_ERR'!A85, ":"))))</f>
        <v/>
      </c>
    </row>
    <row r="86">
      <c r="A86" s="39">
        <f>IF('Additional Chemicals'!B86 = "", "", IF('Additional Chemicals-WUO_ERR'!A86 = "", "Validated", HYPERLINK("#" &amp; ADDRESS(86, 'Additional Chemicals-WUO_TRK'!A86),_xlfn.TEXTAFTER('Additional Chemicals-WUO_ERR'!A86, ":"))))</f>
        <v/>
      </c>
    </row>
    <row r="87">
      <c r="A87" s="39">
        <f>IF('Additional Chemicals'!B87 = "", "", IF('Additional Chemicals-WUO_ERR'!A87 = "", "Validated", HYPERLINK("#" &amp; ADDRESS(87, 'Additional Chemicals-WUO_TRK'!A87),_xlfn.TEXTAFTER('Additional Chemicals-WUO_ERR'!A87, ":"))))</f>
        <v/>
      </c>
    </row>
    <row r="88">
      <c r="A88" s="39">
        <f>IF('Additional Chemicals'!B88 = "", "", IF('Additional Chemicals-WUO_ERR'!A88 = "", "Validated", HYPERLINK("#" &amp; ADDRESS(88, 'Additional Chemicals-WUO_TRK'!A88),_xlfn.TEXTAFTER('Additional Chemicals-WUO_ERR'!A88, ":"))))</f>
        <v/>
      </c>
    </row>
    <row r="89">
      <c r="A89" s="39">
        <f>IF('Additional Chemicals'!B89 = "", "", IF('Additional Chemicals-WUO_ERR'!A89 = "", "Validated", HYPERLINK("#" &amp; ADDRESS(89, 'Additional Chemicals-WUO_TRK'!A89),_xlfn.TEXTAFTER('Additional Chemicals-WUO_ERR'!A89, ":"))))</f>
        <v/>
      </c>
    </row>
    <row r="90">
      <c r="A90" s="39">
        <f>IF('Additional Chemicals'!B90 = "", "", IF('Additional Chemicals-WUO_ERR'!A90 = "", "Validated", HYPERLINK("#" &amp; ADDRESS(90, 'Additional Chemicals-WUO_TRK'!A90),_xlfn.TEXTAFTER('Additional Chemicals-WUO_ERR'!A90, ":"))))</f>
        <v/>
      </c>
    </row>
    <row r="91">
      <c r="A91" s="39">
        <f>IF('Additional Chemicals'!B91 = "", "", IF('Additional Chemicals-WUO_ERR'!A91 = "", "Validated", HYPERLINK("#" &amp; ADDRESS(91, 'Additional Chemicals-WUO_TRK'!A91),_xlfn.TEXTAFTER('Additional Chemicals-WUO_ERR'!A91, ":"))))</f>
        <v/>
      </c>
    </row>
    <row r="92">
      <c r="A92" s="39">
        <f>IF('Additional Chemicals'!B92 = "", "", IF('Additional Chemicals-WUO_ERR'!A92 = "", "Validated", HYPERLINK("#" &amp; ADDRESS(92, 'Additional Chemicals-WUO_TRK'!A92),_xlfn.TEXTAFTER('Additional Chemicals-WUO_ERR'!A92, ":"))))</f>
        <v/>
      </c>
    </row>
    <row r="93">
      <c r="A93" s="39">
        <f>IF('Additional Chemicals'!B93 = "", "", IF('Additional Chemicals-WUO_ERR'!A93 = "", "Validated", HYPERLINK("#" &amp; ADDRESS(93, 'Additional Chemicals-WUO_TRK'!A93),_xlfn.TEXTAFTER('Additional Chemicals-WUO_ERR'!A93, ":"))))</f>
        <v/>
      </c>
    </row>
    <row r="94">
      <c r="A94" s="39">
        <f>IF('Additional Chemicals'!B94 = "", "", IF('Additional Chemicals-WUO_ERR'!A94 = "", "Validated", HYPERLINK("#" &amp; ADDRESS(94, 'Additional Chemicals-WUO_TRK'!A94),_xlfn.TEXTAFTER('Additional Chemicals-WUO_ERR'!A94, ":"))))</f>
        <v/>
      </c>
    </row>
    <row r="95">
      <c r="A95" s="39">
        <f>IF('Additional Chemicals'!B95 = "", "", IF('Additional Chemicals-WUO_ERR'!A95 = "", "Validated", HYPERLINK("#" &amp; ADDRESS(95, 'Additional Chemicals-WUO_TRK'!A95),_xlfn.TEXTAFTER('Additional Chemicals-WUO_ERR'!A95, ":"))))</f>
        <v/>
      </c>
    </row>
    <row r="96">
      <c r="A96" s="39">
        <f>IF('Additional Chemicals'!B96 = "", "", IF('Additional Chemicals-WUO_ERR'!A96 = "", "Validated", HYPERLINK("#" &amp; ADDRESS(96, 'Additional Chemicals-WUO_TRK'!A96),_xlfn.TEXTAFTER('Additional Chemicals-WUO_ERR'!A96, ":"))))</f>
        <v/>
      </c>
    </row>
    <row r="97">
      <c r="A97" s="39">
        <f>IF('Additional Chemicals'!B97 = "", "", IF('Additional Chemicals-WUO_ERR'!A97 = "", "Validated", HYPERLINK("#" &amp; ADDRESS(97, 'Additional Chemicals-WUO_TRK'!A97),_xlfn.TEXTAFTER('Additional Chemicals-WUO_ERR'!A97, ":"))))</f>
        <v/>
      </c>
    </row>
    <row r="98">
      <c r="A98" s="39">
        <f>IF('Additional Chemicals'!B98 = "", "", IF('Additional Chemicals-WUO_ERR'!A98 = "", "Validated", HYPERLINK("#" &amp; ADDRESS(98, 'Additional Chemicals-WUO_TRK'!A98),_xlfn.TEXTAFTER('Additional Chemicals-WUO_ERR'!A98, ":"))))</f>
        <v/>
      </c>
    </row>
    <row r="99">
      <c r="A99" s="39">
        <f>IF('Additional Chemicals'!B99 = "", "", IF('Additional Chemicals-WUO_ERR'!A99 = "", "Validated", HYPERLINK("#" &amp; ADDRESS(99, 'Additional Chemicals-WUO_TRK'!A99),_xlfn.TEXTAFTER('Additional Chemicals-WUO_ERR'!A99, ":"))))</f>
        <v/>
      </c>
    </row>
    <row r="100">
      <c r="A100" s="39">
        <f>IF('Additional Chemicals'!B100 = "", "", IF('Additional Chemicals-WUO_ERR'!A100 = "", "Validated", HYPERLINK("#" &amp; ADDRESS(100, 'Additional Chemicals-WUO_TRK'!A100),_xlfn.TEXTAFTER('Additional Chemicals-WUO_ERR'!A100, ":"))))</f>
        <v/>
      </c>
    </row>
    <row r="101">
      <c r="A101" s="39">
        <f>IF('Additional Chemicals'!B101 = "", "", IF('Additional Chemicals-WUO_ERR'!A101 = "", "Validated", HYPERLINK("#" &amp; ADDRESS(101, 'Additional Chemicals-WUO_TRK'!A101),_xlfn.TEXTAFTER('Additional Chemicals-WUO_ERR'!A101, ":"))))</f>
        <v/>
      </c>
    </row>
    <row r="102">
      <c r="A102" s="39">
        <f>IF('Additional Chemicals'!B102 = "", "", IF('Additional Chemicals-WUO_ERR'!A102 = "", "Validated", HYPERLINK("#" &amp; ADDRESS(102, 'Additional Chemicals-WUO_TRK'!A102),_xlfn.TEXTAFTER('Additional Chemicals-WUO_ERR'!A102, ":"))))</f>
        <v/>
      </c>
    </row>
    <row r="103">
      <c r="A103" s="39">
        <f>IF('Additional Chemicals'!B103 = "", "", IF('Additional Chemicals-WUO_ERR'!A103 = "", "Validated", HYPERLINK("#" &amp; ADDRESS(103, 'Additional Chemicals-WUO_TRK'!A103),_xlfn.TEXTAFTER('Additional Chemicals-WUO_ERR'!A103, ":"))))</f>
        <v/>
      </c>
    </row>
    <row r="104">
      <c r="A104" s="39">
        <f>IF('Additional Chemicals'!B104 = "", "", IF('Additional Chemicals-WUO_ERR'!A104 = "", "Validated", HYPERLINK("#" &amp; ADDRESS(104, 'Additional Chemicals-WUO_TRK'!A104),_xlfn.TEXTAFTER('Additional Chemicals-WUO_ERR'!A104, ":"))))</f>
        <v/>
      </c>
    </row>
    <row r="105">
      <c r="A105" s="39">
        <f>IF('Additional Chemicals'!B105 = "", "", IF('Additional Chemicals-WUO_ERR'!A105 = "", "Validated", HYPERLINK("#" &amp; ADDRESS(105, 'Additional Chemicals-WUO_TRK'!A105),_xlfn.TEXTAFTER('Additional Chemicals-WUO_ERR'!A105, ":"))))</f>
        <v/>
      </c>
    </row>
    <row r="106">
      <c r="A106" s="39">
        <f>IF('Additional Chemicals'!B106 = "", "", IF('Additional Chemicals-WUO_ERR'!A106 = "", "Validated", HYPERLINK("#" &amp; ADDRESS(106, 'Additional Chemicals-WUO_TRK'!A106),_xlfn.TEXTAFTER('Additional Chemicals-WUO_ERR'!A106, ":"))))</f>
        <v/>
      </c>
    </row>
    <row r="107">
      <c r="A107" s="39">
        <f>IF('Additional Chemicals'!B107 = "", "", IF('Additional Chemicals-WUO_ERR'!A107 = "", "Validated", HYPERLINK("#" &amp; ADDRESS(107, 'Additional Chemicals-WUO_TRK'!A107),_xlfn.TEXTAFTER('Additional Chemicals-WUO_ERR'!A107, ":"))))</f>
        <v/>
      </c>
    </row>
    <row r="108">
      <c r="A108" s="39">
        <f>IF('Additional Chemicals'!B108 = "", "", IF('Additional Chemicals-WUO_ERR'!A108 = "", "Validated", HYPERLINK("#" &amp; ADDRESS(108, 'Additional Chemicals-WUO_TRK'!A108),_xlfn.TEXTAFTER('Additional Chemicals-WUO_ERR'!A108, ":"))))</f>
        <v/>
      </c>
    </row>
    <row r="109">
      <c r="A109" s="39">
        <f>IF('Additional Chemicals'!B109 = "", "", IF('Additional Chemicals-WUO_ERR'!A109 = "", "Validated", HYPERLINK("#" &amp; ADDRESS(109, 'Additional Chemicals-WUO_TRK'!A109),_xlfn.TEXTAFTER('Additional Chemicals-WUO_ERR'!A109, ":"))))</f>
        <v/>
      </c>
    </row>
    <row r="110">
      <c r="A110" s="39">
        <f>IF('Additional Chemicals'!B110 = "", "", IF('Additional Chemicals-WUO_ERR'!A110 = "", "Validated", HYPERLINK("#" &amp; ADDRESS(110, 'Additional Chemicals-WUO_TRK'!A110),_xlfn.TEXTAFTER('Additional Chemicals-WUO_ERR'!A110, ":"))))</f>
        <v/>
      </c>
    </row>
    <row r="111">
      <c r="A111" s="39">
        <f>IF('Additional Chemicals'!B111 = "", "", IF('Additional Chemicals-WUO_ERR'!A111 = "", "Validated", HYPERLINK("#" &amp; ADDRESS(111, 'Additional Chemicals-WUO_TRK'!A111),_xlfn.TEXTAFTER('Additional Chemicals-WUO_ERR'!A111, ":"))))</f>
        <v/>
      </c>
    </row>
    <row r="112">
      <c r="A112" s="39">
        <f>IF('Additional Chemicals'!B112 = "", "", IF('Additional Chemicals-WUO_ERR'!A112 = "", "Validated", HYPERLINK("#" &amp; ADDRESS(112, 'Additional Chemicals-WUO_TRK'!A112),_xlfn.TEXTAFTER('Additional Chemicals-WUO_ERR'!A112, ":"))))</f>
        <v/>
      </c>
    </row>
    <row r="113">
      <c r="A113" s="39">
        <f>IF('Additional Chemicals'!B113 = "", "", IF('Additional Chemicals-WUO_ERR'!A113 = "", "Validated", HYPERLINK("#" &amp; ADDRESS(113, 'Additional Chemicals-WUO_TRK'!A113),_xlfn.TEXTAFTER('Additional Chemicals-WUO_ERR'!A113, ":"))))</f>
        <v/>
      </c>
    </row>
    <row r="114">
      <c r="A114" s="39">
        <f>IF('Additional Chemicals'!B114 = "", "", IF('Additional Chemicals-WUO_ERR'!A114 = "", "Validated", HYPERLINK("#" &amp; ADDRESS(114, 'Additional Chemicals-WUO_TRK'!A114),_xlfn.TEXTAFTER('Additional Chemicals-WUO_ERR'!A114, ":"))))</f>
        <v/>
      </c>
    </row>
    <row r="115">
      <c r="A115" s="39">
        <f>IF('Additional Chemicals'!B115 = "", "", IF('Additional Chemicals-WUO_ERR'!A115 = "", "Validated", HYPERLINK("#" &amp; ADDRESS(115, 'Additional Chemicals-WUO_TRK'!A115),_xlfn.TEXTAFTER('Additional Chemicals-WUO_ERR'!A115, ":"))))</f>
        <v/>
      </c>
    </row>
    <row r="116">
      <c r="A116" s="39">
        <f>IF('Additional Chemicals'!B116 = "", "", IF('Additional Chemicals-WUO_ERR'!A116 = "", "Validated", HYPERLINK("#" &amp; ADDRESS(116, 'Additional Chemicals-WUO_TRK'!A116),_xlfn.TEXTAFTER('Additional Chemicals-WUO_ERR'!A116, ":"))))</f>
        <v/>
      </c>
    </row>
    <row r="117">
      <c r="A117" s="39">
        <f>IF('Additional Chemicals'!B117 = "", "", IF('Additional Chemicals-WUO_ERR'!A117 = "", "Validated", HYPERLINK("#" &amp; ADDRESS(117, 'Additional Chemicals-WUO_TRK'!A117),_xlfn.TEXTAFTER('Additional Chemicals-WUO_ERR'!A117, ":"))))</f>
        <v/>
      </c>
    </row>
    <row r="118">
      <c r="A118" s="39">
        <f>IF('Additional Chemicals'!B118 = "", "", IF('Additional Chemicals-WUO_ERR'!A118 = "", "Validated", HYPERLINK("#" &amp; ADDRESS(118, 'Additional Chemicals-WUO_TRK'!A118),_xlfn.TEXTAFTER('Additional Chemicals-WUO_ERR'!A118, ":"))))</f>
        <v/>
      </c>
    </row>
    <row r="119">
      <c r="A119" s="39">
        <f>IF('Additional Chemicals'!B119 = "", "", IF('Additional Chemicals-WUO_ERR'!A119 = "", "Validated", HYPERLINK("#" &amp; ADDRESS(119, 'Additional Chemicals-WUO_TRK'!A119),_xlfn.TEXTAFTER('Additional Chemicals-WUO_ERR'!A119, ":"))))</f>
        <v/>
      </c>
    </row>
    <row r="120">
      <c r="A120" s="39">
        <f>IF('Additional Chemicals'!B120 = "", "", IF('Additional Chemicals-WUO_ERR'!A120 = "", "Validated", HYPERLINK("#" &amp; ADDRESS(120, 'Additional Chemicals-WUO_TRK'!A120),_xlfn.TEXTAFTER('Additional Chemicals-WUO_ERR'!A120, ":"))))</f>
        <v/>
      </c>
    </row>
    <row r="121">
      <c r="A121" s="39">
        <f>IF('Additional Chemicals'!B121 = "", "", IF('Additional Chemicals-WUO_ERR'!A121 = "", "Validated", HYPERLINK("#" &amp; ADDRESS(121, 'Additional Chemicals-WUO_TRK'!A121),_xlfn.TEXTAFTER('Additional Chemicals-WUO_ERR'!A121, ":"))))</f>
        <v/>
      </c>
    </row>
    <row r="122">
      <c r="A122" s="39">
        <f>IF('Additional Chemicals'!B122 = "", "", IF('Additional Chemicals-WUO_ERR'!A122 = "", "Validated", HYPERLINK("#" &amp; ADDRESS(122, 'Additional Chemicals-WUO_TRK'!A122),_xlfn.TEXTAFTER('Additional Chemicals-WUO_ERR'!A122, ":"))))</f>
        <v/>
      </c>
    </row>
    <row r="123">
      <c r="A123" s="39">
        <f>IF('Additional Chemicals'!B123 = "", "", IF('Additional Chemicals-WUO_ERR'!A123 = "", "Validated", HYPERLINK("#" &amp; ADDRESS(123, 'Additional Chemicals-WUO_TRK'!A123),_xlfn.TEXTAFTER('Additional Chemicals-WUO_ERR'!A123, ":"))))</f>
        <v/>
      </c>
    </row>
    <row r="124">
      <c r="A124" s="39">
        <f>IF('Additional Chemicals'!B124 = "", "", IF('Additional Chemicals-WUO_ERR'!A124 = "", "Validated", HYPERLINK("#" &amp; ADDRESS(124, 'Additional Chemicals-WUO_TRK'!A124),_xlfn.TEXTAFTER('Additional Chemicals-WUO_ERR'!A124, ":"))))</f>
        <v/>
      </c>
    </row>
    <row r="125">
      <c r="A125" s="39">
        <f>IF('Additional Chemicals'!B125 = "", "", IF('Additional Chemicals-WUO_ERR'!A125 = "", "Validated", HYPERLINK("#" &amp; ADDRESS(125, 'Additional Chemicals-WUO_TRK'!A125),_xlfn.TEXTAFTER('Additional Chemicals-WUO_ERR'!A125, ":"))))</f>
        <v/>
      </c>
    </row>
    <row r="126">
      <c r="A126" s="39">
        <f>IF('Additional Chemicals'!B126 = "", "", IF('Additional Chemicals-WUO_ERR'!A126 = "", "Validated", HYPERLINK("#" &amp; ADDRESS(126, 'Additional Chemicals-WUO_TRK'!A126),_xlfn.TEXTAFTER('Additional Chemicals-WUO_ERR'!A126, ":"))))</f>
        <v/>
      </c>
    </row>
    <row r="127">
      <c r="A127" s="39">
        <f>IF('Additional Chemicals'!B127 = "", "", IF('Additional Chemicals-WUO_ERR'!A127 = "", "Validated", HYPERLINK("#" &amp; ADDRESS(127, 'Additional Chemicals-WUO_TRK'!A127),_xlfn.TEXTAFTER('Additional Chemicals-WUO_ERR'!A127, ":"))))</f>
        <v/>
      </c>
    </row>
    <row r="128">
      <c r="A128" s="39">
        <f>IF('Additional Chemicals'!B128 = "", "", IF('Additional Chemicals-WUO_ERR'!A128 = "", "Validated", HYPERLINK("#" &amp; ADDRESS(128, 'Additional Chemicals-WUO_TRK'!A128),_xlfn.TEXTAFTER('Additional Chemicals-WUO_ERR'!A128, ":"))))</f>
        <v/>
      </c>
    </row>
    <row r="129">
      <c r="A129" s="39">
        <f>IF('Additional Chemicals'!B129 = "", "", IF('Additional Chemicals-WUO_ERR'!A129 = "", "Validated", HYPERLINK("#" &amp; ADDRESS(129, 'Additional Chemicals-WUO_TRK'!A129),_xlfn.TEXTAFTER('Additional Chemicals-WUO_ERR'!A129, ":"))))</f>
        <v/>
      </c>
    </row>
    <row r="130">
      <c r="A130" s="39">
        <f>IF('Additional Chemicals'!B130 = "", "", IF('Additional Chemicals-WUO_ERR'!A130 = "", "Validated", HYPERLINK("#" &amp; ADDRESS(130, 'Additional Chemicals-WUO_TRK'!A130),_xlfn.TEXTAFTER('Additional Chemicals-WUO_ERR'!A130, ":"))))</f>
        <v/>
      </c>
    </row>
    <row r="131">
      <c r="A131" s="39">
        <f>IF('Additional Chemicals'!B131 = "", "", IF('Additional Chemicals-WUO_ERR'!A131 = "", "Validated", HYPERLINK("#" &amp; ADDRESS(131, 'Additional Chemicals-WUO_TRK'!A131),_xlfn.TEXTAFTER('Additional Chemicals-WUO_ERR'!A131, ":"))))</f>
        <v/>
      </c>
    </row>
    <row r="132">
      <c r="A132" s="39">
        <f>IF('Additional Chemicals'!B132 = "", "", IF('Additional Chemicals-WUO_ERR'!A132 = "", "Validated", HYPERLINK("#" &amp; ADDRESS(132, 'Additional Chemicals-WUO_TRK'!A132),_xlfn.TEXTAFTER('Additional Chemicals-WUO_ERR'!A132, ":"))))</f>
        <v/>
      </c>
    </row>
    <row r="133">
      <c r="A133" s="39">
        <f>IF('Additional Chemicals'!B133 = "", "", IF('Additional Chemicals-WUO_ERR'!A133 = "", "Validated", HYPERLINK("#" &amp; ADDRESS(133, 'Additional Chemicals-WUO_TRK'!A133),_xlfn.TEXTAFTER('Additional Chemicals-WUO_ERR'!A133, ":"))))</f>
        <v/>
      </c>
    </row>
    <row r="134">
      <c r="A134" s="39">
        <f>IF('Additional Chemicals'!B134 = "", "", IF('Additional Chemicals-WUO_ERR'!A134 = "", "Validated", HYPERLINK("#" &amp; ADDRESS(134, 'Additional Chemicals-WUO_TRK'!A134),_xlfn.TEXTAFTER('Additional Chemicals-WUO_ERR'!A134, ":"))))</f>
        <v/>
      </c>
    </row>
    <row r="135">
      <c r="A135" s="39">
        <f>IF('Additional Chemicals'!B135 = "", "", IF('Additional Chemicals-WUO_ERR'!A135 = "", "Validated", HYPERLINK("#" &amp; ADDRESS(135, 'Additional Chemicals-WUO_TRK'!A135),_xlfn.TEXTAFTER('Additional Chemicals-WUO_ERR'!A135, ":"))))</f>
        <v/>
      </c>
    </row>
    <row r="136">
      <c r="A136" s="39">
        <f>IF('Additional Chemicals'!B136 = "", "", IF('Additional Chemicals-WUO_ERR'!A136 = "", "Validated", HYPERLINK("#" &amp; ADDRESS(136, 'Additional Chemicals-WUO_TRK'!A136),_xlfn.TEXTAFTER('Additional Chemicals-WUO_ERR'!A136, ":"))))</f>
        <v/>
      </c>
    </row>
    <row r="137">
      <c r="A137" s="39">
        <f>IF('Additional Chemicals'!B137 = "", "", IF('Additional Chemicals-WUO_ERR'!A137 = "", "Validated", HYPERLINK("#" &amp; ADDRESS(137, 'Additional Chemicals-WUO_TRK'!A137),_xlfn.TEXTAFTER('Additional Chemicals-WUO_ERR'!A137, ":"))))</f>
        <v/>
      </c>
    </row>
    <row r="138">
      <c r="A138" s="39">
        <f>IF('Additional Chemicals'!B138 = "", "", IF('Additional Chemicals-WUO_ERR'!A138 = "", "Validated", HYPERLINK("#" &amp; ADDRESS(138, 'Additional Chemicals-WUO_TRK'!A138),_xlfn.TEXTAFTER('Additional Chemicals-WUO_ERR'!A138, ":"))))</f>
        <v/>
      </c>
    </row>
    <row r="139">
      <c r="A139" s="39">
        <f>IF('Additional Chemicals'!B139 = "", "", IF('Additional Chemicals-WUO_ERR'!A139 = "", "Validated", HYPERLINK("#" &amp; ADDRESS(139, 'Additional Chemicals-WUO_TRK'!A139),_xlfn.TEXTAFTER('Additional Chemicals-WUO_ERR'!A139, ":"))))</f>
        <v/>
      </c>
    </row>
    <row r="140">
      <c r="A140" s="39">
        <f>IF('Additional Chemicals'!B140 = "", "", IF('Additional Chemicals-WUO_ERR'!A140 = "", "Validated", HYPERLINK("#" &amp; ADDRESS(140, 'Additional Chemicals-WUO_TRK'!A140),_xlfn.TEXTAFTER('Additional Chemicals-WUO_ERR'!A140, ":"))))</f>
        <v/>
      </c>
    </row>
    <row r="141">
      <c r="A141" s="39">
        <f>IF('Additional Chemicals'!B141 = "", "", IF('Additional Chemicals-WUO_ERR'!A141 = "", "Validated", HYPERLINK("#" &amp; ADDRESS(141, 'Additional Chemicals-WUO_TRK'!A141),_xlfn.TEXTAFTER('Additional Chemicals-WUO_ERR'!A141, ":"))))</f>
        <v/>
      </c>
    </row>
    <row r="142">
      <c r="A142" s="39">
        <f>IF('Additional Chemicals'!B142 = "", "", IF('Additional Chemicals-WUO_ERR'!A142 = "", "Validated", HYPERLINK("#" &amp; ADDRESS(142, 'Additional Chemicals-WUO_TRK'!A142),_xlfn.TEXTAFTER('Additional Chemicals-WUO_ERR'!A142, ":"))))</f>
        <v/>
      </c>
    </row>
    <row r="143">
      <c r="A143" s="39">
        <f>IF('Additional Chemicals'!B143 = "", "", IF('Additional Chemicals-WUO_ERR'!A143 = "", "Validated", HYPERLINK("#" &amp; ADDRESS(143, 'Additional Chemicals-WUO_TRK'!A143),_xlfn.TEXTAFTER('Additional Chemicals-WUO_ERR'!A143, ":"))))</f>
        <v/>
      </c>
    </row>
    <row r="144">
      <c r="A144" s="39">
        <f>IF('Additional Chemicals'!B144 = "", "", IF('Additional Chemicals-WUO_ERR'!A144 = "", "Validated", HYPERLINK("#" &amp; ADDRESS(144, 'Additional Chemicals-WUO_TRK'!A144),_xlfn.TEXTAFTER('Additional Chemicals-WUO_ERR'!A144, ":"))))</f>
        <v/>
      </c>
    </row>
    <row r="145">
      <c r="A145" s="39">
        <f>IF('Additional Chemicals'!B145 = "", "", IF('Additional Chemicals-WUO_ERR'!A145 = "", "Validated", HYPERLINK("#" &amp; ADDRESS(145, 'Additional Chemicals-WUO_TRK'!A145),_xlfn.TEXTAFTER('Additional Chemicals-WUO_ERR'!A145, ":"))))</f>
        <v/>
      </c>
    </row>
    <row r="146">
      <c r="A146" s="39">
        <f>IF('Additional Chemicals'!B146 = "", "", IF('Additional Chemicals-WUO_ERR'!A146 = "", "Validated", HYPERLINK("#" &amp; ADDRESS(146, 'Additional Chemicals-WUO_TRK'!A146),_xlfn.TEXTAFTER('Additional Chemicals-WUO_ERR'!A146, ":"))))</f>
        <v/>
      </c>
    </row>
    <row r="147">
      <c r="A147" s="39">
        <f>IF('Additional Chemicals'!B147 = "", "", IF('Additional Chemicals-WUO_ERR'!A147 = "", "Validated", HYPERLINK("#" &amp; ADDRESS(147, 'Additional Chemicals-WUO_TRK'!A147),_xlfn.TEXTAFTER('Additional Chemicals-WUO_ERR'!A147, ":"))))</f>
        <v/>
      </c>
    </row>
    <row r="148">
      <c r="A148" s="39">
        <f>IF('Additional Chemicals'!B148 = "", "", IF('Additional Chemicals-WUO_ERR'!A148 = "", "Validated", HYPERLINK("#" &amp; ADDRESS(148, 'Additional Chemicals-WUO_TRK'!A148),_xlfn.TEXTAFTER('Additional Chemicals-WUO_ERR'!A148, ":"))))</f>
        <v/>
      </c>
    </row>
    <row r="149">
      <c r="A149" s="39">
        <f>IF('Additional Chemicals'!B149 = "", "", IF('Additional Chemicals-WUO_ERR'!A149 = "", "Validated", HYPERLINK("#" &amp; ADDRESS(149, 'Additional Chemicals-WUO_TRK'!A149),_xlfn.TEXTAFTER('Additional Chemicals-WUO_ERR'!A149, ":"))))</f>
        <v/>
      </c>
    </row>
    <row r="150">
      <c r="A150" s="39">
        <f>IF('Additional Chemicals'!B150 = "", "", IF('Additional Chemicals-WUO_ERR'!A150 = "", "Validated", HYPERLINK("#" &amp; ADDRESS(150, 'Additional Chemicals-WUO_TRK'!A150),_xlfn.TEXTAFTER('Additional Chemicals-WUO_ERR'!A150, ":"))))</f>
        <v/>
      </c>
    </row>
    <row r="151">
      <c r="A151" s="39">
        <f>IF('Additional Chemicals'!B151 = "", "", IF('Additional Chemicals-WUO_ERR'!A151 = "", "Validated", HYPERLINK("#" &amp; ADDRESS(151, 'Additional Chemicals-WUO_TRK'!A151),_xlfn.TEXTAFTER('Additional Chemicals-WUO_ERR'!A151, ":"))))</f>
        <v/>
      </c>
    </row>
    <row r="152">
      <c r="A152" s="39">
        <f>IF('Additional Chemicals'!B152 = "", "", IF('Additional Chemicals-WUO_ERR'!A152 = "", "Validated", HYPERLINK("#" &amp; ADDRESS(152, 'Additional Chemicals-WUO_TRK'!A152),_xlfn.TEXTAFTER('Additional Chemicals-WUO_ERR'!A152, ":"))))</f>
        <v/>
      </c>
    </row>
    <row r="153">
      <c r="A153" s="39">
        <f>IF('Additional Chemicals'!B153 = "", "", IF('Additional Chemicals-WUO_ERR'!A153 = "", "Validated", HYPERLINK("#" &amp; ADDRESS(153, 'Additional Chemicals-WUO_TRK'!A153),_xlfn.TEXTAFTER('Additional Chemicals-WUO_ERR'!A153, ":"))))</f>
        <v/>
      </c>
    </row>
    <row r="154">
      <c r="A154" s="39">
        <f>IF('Additional Chemicals'!B154 = "", "", IF('Additional Chemicals-WUO_ERR'!A154 = "", "Validated", HYPERLINK("#" &amp; ADDRESS(154, 'Additional Chemicals-WUO_TRK'!A154),_xlfn.TEXTAFTER('Additional Chemicals-WUO_ERR'!A154, ":"))))</f>
        <v/>
      </c>
    </row>
    <row r="155">
      <c r="A155" s="39">
        <f>IF('Additional Chemicals'!B155 = "", "", IF('Additional Chemicals-WUO_ERR'!A155 = "", "Validated", HYPERLINK("#" &amp; ADDRESS(155, 'Additional Chemicals-WUO_TRK'!A155),_xlfn.TEXTAFTER('Additional Chemicals-WUO_ERR'!A155, ":"))))</f>
        <v/>
      </c>
    </row>
    <row r="156">
      <c r="A156" s="39">
        <f>IF('Additional Chemicals'!B156 = "", "", IF('Additional Chemicals-WUO_ERR'!A156 = "", "Validated", HYPERLINK("#" &amp; ADDRESS(156, 'Additional Chemicals-WUO_TRK'!A156),_xlfn.TEXTAFTER('Additional Chemicals-WUO_ERR'!A156, ":"))))</f>
        <v/>
      </c>
    </row>
    <row r="157">
      <c r="A157" s="39">
        <f>IF('Additional Chemicals'!B157 = "", "", IF('Additional Chemicals-WUO_ERR'!A157 = "", "Validated", HYPERLINK("#" &amp; ADDRESS(157, 'Additional Chemicals-WUO_TRK'!A157),_xlfn.TEXTAFTER('Additional Chemicals-WUO_ERR'!A157, ":"))))</f>
        <v/>
      </c>
    </row>
    <row r="158">
      <c r="A158" s="39">
        <f>IF('Additional Chemicals'!B158 = "", "", IF('Additional Chemicals-WUO_ERR'!A158 = "", "Validated", HYPERLINK("#" &amp; ADDRESS(158, 'Additional Chemicals-WUO_TRK'!A158),_xlfn.TEXTAFTER('Additional Chemicals-WUO_ERR'!A158, ":"))))</f>
        <v/>
      </c>
    </row>
    <row r="159">
      <c r="A159" s="39">
        <f>IF('Additional Chemicals'!B159 = "", "", IF('Additional Chemicals-WUO_ERR'!A159 = "", "Validated", HYPERLINK("#" &amp; ADDRESS(159, 'Additional Chemicals-WUO_TRK'!A159),_xlfn.TEXTAFTER('Additional Chemicals-WUO_ERR'!A159, ":"))))</f>
        <v/>
      </c>
    </row>
    <row r="160">
      <c r="A160" s="39">
        <f>IF('Additional Chemicals'!B160 = "", "", IF('Additional Chemicals-WUO_ERR'!A160 = "", "Validated", HYPERLINK("#" &amp; ADDRESS(160, 'Additional Chemicals-WUO_TRK'!A160),_xlfn.TEXTAFTER('Additional Chemicals-WUO_ERR'!A160, ":"))))</f>
        <v/>
      </c>
    </row>
    <row r="161">
      <c r="A161" s="39">
        <f>IF('Additional Chemicals'!B161 = "", "", IF('Additional Chemicals-WUO_ERR'!A161 = "", "Validated", HYPERLINK("#" &amp; ADDRESS(161, 'Additional Chemicals-WUO_TRK'!A161),_xlfn.TEXTAFTER('Additional Chemicals-WUO_ERR'!A161, ":"))))</f>
        <v/>
      </c>
    </row>
    <row r="162">
      <c r="A162" s="39">
        <f>IF('Additional Chemicals'!B162 = "", "", IF('Additional Chemicals-WUO_ERR'!A162 = "", "Validated", HYPERLINK("#" &amp; ADDRESS(162, 'Additional Chemicals-WUO_TRK'!A162),_xlfn.TEXTAFTER('Additional Chemicals-WUO_ERR'!A162, ":"))))</f>
        <v/>
      </c>
    </row>
    <row r="163">
      <c r="A163" s="39">
        <f>IF('Additional Chemicals'!B163 = "", "", IF('Additional Chemicals-WUO_ERR'!A163 = "", "Validated", HYPERLINK("#" &amp; ADDRESS(163, 'Additional Chemicals-WUO_TRK'!A163),_xlfn.TEXTAFTER('Additional Chemicals-WUO_ERR'!A163, ":"))))</f>
        <v/>
      </c>
    </row>
    <row r="164">
      <c r="A164" s="39">
        <f>IF('Additional Chemicals'!B164 = "", "", IF('Additional Chemicals-WUO_ERR'!A164 = "", "Validated", HYPERLINK("#" &amp; ADDRESS(164, 'Additional Chemicals-WUO_TRK'!A164),_xlfn.TEXTAFTER('Additional Chemicals-WUO_ERR'!A164, ":"))))</f>
        <v/>
      </c>
    </row>
    <row r="165">
      <c r="A165" s="39">
        <f>IF('Additional Chemicals'!B165 = "", "", IF('Additional Chemicals-WUO_ERR'!A165 = "", "Validated", HYPERLINK("#" &amp; ADDRESS(165, 'Additional Chemicals-WUO_TRK'!A165),_xlfn.TEXTAFTER('Additional Chemicals-WUO_ERR'!A165, ":"))))</f>
        <v/>
      </c>
    </row>
    <row r="166">
      <c r="A166" s="39">
        <f>IF('Additional Chemicals'!B166 = "", "", IF('Additional Chemicals-WUO_ERR'!A166 = "", "Validated", HYPERLINK("#" &amp; ADDRESS(166, 'Additional Chemicals-WUO_TRK'!A166),_xlfn.TEXTAFTER('Additional Chemicals-WUO_ERR'!A166, ":"))))</f>
        <v/>
      </c>
    </row>
    <row r="167">
      <c r="A167" s="39">
        <f>IF('Additional Chemicals'!B167 = "", "", IF('Additional Chemicals-WUO_ERR'!A167 = "", "Validated", HYPERLINK("#" &amp; ADDRESS(167, 'Additional Chemicals-WUO_TRK'!A167),_xlfn.TEXTAFTER('Additional Chemicals-WUO_ERR'!A167, ":"))))</f>
        <v/>
      </c>
    </row>
    <row r="168">
      <c r="A168" s="39">
        <f>IF('Additional Chemicals'!B168 = "", "", IF('Additional Chemicals-WUO_ERR'!A168 = "", "Validated", HYPERLINK("#" &amp; ADDRESS(168, 'Additional Chemicals-WUO_TRK'!A168),_xlfn.TEXTAFTER('Additional Chemicals-WUO_ERR'!A168, ":"))))</f>
        <v/>
      </c>
    </row>
    <row r="169">
      <c r="A169" s="39">
        <f>IF('Additional Chemicals'!B169 = "", "", IF('Additional Chemicals-WUO_ERR'!A169 = "", "Validated", HYPERLINK("#" &amp; ADDRESS(169, 'Additional Chemicals-WUO_TRK'!A169),_xlfn.TEXTAFTER('Additional Chemicals-WUO_ERR'!A169, ":"))))</f>
        <v/>
      </c>
    </row>
    <row r="170">
      <c r="A170" s="39">
        <f>IF('Additional Chemicals'!B170 = "", "", IF('Additional Chemicals-WUO_ERR'!A170 = "", "Validated", HYPERLINK("#" &amp; ADDRESS(170, 'Additional Chemicals-WUO_TRK'!A170),_xlfn.TEXTAFTER('Additional Chemicals-WUO_ERR'!A170, ":"))))</f>
        <v/>
      </c>
    </row>
    <row r="171">
      <c r="A171" s="39">
        <f>IF('Additional Chemicals'!B171 = "", "", IF('Additional Chemicals-WUO_ERR'!A171 = "", "Validated", HYPERLINK("#" &amp; ADDRESS(171, 'Additional Chemicals-WUO_TRK'!A171),_xlfn.TEXTAFTER('Additional Chemicals-WUO_ERR'!A171, ":"))))</f>
        <v/>
      </c>
    </row>
    <row r="172">
      <c r="A172" s="39">
        <f>IF('Additional Chemicals'!B172 = "", "", IF('Additional Chemicals-WUO_ERR'!A172 = "", "Validated", HYPERLINK("#" &amp; ADDRESS(172, 'Additional Chemicals-WUO_TRK'!A172),_xlfn.TEXTAFTER('Additional Chemicals-WUO_ERR'!A172, ":"))))</f>
        <v/>
      </c>
    </row>
    <row r="173">
      <c r="A173" s="39">
        <f>IF('Additional Chemicals'!B173 = "", "", IF('Additional Chemicals-WUO_ERR'!A173 = "", "Validated", HYPERLINK("#" &amp; ADDRESS(173, 'Additional Chemicals-WUO_TRK'!A173),_xlfn.TEXTAFTER('Additional Chemicals-WUO_ERR'!A173, ":"))))</f>
        <v/>
      </c>
    </row>
    <row r="174">
      <c r="A174" s="39">
        <f>IF('Additional Chemicals'!B174 = "", "", IF('Additional Chemicals-WUO_ERR'!A174 = "", "Validated", HYPERLINK("#" &amp; ADDRESS(174, 'Additional Chemicals-WUO_TRK'!A174),_xlfn.TEXTAFTER('Additional Chemicals-WUO_ERR'!A174, ":"))))</f>
        <v/>
      </c>
    </row>
    <row r="175">
      <c r="A175" s="39">
        <f>IF('Additional Chemicals'!B175 = "", "", IF('Additional Chemicals-WUO_ERR'!A175 = "", "Validated", HYPERLINK("#" &amp; ADDRESS(175, 'Additional Chemicals-WUO_TRK'!A175),_xlfn.TEXTAFTER('Additional Chemicals-WUO_ERR'!A175, ":"))))</f>
        <v/>
      </c>
    </row>
    <row r="176">
      <c r="A176" s="39">
        <f>IF('Additional Chemicals'!B176 = "", "", IF('Additional Chemicals-WUO_ERR'!A176 = "", "Validated", HYPERLINK("#" &amp; ADDRESS(176, 'Additional Chemicals-WUO_TRK'!A176),_xlfn.TEXTAFTER('Additional Chemicals-WUO_ERR'!A176, ":"))))</f>
        <v/>
      </c>
    </row>
    <row r="177">
      <c r="A177" s="39">
        <f>IF('Additional Chemicals'!B177 = "", "", IF('Additional Chemicals-WUO_ERR'!A177 = "", "Validated", HYPERLINK("#" &amp; ADDRESS(177, 'Additional Chemicals-WUO_TRK'!A177),_xlfn.TEXTAFTER('Additional Chemicals-WUO_ERR'!A177, ":"))))</f>
        <v/>
      </c>
    </row>
    <row r="178">
      <c r="A178" s="39">
        <f>IF('Additional Chemicals'!B178 = "", "", IF('Additional Chemicals-WUO_ERR'!A178 = "", "Validated", HYPERLINK("#" &amp; ADDRESS(178, 'Additional Chemicals-WUO_TRK'!A178),_xlfn.TEXTAFTER('Additional Chemicals-WUO_ERR'!A178, ":"))))</f>
        <v/>
      </c>
    </row>
    <row r="179">
      <c r="A179" s="39">
        <f>IF('Additional Chemicals'!B179 = "", "", IF('Additional Chemicals-WUO_ERR'!A179 = "", "Validated", HYPERLINK("#" &amp; ADDRESS(179, 'Additional Chemicals-WUO_TRK'!A179),_xlfn.TEXTAFTER('Additional Chemicals-WUO_ERR'!A179, ":"))))</f>
        <v/>
      </c>
    </row>
    <row r="180">
      <c r="A180" s="39">
        <f>IF('Additional Chemicals'!B180 = "", "", IF('Additional Chemicals-WUO_ERR'!A180 = "", "Validated", HYPERLINK("#" &amp; ADDRESS(180, 'Additional Chemicals-WUO_TRK'!A180),_xlfn.TEXTAFTER('Additional Chemicals-WUO_ERR'!A180, ":"))))</f>
        <v/>
      </c>
    </row>
    <row r="181">
      <c r="A181" s="39">
        <f>IF('Additional Chemicals'!B181 = "", "", IF('Additional Chemicals-WUO_ERR'!A181 = "", "Validated", HYPERLINK("#" &amp; ADDRESS(181, 'Additional Chemicals-WUO_TRK'!A181),_xlfn.TEXTAFTER('Additional Chemicals-WUO_ERR'!A181, ":"))))</f>
        <v/>
      </c>
    </row>
    <row r="182">
      <c r="A182" s="39">
        <f>IF('Additional Chemicals'!B182 = "", "", IF('Additional Chemicals-WUO_ERR'!A182 = "", "Validated", HYPERLINK("#" &amp; ADDRESS(182, 'Additional Chemicals-WUO_TRK'!A182),_xlfn.TEXTAFTER('Additional Chemicals-WUO_ERR'!A182, ":"))))</f>
        <v/>
      </c>
    </row>
    <row r="183">
      <c r="A183" s="39">
        <f>IF('Additional Chemicals'!B183 = "", "", IF('Additional Chemicals-WUO_ERR'!A183 = "", "Validated", HYPERLINK("#" &amp; ADDRESS(183, 'Additional Chemicals-WUO_TRK'!A183),_xlfn.TEXTAFTER('Additional Chemicals-WUO_ERR'!A183, ":"))))</f>
        <v/>
      </c>
    </row>
    <row r="184">
      <c r="A184" s="39">
        <f>IF('Additional Chemicals'!B184 = "", "", IF('Additional Chemicals-WUO_ERR'!A184 = "", "Validated", HYPERLINK("#" &amp; ADDRESS(184, 'Additional Chemicals-WUO_TRK'!A184),_xlfn.TEXTAFTER('Additional Chemicals-WUO_ERR'!A184, ":"))))</f>
        <v/>
      </c>
    </row>
    <row r="185">
      <c r="A185" s="39">
        <f>IF('Additional Chemicals'!B185 = "", "", IF('Additional Chemicals-WUO_ERR'!A185 = "", "Validated", HYPERLINK("#" &amp; ADDRESS(185, 'Additional Chemicals-WUO_TRK'!A185),_xlfn.TEXTAFTER('Additional Chemicals-WUO_ERR'!A185, ":"))))</f>
        <v/>
      </c>
    </row>
    <row r="186">
      <c r="A186" s="39">
        <f>IF('Additional Chemicals'!B186 = "", "", IF('Additional Chemicals-WUO_ERR'!A186 = "", "Validated", HYPERLINK("#" &amp; ADDRESS(186, 'Additional Chemicals-WUO_TRK'!A186),_xlfn.TEXTAFTER('Additional Chemicals-WUO_ERR'!A186, ":"))))</f>
        <v/>
      </c>
    </row>
    <row r="187">
      <c r="A187" s="39">
        <f>IF('Additional Chemicals'!B187 = "", "", IF('Additional Chemicals-WUO_ERR'!A187 = "", "Validated", HYPERLINK("#" &amp; ADDRESS(187, 'Additional Chemicals-WUO_TRK'!A187),_xlfn.TEXTAFTER('Additional Chemicals-WUO_ERR'!A187, ":"))))</f>
        <v/>
      </c>
    </row>
    <row r="188">
      <c r="A188" s="39">
        <f>IF('Additional Chemicals'!B188 = "", "", IF('Additional Chemicals-WUO_ERR'!A188 = "", "Validated", HYPERLINK("#" &amp; ADDRESS(188, 'Additional Chemicals-WUO_TRK'!A188),_xlfn.TEXTAFTER('Additional Chemicals-WUO_ERR'!A188, ":"))))</f>
        <v/>
      </c>
    </row>
    <row r="189">
      <c r="A189" s="39">
        <f>IF('Additional Chemicals'!B189 = "", "", IF('Additional Chemicals-WUO_ERR'!A189 = "", "Validated", HYPERLINK("#" &amp; ADDRESS(189, 'Additional Chemicals-WUO_TRK'!A189),_xlfn.TEXTAFTER('Additional Chemicals-WUO_ERR'!A189, ":"))))</f>
        <v/>
      </c>
    </row>
    <row r="190">
      <c r="A190" s="39">
        <f>IF('Additional Chemicals'!B190 = "", "", IF('Additional Chemicals-WUO_ERR'!A190 = "", "Validated", HYPERLINK("#" &amp; ADDRESS(190, 'Additional Chemicals-WUO_TRK'!A190),_xlfn.TEXTAFTER('Additional Chemicals-WUO_ERR'!A190, ":"))))</f>
        <v/>
      </c>
    </row>
    <row r="191">
      <c r="A191" s="39">
        <f>IF('Additional Chemicals'!B191 = "", "", IF('Additional Chemicals-WUO_ERR'!A191 = "", "Validated", HYPERLINK("#" &amp; ADDRESS(191, 'Additional Chemicals-WUO_TRK'!A191),_xlfn.TEXTAFTER('Additional Chemicals-WUO_ERR'!A191, ":"))))</f>
        <v/>
      </c>
    </row>
    <row r="192">
      <c r="A192" s="39">
        <f>IF('Additional Chemicals'!B192 = "", "", IF('Additional Chemicals-WUO_ERR'!A192 = "", "Validated", HYPERLINK("#" &amp; ADDRESS(192, 'Additional Chemicals-WUO_TRK'!A192),_xlfn.TEXTAFTER('Additional Chemicals-WUO_ERR'!A192, ":"))))</f>
        <v/>
      </c>
    </row>
    <row r="193">
      <c r="A193" s="39">
        <f>IF('Additional Chemicals'!B193 = "", "", IF('Additional Chemicals-WUO_ERR'!A193 = "", "Validated", HYPERLINK("#" &amp; ADDRESS(193, 'Additional Chemicals-WUO_TRK'!A193),_xlfn.TEXTAFTER('Additional Chemicals-WUO_ERR'!A193, ":"))))</f>
        <v/>
      </c>
    </row>
    <row r="194">
      <c r="A194" s="39">
        <f>IF('Additional Chemicals'!B194 = "", "", IF('Additional Chemicals-WUO_ERR'!A194 = "", "Validated", HYPERLINK("#" &amp; ADDRESS(194, 'Additional Chemicals-WUO_TRK'!A194),_xlfn.TEXTAFTER('Additional Chemicals-WUO_ERR'!A194, ":"))))</f>
        <v/>
      </c>
    </row>
    <row r="195">
      <c r="A195" s="39">
        <f>IF('Additional Chemicals'!B195 = "", "", IF('Additional Chemicals-WUO_ERR'!A195 = "", "Validated", HYPERLINK("#" &amp; ADDRESS(195, 'Additional Chemicals-WUO_TRK'!A195),_xlfn.TEXTAFTER('Additional Chemicals-WUO_ERR'!A195, ":"))))</f>
        <v/>
      </c>
    </row>
    <row r="196">
      <c r="A196" s="39">
        <f>IF('Additional Chemicals'!B196 = "", "", IF('Additional Chemicals-WUO_ERR'!A196 = "", "Validated", HYPERLINK("#" &amp; ADDRESS(196, 'Additional Chemicals-WUO_TRK'!A196),_xlfn.TEXTAFTER('Additional Chemicals-WUO_ERR'!A196, ":"))))</f>
        <v/>
      </c>
    </row>
    <row r="197">
      <c r="A197" s="39">
        <f>IF('Additional Chemicals'!B197 = "", "", IF('Additional Chemicals-WUO_ERR'!A197 = "", "Validated", HYPERLINK("#" &amp; ADDRESS(197, 'Additional Chemicals-WUO_TRK'!A197),_xlfn.TEXTAFTER('Additional Chemicals-WUO_ERR'!A197, ":"))))</f>
        <v/>
      </c>
    </row>
    <row r="198">
      <c r="A198" s="39">
        <f>IF('Additional Chemicals'!B198 = "", "", IF('Additional Chemicals-WUO_ERR'!A198 = "", "Validated", HYPERLINK("#" &amp; ADDRESS(198, 'Additional Chemicals-WUO_TRK'!A198),_xlfn.TEXTAFTER('Additional Chemicals-WUO_ERR'!A198, ":"))))</f>
        <v/>
      </c>
    </row>
    <row r="199">
      <c r="A199" s="39">
        <f>IF('Additional Chemicals'!B199 = "", "", IF('Additional Chemicals-WUO_ERR'!A199 = "", "Validated", HYPERLINK("#" &amp; ADDRESS(199, 'Additional Chemicals-WUO_TRK'!A199),_xlfn.TEXTAFTER('Additional Chemicals-WUO_ERR'!A199, ":"))))</f>
        <v/>
      </c>
    </row>
    <row r="200">
      <c r="A200" s="39">
        <f>IF('Additional Chemicals'!B200 = "", "", IF('Additional Chemicals-WUO_ERR'!A200 = "", "Validated", HYPERLINK("#" &amp; ADDRESS(200, 'Additional Chemicals-WUO_TRK'!A200),_xlfn.TEXTAFTER('Additional Chemicals-WUO_ERR'!A200, ":"))))</f>
        <v/>
      </c>
    </row>
    <row r="201">
      <c r="A201" s="39">
        <f>IF('Additional Chemicals'!B201 = "", "", IF('Additional Chemicals-WUO_ERR'!A201 = "", "Validated", HYPERLINK("#" &amp; ADDRESS(201, 'Additional Chemicals-WUO_TRK'!A201),_xlfn.TEXTAFTER('Additional Chemicals-WUO_ERR'!A201, ":"))))</f>
        <v/>
      </c>
    </row>
    <row r="202">
      <c r="A202" s="39">
        <f>IF('Additional Chemicals'!B202 = "", "", IF('Additional Chemicals-WUO_ERR'!A202 = "", "Validated", HYPERLINK("#" &amp; ADDRESS(202, 'Additional Chemicals-WUO_TRK'!A202),_xlfn.TEXTAFTER('Additional Chemicals-WUO_ERR'!A202, ":"))))</f>
        <v/>
      </c>
    </row>
    <row r="203">
      <c r="A203" s="39">
        <f>IF('Additional Chemicals'!B203 = "", "", IF('Additional Chemicals-WUO_ERR'!A203 = "", "Validated", HYPERLINK("#" &amp; ADDRESS(203, 'Additional Chemicals-WUO_TRK'!A203),_xlfn.TEXTAFTER('Additional Chemicals-WUO_ERR'!A203, ":"))))</f>
        <v/>
      </c>
    </row>
    <row r="204">
      <c r="A204" s="39">
        <f>IF('Additional Chemicals'!B204 = "", "", IF('Additional Chemicals-WUO_ERR'!A204 = "", "Validated", HYPERLINK("#" &amp; ADDRESS(204, 'Additional Chemicals-WUO_TRK'!A204),_xlfn.TEXTAFTER('Additional Chemicals-WUO_ERR'!A204, ":"))))</f>
        <v/>
      </c>
    </row>
    <row r="205">
      <c r="A205" s="39">
        <f>IF('Additional Chemicals'!B205 = "", "", IF('Additional Chemicals-WUO_ERR'!A205 = "", "Validated", HYPERLINK("#" &amp; ADDRESS(205, 'Additional Chemicals-WUO_TRK'!A205),_xlfn.TEXTAFTER('Additional Chemicals-WUO_ERR'!A205, ":"))))</f>
        <v/>
      </c>
    </row>
    <row r="206">
      <c r="A206" s="39">
        <f>IF('Additional Chemicals'!B206 = "", "", IF('Additional Chemicals-WUO_ERR'!A206 = "", "Validated", HYPERLINK("#" &amp; ADDRESS(206, 'Additional Chemicals-WUO_TRK'!A206),_xlfn.TEXTAFTER('Additional Chemicals-WUO_ERR'!A206, ":"))))</f>
        <v/>
      </c>
    </row>
    <row r="207">
      <c r="A207" s="39">
        <f>IF('Additional Chemicals'!B207 = "", "", IF('Additional Chemicals-WUO_ERR'!A207 = "", "Validated", HYPERLINK("#" &amp; ADDRESS(207, 'Additional Chemicals-WUO_TRK'!A207),_xlfn.TEXTAFTER('Additional Chemicals-WUO_ERR'!A207, ":"))))</f>
        <v/>
      </c>
    </row>
    <row r="208">
      <c r="A208" s="39">
        <f>IF('Additional Chemicals'!B208 = "", "", IF('Additional Chemicals-WUO_ERR'!A208 = "", "Validated", HYPERLINK("#" &amp; ADDRESS(208, 'Additional Chemicals-WUO_TRK'!A208),_xlfn.TEXTAFTER('Additional Chemicals-WUO_ERR'!A208, ":"))))</f>
        <v/>
      </c>
    </row>
    <row r="209">
      <c r="A209" s="39">
        <f>IF('Additional Chemicals'!B209 = "", "", IF('Additional Chemicals-WUO_ERR'!A209 = "", "Validated", HYPERLINK("#" &amp; ADDRESS(209, 'Additional Chemicals-WUO_TRK'!A209),_xlfn.TEXTAFTER('Additional Chemicals-WUO_ERR'!A209, ":"))))</f>
        <v/>
      </c>
    </row>
    <row r="210">
      <c r="A210" s="39">
        <f>IF('Additional Chemicals'!B210 = "", "", IF('Additional Chemicals-WUO_ERR'!A210 = "", "Validated", HYPERLINK("#" &amp; ADDRESS(210, 'Additional Chemicals-WUO_TRK'!A210),_xlfn.TEXTAFTER('Additional Chemicals-WUO_ERR'!A210, ":"))))</f>
        <v/>
      </c>
    </row>
    <row r="211">
      <c r="A211" s="39">
        <f>IF('Additional Chemicals'!B211 = "", "", IF('Additional Chemicals-WUO_ERR'!A211 = "", "Validated", HYPERLINK("#" &amp; ADDRESS(211, 'Additional Chemicals-WUO_TRK'!A211),_xlfn.TEXTAFTER('Additional Chemicals-WUO_ERR'!A211, ":"))))</f>
        <v/>
      </c>
    </row>
    <row r="212">
      <c r="A212" s="39">
        <f>IF('Additional Chemicals'!B212 = "", "", IF('Additional Chemicals-WUO_ERR'!A212 = "", "Validated", HYPERLINK("#" &amp; ADDRESS(212, 'Additional Chemicals-WUO_TRK'!A212),_xlfn.TEXTAFTER('Additional Chemicals-WUO_ERR'!A212, ":"))))</f>
        <v/>
      </c>
    </row>
    <row r="213">
      <c r="A213" s="39">
        <f>IF('Additional Chemicals'!B213 = "", "", IF('Additional Chemicals-WUO_ERR'!A213 = "", "Validated", HYPERLINK("#" &amp; ADDRESS(213, 'Additional Chemicals-WUO_TRK'!A213),_xlfn.TEXTAFTER('Additional Chemicals-WUO_ERR'!A213, ":"))))</f>
        <v/>
      </c>
    </row>
    <row r="214">
      <c r="A214" s="39">
        <f>IF('Additional Chemicals'!B214 = "", "", IF('Additional Chemicals-WUO_ERR'!A214 = "", "Validated", HYPERLINK("#" &amp; ADDRESS(214, 'Additional Chemicals-WUO_TRK'!A214),_xlfn.TEXTAFTER('Additional Chemicals-WUO_ERR'!A214, ":"))))</f>
        <v/>
      </c>
    </row>
    <row r="215">
      <c r="A215" s="39">
        <f>IF('Additional Chemicals'!B215 = "", "", IF('Additional Chemicals-WUO_ERR'!A215 = "", "Validated", HYPERLINK("#" &amp; ADDRESS(215, 'Additional Chemicals-WUO_TRK'!A215),_xlfn.TEXTAFTER('Additional Chemicals-WUO_ERR'!A215, ":"))))</f>
        <v/>
      </c>
    </row>
    <row r="216">
      <c r="A216" s="39">
        <f>IF('Additional Chemicals'!B216 = "", "", IF('Additional Chemicals-WUO_ERR'!A216 = "", "Validated", HYPERLINK("#" &amp; ADDRESS(216, 'Additional Chemicals-WUO_TRK'!A216),_xlfn.TEXTAFTER('Additional Chemicals-WUO_ERR'!A216, ":"))))</f>
        <v/>
      </c>
    </row>
    <row r="217">
      <c r="A217" s="39">
        <f>IF('Additional Chemicals'!B217 = "", "", IF('Additional Chemicals-WUO_ERR'!A217 = "", "Validated", HYPERLINK("#" &amp; ADDRESS(217, 'Additional Chemicals-WUO_TRK'!A217),_xlfn.TEXTAFTER('Additional Chemicals-WUO_ERR'!A217, ":"))))</f>
        <v/>
      </c>
    </row>
    <row r="218">
      <c r="A218" s="39">
        <f>IF('Additional Chemicals'!B218 = "", "", IF('Additional Chemicals-WUO_ERR'!A218 = "", "Validated", HYPERLINK("#" &amp; ADDRESS(218, 'Additional Chemicals-WUO_TRK'!A218),_xlfn.TEXTAFTER('Additional Chemicals-WUO_ERR'!A218, ":"))))</f>
        <v/>
      </c>
    </row>
    <row r="219">
      <c r="A219" s="39">
        <f>IF('Additional Chemicals'!B219 = "", "", IF('Additional Chemicals-WUO_ERR'!A219 = "", "Validated", HYPERLINK("#" &amp; ADDRESS(219, 'Additional Chemicals-WUO_TRK'!A219),_xlfn.TEXTAFTER('Additional Chemicals-WUO_ERR'!A219, ":"))))</f>
        <v/>
      </c>
    </row>
    <row r="220">
      <c r="A220" s="39">
        <f>IF('Additional Chemicals'!B220 = "", "", IF('Additional Chemicals-WUO_ERR'!A220 = "", "Validated", HYPERLINK("#" &amp; ADDRESS(220, 'Additional Chemicals-WUO_TRK'!A220),_xlfn.TEXTAFTER('Additional Chemicals-WUO_ERR'!A220, ":"))))</f>
        <v/>
      </c>
    </row>
    <row r="221">
      <c r="A221" s="39">
        <f>IF('Additional Chemicals'!B221 = "", "", IF('Additional Chemicals-WUO_ERR'!A221 = "", "Validated", HYPERLINK("#" &amp; ADDRESS(221, 'Additional Chemicals-WUO_TRK'!A221),_xlfn.TEXTAFTER('Additional Chemicals-WUO_ERR'!A221, ":"))))</f>
        <v/>
      </c>
    </row>
    <row r="222">
      <c r="A222" s="39">
        <f>IF('Additional Chemicals'!B222 = "", "", IF('Additional Chemicals-WUO_ERR'!A222 = "", "Validated", HYPERLINK("#" &amp; ADDRESS(222, 'Additional Chemicals-WUO_TRK'!A222),_xlfn.TEXTAFTER('Additional Chemicals-WUO_ERR'!A222, ":"))))</f>
        <v/>
      </c>
    </row>
    <row r="223">
      <c r="A223" s="39">
        <f>IF('Additional Chemicals'!B223 = "", "", IF('Additional Chemicals-WUO_ERR'!A223 = "", "Validated", HYPERLINK("#" &amp; ADDRESS(223, 'Additional Chemicals-WUO_TRK'!A223),_xlfn.TEXTAFTER('Additional Chemicals-WUO_ERR'!A223, ":"))))</f>
        <v/>
      </c>
    </row>
    <row r="224">
      <c r="A224" s="39">
        <f>IF('Additional Chemicals'!B224 = "", "", IF('Additional Chemicals-WUO_ERR'!A224 = "", "Validated", HYPERLINK("#" &amp; ADDRESS(224, 'Additional Chemicals-WUO_TRK'!A224),_xlfn.TEXTAFTER('Additional Chemicals-WUO_ERR'!A224, ":"))))</f>
        <v/>
      </c>
    </row>
    <row r="225">
      <c r="A225" s="39">
        <f>IF('Additional Chemicals'!B225 = "", "", IF('Additional Chemicals-WUO_ERR'!A225 = "", "Validated", HYPERLINK("#" &amp; ADDRESS(225, 'Additional Chemicals-WUO_TRK'!A225),_xlfn.TEXTAFTER('Additional Chemicals-WUO_ERR'!A225, ":"))))</f>
        <v/>
      </c>
    </row>
    <row r="226">
      <c r="A226" s="39">
        <f>IF('Additional Chemicals'!B226 = "", "", IF('Additional Chemicals-WUO_ERR'!A226 = "", "Validated", HYPERLINK("#" &amp; ADDRESS(226, 'Additional Chemicals-WUO_TRK'!A226),_xlfn.TEXTAFTER('Additional Chemicals-WUO_ERR'!A226, ":"))))</f>
        <v/>
      </c>
    </row>
    <row r="227">
      <c r="A227" s="39">
        <f>IF('Additional Chemicals'!B227 = "", "", IF('Additional Chemicals-WUO_ERR'!A227 = "", "Validated", HYPERLINK("#" &amp; ADDRESS(227, 'Additional Chemicals-WUO_TRK'!A227),_xlfn.TEXTAFTER('Additional Chemicals-WUO_ERR'!A227, ":"))))</f>
        <v/>
      </c>
    </row>
    <row r="228">
      <c r="A228" s="39">
        <f>IF('Additional Chemicals'!B228 = "", "", IF('Additional Chemicals-WUO_ERR'!A228 = "", "Validated", HYPERLINK("#" &amp; ADDRESS(228, 'Additional Chemicals-WUO_TRK'!A228),_xlfn.TEXTAFTER('Additional Chemicals-WUO_ERR'!A228, ":"))))</f>
        <v/>
      </c>
    </row>
    <row r="229">
      <c r="A229" s="39">
        <f>IF('Additional Chemicals'!B229 = "", "", IF('Additional Chemicals-WUO_ERR'!A229 = "", "Validated", HYPERLINK("#" &amp; ADDRESS(229, 'Additional Chemicals-WUO_TRK'!A229),_xlfn.TEXTAFTER('Additional Chemicals-WUO_ERR'!A229, ":"))))</f>
        <v/>
      </c>
    </row>
    <row r="230">
      <c r="A230" s="39">
        <f>IF('Additional Chemicals'!B230 = "", "", IF('Additional Chemicals-WUO_ERR'!A230 = "", "Validated", HYPERLINK("#" &amp; ADDRESS(230, 'Additional Chemicals-WUO_TRK'!A230),_xlfn.TEXTAFTER('Additional Chemicals-WUO_ERR'!A230, ":"))))</f>
        <v/>
      </c>
    </row>
    <row r="231">
      <c r="A231" s="39">
        <f>IF('Additional Chemicals'!B231 = "", "", IF('Additional Chemicals-WUO_ERR'!A231 = "", "Validated", HYPERLINK("#" &amp; ADDRESS(231, 'Additional Chemicals-WUO_TRK'!A231),_xlfn.TEXTAFTER('Additional Chemicals-WUO_ERR'!A231, ":"))))</f>
        <v/>
      </c>
    </row>
    <row r="232">
      <c r="A232" s="39">
        <f>IF('Additional Chemicals'!B232 = "", "", IF('Additional Chemicals-WUO_ERR'!A232 = "", "Validated", HYPERLINK("#" &amp; ADDRESS(232, 'Additional Chemicals-WUO_TRK'!A232),_xlfn.TEXTAFTER('Additional Chemicals-WUO_ERR'!A232, ":"))))</f>
        <v/>
      </c>
    </row>
    <row r="233">
      <c r="A233" s="39">
        <f>IF('Additional Chemicals'!B233 = "", "", IF('Additional Chemicals-WUO_ERR'!A233 = "", "Validated", HYPERLINK("#" &amp; ADDRESS(233, 'Additional Chemicals-WUO_TRK'!A233),_xlfn.TEXTAFTER('Additional Chemicals-WUO_ERR'!A233, ":"))))</f>
        <v/>
      </c>
    </row>
    <row r="234">
      <c r="A234" s="39">
        <f>IF('Additional Chemicals'!B234 = "", "", IF('Additional Chemicals-WUO_ERR'!A234 = "", "Validated", HYPERLINK("#" &amp; ADDRESS(234, 'Additional Chemicals-WUO_TRK'!A234),_xlfn.TEXTAFTER('Additional Chemicals-WUO_ERR'!A234, ":"))))</f>
        <v/>
      </c>
    </row>
    <row r="235">
      <c r="A235" s="39">
        <f>IF('Additional Chemicals'!B235 = "", "", IF('Additional Chemicals-WUO_ERR'!A235 = "", "Validated", HYPERLINK("#" &amp; ADDRESS(235, 'Additional Chemicals-WUO_TRK'!A235),_xlfn.TEXTAFTER('Additional Chemicals-WUO_ERR'!A235, ":"))))</f>
        <v/>
      </c>
    </row>
    <row r="236">
      <c r="A236" s="39">
        <f>IF('Additional Chemicals'!B236 = "", "", IF('Additional Chemicals-WUO_ERR'!A236 = "", "Validated", HYPERLINK("#" &amp; ADDRESS(236, 'Additional Chemicals-WUO_TRK'!A236),_xlfn.TEXTAFTER('Additional Chemicals-WUO_ERR'!A236, ":"))))</f>
        <v/>
      </c>
    </row>
    <row r="237">
      <c r="A237" s="39">
        <f>IF('Additional Chemicals'!B237 = "", "", IF('Additional Chemicals-WUO_ERR'!A237 = "", "Validated", HYPERLINK("#" &amp; ADDRESS(237, 'Additional Chemicals-WUO_TRK'!A237),_xlfn.TEXTAFTER('Additional Chemicals-WUO_ERR'!A237, ":"))))</f>
        <v/>
      </c>
    </row>
    <row r="238">
      <c r="A238" s="39">
        <f>IF('Additional Chemicals'!B238 = "", "", IF('Additional Chemicals-WUO_ERR'!A238 = "", "Validated", HYPERLINK("#" &amp; ADDRESS(238, 'Additional Chemicals-WUO_TRK'!A238),_xlfn.TEXTAFTER('Additional Chemicals-WUO_ERR'!A238, ":"))))</f>
        <v/>
      </c>
    </row>
    <row r="239">
      <c r="A239" s="39">
        <f>IF('Additional Chemicals'!B239 = "", "", IF('Additional Chemicals-WUO_ERR'!A239 = "", "Validated", HYPERLINK("#" &amp; ADDRESS(239, 'Additional Chemicals-WUO_TRK'!A239),_xlfn.TEXTAFTER('Additional Chemicals-WUO_ERR'!A239, ":"))))</f>
        <v/>
      </c>
    </row>
    <row r="240">
      <c r="A240" s="39">
        <f>IF('Additional Chemicals'!B240 = "", "", IF('Additional Chemicals-WUO_ERR'!A240 = "", "Validated", HYPERLINK("#" &amp; ADDRESS(240, 'Additional Chemicals-WUO_TRK'!A240),_xlfn.TEXTAFTER('Additional Chemicals-WUO_ERR'!A240, ":"))))</f>
        <v/>
      </c>
    </row>
    <row r="241">
      <c r="A241" s="39">
        <f>IF('Additional Chemicals'!B241 = "", "", IF('Additional Chemicals-WUO_ERR'!A241 = "", "Validated", HYPERLINK("#" &amp; ADDRESS(241, 'Additional Chemicals-WUO_TRK'!A241),_xlfn.TEXTAFTER('Additional Chemicals-WUO_ERR'!A241, ":"))))</f>
        <v/>
      </c>
    </row>
    <row r="242">
      <c r="A242" s="39">
        <f>IF('Additional Chemicals'!B242 = "", "", IF('Additional Chemicals-WUO_ERR'!A242 = "", "Validated", HYPERLINK("#" &amp; ADDRESS(242, 'Additional Chemicals-WUO_TRK'!A242),_xlfn.TEXTAFTER('Additional Chemicals-WUO_ERR'!A242, ":"))))</f>
        <v/>
      </c>
    </row>
    <row r="243">
      <c r="A243" s="39">
        <f>IF('Additional Chemicals'!B243 = "", "", IF('Additional Chemicals-WUO_ERR'!A243 = "", "Validated", HYPERLINK("#" &amp; ADDRESS(243, 'Additional Chemicals-WUO_TRK'!A243),_xlfn.TEXTAFTER('Additional Chemicals-WUO_ERR'!A243, ":"))))</f>
        <v/>
      </c>
    </row>
    <row r="244">
      <c r="A244" s="39">
        <f>IF('Additional Chemicals'!B244 = "", "", IF('Additional Chemicals-WUO_ERR'!A244 = "", "Validated", HYPERLINK("#" &amp; ADDRESS(244, 'Additional Chemicals-WUO_TRK'!A244),_xlfn.TEXTAFTER('Additional Chemicals-WUO_ERR'!A244, ":"))))</f>
        <v/>
      </c>
    </row>
    <row r="245">
      <c r="A245" s="39">
        <f>IF('Additional Chemicals'!B245 = "", "", IF('Additional Chemicals-WUO_ERR'!A245 = "", "Validated", HYPERLINK("#" &amp; ADDRESS(245, 'Additional Chemicals-WUO_TRK'!A245),_xlfn.TEXTAFTER('Additional Chemicals-WUO_ERR'!A245, ":"))))</f>
        <v/>
      </c>
    </row>
    <row r="246">
      <c r="A246" s="39">
        <f>IF('Additional Chemicals'!B246 = "", "", IF('Additional Chemicals-WUO_ERR'!A246 = "", "Validated", HYPERLINK("#" &amp; ADDRESS(246, 'Additional Chemicals-WUO_TRK'!A246),_xlfn.TEXTAFTER('Additional Chemicals-WUO_ERR'!A246, ":"))))</f>
        <v/>
      </c>
    </row>
    <row r="247">
      <c r="A247" s="39">
        <f>IF('Additional Chemicals'!B247 = "", "", IF('Additional Chemicals-WUO_ERR'!A247 = "", "Validated", HYPERLINK("#" &amp; ADDRESS(247, 'Additional Chemicals-WUO_TRK'!A247),_xlfn.TEXTAFTER('Additional Chemicals-WUO_ERR'!A247, ":"))))</f>
        <v/>
      </c>
    </row>
    <row r="248">
      <c r="A248" s="39">
        <f>IF('Additional Chemicals'!B248 = "", "", IF('Additional Chemicals-WUO_ERR'!A248 = "", "Validated", HYPERLINK("#" &amp; ADDRESS(248, 'Additional Chemicals-WUO_TRK'!A248),_xlfn.TEXTAFTER('Additional Chemicals-WUO_ERR'!A248, ":"))))</f>
        <v/>
      </c>
    </row>
    <row r="249">
      <c r="A249" s="39">
        <f>IF('Additional Chemicals'!B249 = "", "", IF('Additional Chemicals-WUO_ERR'!A249 = "", "Validated", HYPERLINK("#" &amp; ADDRESS(249, 'Additional Chemicals-WUO_TRK'!A249),_xlfn.TEXTAFTER('Additional Chemicals-WUO_ERR'!A249, ":"))))</f>
        <v/>
      </c>
    </row>
    <row r="250">
      <c r="A250" s="39">
        <f>IF('Additional Chemicals'!B250 = "", "", IF('Additional Chemicals-WUO_ERR'!A250 = "", "Validated", HYPERLINK("#" &amp; ADDRESS(250, 'Additional Chemicals-WUO_TRK'!A250),_xlfn.TEXTAFTER('Additional Chemicals-WUO_ERR'!A250, ":"))))</f>
        <v/>
      </c>
    </row>
    <row r="251">
      <c r="A251" s="39">
        <f>IF('Additional Chemicals'!B251 = "", "", IF('Additional Chemicals-WUO_ERR'!A251 = "", "Validated", HYPERLINK("#" &amp; ADDRESS(251, 'Additional Chemicals-WUO_TRK'!A251),_xlfn.TEXTAFTER('Additional Chemicals-WUO_ERR'!A251, ":"))))</f>
        <v/>
      </c>
    </row>
    <row r="252">
      <c r="A252" s="39">
        <f>IF('Additional Chemicals'!B252 = "", "", IF('Additional Chemicals-WUO_ERR'!A252 = "", "Validated", HYPERLINK("#" &amp; ADDRESS(252, 'Additional Chemicals-WUO_TRK'!A252),_xlfn.TEXTAFTER('Additional Chemicals-WUO_ERR'!A252, ":"))))</f>
        <v/>
      </c>
    </row>
    <row r="253">
      <c r="A253" s="39">
        <f>IF('Additional Chemicals'!B253 = "", "", IF('Additional Chemicals-WUO_ERR'!A253 = "", "Validated", HYPERLINK("#" &amp; ADDRESS(253, 'Additional Chemicals-WUO_TRK'!A253),_xlfn.TEXTAFTER('Additional Chemicals-WUO_ERR'!A253, ":"))))</f>
        <v/>
      </c>
    </row>
    <row r="254">
      <c r="A254" s="39">
        <f>IF('Additional Chemicals'!B254 = "", "", IF('Additional Chemicals-WUO_ERR'!A254 = "", "Validated", HYPERLINK("#" &amp; ADDRESS(254, 'Additional Chemicals-WUO_TRK'!A254),_xlfn.TEXTAFTER('Additional Chemicals-WUO_ERR'!A254, ":"))))</f>
        <v/>
      </c>
    </row>
    <row r="255">
      <c r="A255" s="39">
        <f>IF('Additional Chemicals'!B255 = "", "", IF('Additional Chemicals-WUO_ERR'!A255 = "", "Validated", HYPERLINK("#" &amp; ADDRESS(255, 'Additional Chemicals-WUO_TRK'!A255),_xlfn.TEXTAFTER('Additional Chemicals-WUO_ERR'!A255, ":"))))</f>
        <v/>
      </c>
    </row>
    <row r="256">
      <c r="A256" s="39">
        <f>IF('Additional Chemicals'!B256 = "", "", IF('Additional Chemicals-WUO_ERR'!A256 = "", "Validated", HYPERLINK("#" &amp; ADDRESS(256, 'Additional Chemicals-WUO_TRK'!A256),_xlfn.TEXTAFTER('Additional Chemicals-WUO_ERR'!A256, ":"))))</f>
        <v/>
      </c>
    </row>
    <row r="257">
      <c r="A257" s="39">
        <f>IF('Additional Chemicals'!B257 = "", "", IF('Additional Chemicals-WUO_ERR'!A257 = "", "Validated", HYPERLINK("#" &amp; ADDRESS(257, 'Additional Chemicals-WUO_TRK'!A257),_xlfn.TEXTAFTER('Additional Chemicals-WUO_ERR'!A257, ":"))))</f>
        <v/>
      </c>
    </row>
    <row r="258">
      <c r="A258" s="39">
        <f>IF('Additional Chemicals'!B258 = "", "", IF('Additional Chemicals-WUO_ERR'!A258 = "", "Validated", HYPERLINK("#" &amp; ADDRESS(258, 'Additional Chemicals-WUO_TRK'!A258),_xlfn.TEXTAFTER('Additional Chemicals-WUO_ERR'!A258, ":"))))</f>
        <v/>
      </c>
    </row>
    <row r="259">
      <c r="A259" s="39">
        <f>IF('Additional Chemicals'!B259 = "", "", IF('Additional Chemicals-WUO_ERR'!A259 = "", "Validated", HYPERLINK("#" &amp; ADDRESS(259, 'Additional Chemicals-WUO_TRK'!A259),_xlfn.TEXTAFTER('Additional Chemicals-WUO_ERR'!A259, ":"))))</f>
        <v/>
      </c>
    </row>
    <row r="260">
      <c r="A260" s="39">
        <f>IF('Additional Chemicals'!B260 = "", "", IF('Additional Chemicals-WUO_ERR'!A260 = "", "Validated", HYPERLINK("#" &amp; ADDRESS(260, 'Additional Chemicals-WUO_TRK'!A260),_xlfn.TEXTAFTER('Additional Chemicals-WUO_ERR'!A260, ":"))))</f>
        <v/>
      </c>
    </row>
    <row r="261">
      <c r="A261" s="39">
        <f>IF('Additional Chemicals'!B261 = "", "", IF('Additional Chemicals-WUO_ERR'!A261 = "", "Validated", HYPERLINK("#" &amp; ADDRESS(261, 'Additional Chemicals-WUO_TRK'!A261),_xlfn.TEXTAFTER('Additional Chemicals-WUO_ERR'!A261, ":"))))</f>
        <v/>
      </c>
    </row>
    <row r="262">
      <c r="A262" s="39">
        <f>IF('Additional Chemicals'!B262 = "", "", IF('Additional Chemicals-WUO_ERR'!A262 = "", "Validated", HYPERLINK("#" &amp; ADDRESS(262, 'Additional Chemicals-WUO_TRK'!A262),_xlfn.TEXTAFTER('Additional Chemicals-WUO_ERR'!A262, ":"))))</f>
        <v/>
      </c>
    </row>
    <row r="263">
      <c r="A263" s="39">
        <f>IF('Additional Chemicals'!B263 = "", "", IF('Additional Chemicals-WUO_ERR'!A263 = "", "Validated", HYPERLINK("#" &amp; ADDRESS(263, 'Additional Chemicals-WUO_TRK'!A263),_xlfn.TEXTAFTER('Additional Chemicals-WUO_ERR'!A263, ":"))))</f>
        <v/>
      </c>
    </row>
    <row r="264">
      <c r="A264" s="39">
        <f>IF('Additional Chemicals'!B264 = "", "", IF('Additional Chemicals-WUO_ERR'!A264 = "", "Validated", HYPERLINK("#" &amp; ADDRESS(264, 'Additional Chemicals-WUO_TRK'!A264),_xlfn.TEXTAFTER('Additional Chemicals-WUO_ERR'!A264, ":"))))</f>
        <v/>
      </c>
    </row>
    <row r="265">
      <c r="A265" s="39">
        <f>IF('Additional Chemicals'!B265 = "", "", IF('Additional Chemicals-WUO_ERR'!A265 = "", "Validated", HYPERLINK("#" &amp; ADDRESS(265, 'Additional Chemicals-WUO_TRK'!A265),_xlfn.TEXTAFTER('Additional Chemicals-WUO_ERR'!A265, ":"))))</f>
        <v/>
      </c>
    </row>
    <row r="266">
      <c r="A266" s="39">
        <f>IF('Additional Chemicals'!B266 = "", "", IF('Additional Chemicals-WUO_ERR'!A266 = "", "Validated", HYPERLINK("#" &amp; ADDRESS(266, 'Additional Chemicals-WUO_TRK'!A266),_xlfn.TEXTAFTER('Additional Chemicals-WUO_ERR'!A266, ":"))))</f>
        <v/>
      </c>
    </row>
    <row r="267">
      <c r="A267" s="39">
        <f>IF('Additional Chemicals'!B267 = "", "", IF('Additional Chemicals-WUO_ERR'!A267 = "", "Validated", HYPERLINK("#" &amp; ADDRESS(267, 'Additional Chemicals-WUO_TRK'!A267),_xlfn.TEXTAFTER('Additional Chemicals-WUO_ERR'!A267, ":"))))</f>
        <v/>
      </c>
    </row>
    <row r="268">
      <c r="A268" s="39">
        <f>IF('Additional Chemicals'!B268 = "", "", IF('Additional Chemicals-WUO_ERR'!A268 = "", "Validated", HYPERLINK("#" &amp; ADDRESS(268, 'Additional Chemicals-WUO_TRK'!A268),_xlfn.TEXTAFTER('Additional Chemicals-WUO_ERR'!A268, ":"))))</f>
        <v/>
      </c>
    </row>
    <row r="269">
      <c r="A269" s="39">
        <f>IF('Additional Chemicals'!B269 = "", "", IF('Additional Chemicals-WUO_ERR'!A269 = "", "Validated", HYPERLINK("#" &amp; ADDRESS(269, 'Additional Chemicals-WUO_TRK'!A269),_xlfn.TEXTAFTER('Additional Chemicals-WUO_ERR'!A269, ":"))))</f>
        <v/>
      </c>
    </row>
    <row r="270">
      <c r="A270" s="39">
        <f>IF('Additional Chemicals'!B270 = "", "", IF('Additional Chemicals-WUO_ERR'!A270 = "", "Validated", HYPERLINK("#" &amp; ADDRESS(270, 'Additional Chemicals-WUO_TRK'!A270),_xlfn.TEXTAFTER('Additional Chemicals-WUO_ERR'!A270, ":"))))</f>
        <v/>
      </c>
    </row>
    <row r="271">
      <c r="A271" s="39">
        <f>IF('Additional Chemicals'!B271 = "", "", IF('Additional Chemicals-WUO_ERR'!A271 = "", "Validated", HYPERLINK("#" &amp; ADDRESS(271, 'Additional Chemicals-WUO_TRK'!A271),_xlfn.TEXTAFTER('Additional Chemicals-WUO_ERR'!A271, ":"))))</f>
        <v/>
      </c>
    </row>
    <row r="272">
      <c r="A272" s="39">
        <f>IF('Additional Chemicals'!B272 = "", "", IF('Additional Chemicals-WUO_ERR'!A272 = "", "Validated", HYPERLINK("#" &amp; ADDRESS(272, 'Additional Chemicals-WUO_TRK'!A272),_xlfn.TEXTAFTER('Additional Chemicals-WUO_ERR'!A272, ":"))))</f>
        <v/>
      </c>
    </row>
    <row r="273">
      <c r="A273" s="39">
        <f>IF('Additional Chemicals'!B273 = "", "", IF('Additional Chemicals-WUO_ERR'!A273 = "", "Validated", HYPERLINK("#" &amp; ADDRESS(273, 'Additional Chemicals-WUO_TRK'!A273),_xlfn.TEXTAFTER('Additional Chemicals-WUO_ERR'!A273, ":"))))</f>
        <v/>
      </c>
    </row>
    <row r="274">
      <c r="A274" s="39">
        <f>IF('Additional Chemicals'!B274 = "", "", IF('Additional Chemicals-WUO_ERR'!A274 = "", "Validated", HYPERLINK("#" &amp; ADDRESS(274, 'Additional Chemicals-WUO_TRK'!A274),_xlfn.TEXTAFTER('Additional Chemicals-WUO_ERR'!A274, ":"))))</f>
        <v/>
      </c>
    </row>
    <row r="275">
      <c r="A275" s="39">
        <f>IF('Additional Chemicals'!B275 = "", "", IF('Additional Chemicals-WUO_ERR'!A275 = "", "Validated", HYPERLINK("#" &amp; ADDRESS(275, 'Additional Chemicals-WUO_TRK'!A275),_xlfn.TEXTAFTER('Additional Chemicals-WUO_ERR'!A275, ":"))))</f>
        <v/>
      </c>
    </row>
    <row r="276">
      <c r="A276" s="39">
        <f>IF('Additional Chemicals'!B276 = "", "", IF('Additional Chemicals-WUO_ERR'!A276 = "", "Validated", HYPERLINK("#" &amp; ADDRESS(276, 'Additional Chemicals-WUO_TRK'!A276),_xlfn.TEXTAFTER('Additional Chemicals-WUO_ERR'!A276, ":"))))</f>
        <v/>
      </c>
    </row>
    <row r="277">
      <c r="A277" s="39">
        <f>IF('Additional Chemicals'!B277 = "", "", IF('Additional Chemicals-WUO_ERR'!A277 = "", "Validated", HYPERLINK("#" &amp; ADDRESS(277, 'Additional Chemicals-WUO_TRK'!A277),_xlfn.TEXTAFTER('Additional Chemicals-WUO_ERR'!A277, ":"))))</f>
        <v/>
      </c>
    </row>
    <row r="278">
      <c r="A278" s="39">
        <f>IF('Additional Chemicals'!B278 = "", "", IF('Additional Chemicals-WUO_ERR'!A278 = "", "Validated", HYPERLINK("#" &amp; ADDRESS(278, 'Additional Chemicals-WUO_TRK'!A278),_xlfn.TEXTAFTER('Additional Chemicals-WUO_ERR'!A278, ":"))))</f>
        <v/>
      </c>
    </row>
    <row r="279">
      <c r="A279" s="39">
        <f>IF('Additional Chemicals'!B279 = "", "", IF('Additional Chemicals-WUO_ERR'!A279 = "", "Validated", HYPERLINK("#" &amp; ADDRESS(279, 'Additional Chemicals-WUO_TRK'!A279),_xlfn.TEXTAFTER('Additional Chemicals-WUO_ERR'!A279, ":"))))</f>
        <v/>
      </c>
    </row>
    <row r="280">
      <c r="A280" s="39">
        <f>IF('Additional Chemicals'!B280 = "", "", IF('Additional Chemicals-WUO_ERR'!A280 = "", "Validated", HYPERLINK("#" &amp; ADDRESS(280, 'Additional Chemicals-WUO_TRK'!A280),_xlfn.TEXTAFTER('Additional Chemicals-WUO_ERR'!A280, ":"))))</f>
        <v/>
      </c>
    </row>
    <row r="281">
      <c r="A281" s="39">
        <f>IF('Additional Chemicals'!B281 = "", "", IF('Additional Chemicals-WUO_ERR'!A281 = "", "Validated", HYPERLINK("#" &amp; ADDRESS(281, 'Additional Chemicals-WUO_TRK'!A281),_xlfn.TEXTAFTER('Additional Chemicals-WUO_ERR'!A281, ":"))))</f>
        <v/>
      </c>
    </row>
    <row r="282">
      <c r="A282" s="39">
        <f>IF('Additional Chemicals'!B282 = "", "", IF('Additional Chemicals-WUO_ERR'!A282 = "", "Validated", HYPERLINK("#" &amp; ADDRESS(282, 'Additional Chemicals-WUO_TRK'!A282),_xlfn.TEXTAFTER('Additional Chemicals-WUO_ERR'!A282, ":"))))</f>
        <v/>
      </c>
    </row>
    <row r="283">
      <c r="A283" s="39">
        <f>IF('Additional Chemicals'!B283 = "", "", IF('Additional Chemicals-WUO_ERR'!A283 = "", "Validated", HYPERLINK("#" &amp; ADDRESS(283, 'Additional Chemicals-WUO_TRK'!A283),_xlfn.TEXTAFTER('Additional Chemicals-WUO_ERR'!A283, ":"))))</f>
        <v/>
      </c>
    </row>
    <row r="284">
      <c r="A284" s="39">
        <f>IF('Additional Chemicals'!B284 = "", "", IF('Additional Chemicals-WUO_ERR'!A284 = "", "Validated", HYPERLINK("#" &amp; ADDRESS(284, 'Additional Chemicals-WUO_TRK'!A284),_xlfn.TEXTAFTER('Additional Chemicals-WUO_ERR'!A284, ":"))))</f>
        <v/>
      </c>
    </row>
    <row r="285">
      <c r="A285" s="39">
        <f>IF('Additional Chemicals'!B285 = "", "", IF('Additional Chemicals-WUO_ERR'!A285 = "", "Validated", HYPERLINK("#" &amp; ADDRESS(285, 'Additional Chemicals-WUO_TRK'!A285),_xlfn.TEXTAFTER('Additional Chemicals-WUO_ERR'!A285, ":"))))</f>
        <v/>
      </c>
    </row>
    <row r="286">
      <c r="A286" s="39">
        <f>IF('Additional Chemicals'!B286 = "", "", IF('Additional Chemicals-WUO_ERR'!A286 = "", "Validated", HYPERLINK("#" &amp; ADDRESS(286, 'Additional Chemicals-WUO_TRK'!A286),_xlfn.TEXTAFTER('Additional Chemicals-WUO_ERR'!A286, ":"))))</f>
        <v/>
      </c>
    </row>
    <row r="287">
      <c r="A287" s="39">
        <f>IF('Additional Chemicals'!B287 = "", "", IF('Additional Chemicals-WUO_ERR'!A287 = "", "Validated", HYPERLINK("#" &amp; ADDRESS(287, 'Additional Chemicals-WUO_TRK'!A287),_xlfn.TEXTAFTER('Additional Chemicals-WUO_ERR'!A287, ":"))))</f>
        <v/>
      </c>
    </row>
    <row r="288">
      <c r="A288" s="39">
        <f>IF('Additional Chemicals'!B288 = "", "", IF('Additional Chemicals-WUO_ERR'!A288 = "", "Validated", HYPERLINK("#" &amp; ADDRESS(288, 'Additional Chemicals-WUO_TRK'!A288),_xlfn.TEXTAFTER('Additional Chemicals-WUO_ERR'!A288, ":"))))</f>
        <v/>
      </c>
    </row>
    <row r="289">
      <c r="A289" s="39">
        <f>IF('Additional Chemicals'!B289 = "", "", IF('Additional Chemicals-WUO_ERR'!A289 = "", "Validated", HYPERLINK("#" &amp; ADDRESS(289, 'Additional Chemicals-WUO_TRK'!A289),_xlfn.TEXTAFTER('Additional Chemicals-WUO_ERR'!A289, ":"))))</f>
        <v/>
      </c>
    </row>
    <row r="290">
      <c r="A290" s="39">
        <f>IF('Additional Chemicals'!B290 = "", "", IF('Additional Chemicals-WUO_ERR'!A290 = "", "Validated", HYPERLINK("#" &amp; ADDRESS(290, 'Additional Chemicals-WUO_TRK'!A290),_xlfn.TEXTAFTER('Additional Chemicals-WUO_ERR'!A290, ":"))))</f>
        <v/>
      </c>
    </row>
    <row r="291">
      <c r="A291" s="39">
        <f>IF('Additional Chemicals'!B291 = "", "", IF('Additional Chemicals-WUO_ERR'!A291 = "", "Validated", HYPERLINK("#" &amp; ADDRESS(291, 'Additional Chemicals-WUO_TRK'!A291),_xlfn.TEXTAFTER('Additional Chemicals-WUO_ERR'!A291, ":"))))</f>
        <v/>
      </c>
    </row>
    <row r="292">
      <c r="A292" s="39">
        <f>IF('Additional Chemicals'!B292 = "", "", IF('Additional Chemicals-WUO_ERR'!A292 = "", "Validated", HYPERLINK("#" &amp; ADDRESS(292, 'Additional Chemicals-WUO_TRK'!A292),_xlfn.TEXTAFTER('Additional Chemicals-WUO_ERR'!A292, ":"))))</f>
        <v/>
      </c>
    </row>
    <row r="293">
      <c r="A293" s="39">
        <f>IF('Additional Chemicals'!B293 = "", "", IF('Additional Chemicals-WUO_ERR'!A293 = "", "Validated", HYPERLINK("#" &amp; ADDRESS(293, 'Additional Chemicals-WUO_TRK'!A293),_xlfn.TEXTAFTER('Additional Chemicals-WUO_ERR'!A293, ":"))))</f>
        <v/>
      </c>
    </row>
    <row r="294">
      <c r="A294" s="39">
        <f>IF('Additional Chemicals'!B294 = "", "", IF('Additional Chemicals-WUO_ERR'!A294 = "", "Validated", HYPERLINK("#" &amp; ADDRESS(294, 'Additional Chemicals-WUO_TRK'!A294),_xlfn.TEXTAFTER('Additional Chemicals-WUO_ERR'!A294, ":"))))</f>
        <v/>
      </c>
    </row>
    <row r="295">
      <c r="A295" s="39">
        <f>IF('Additional Chemicals'!B295 = "", "", IF('Additional Chemicals-WUO_ERR'!A295 = "", "Validated", HYPERLINK("#" &amp; ADDRESS(295, 'Additional Chemicals-WUO_TRK'!A295),_xlfn.TEXTAFTER('Additional Chemicals-WUO_ERR'!A295, ":"))))</f>
        <v/>
      </c>
    </row>
    <row r="296">
      <c r="A296" s="39">
        <f>IF('Additional Chemicals'!B296 = "", "", IF('Additional Chemicals-WUO_ERR'!A296 = "", "Validated", HYPERLINK("#" &amp; ADDRESS(296, 'Additional Chemicals-WUO_TRK'!A296),_xlfn.TEXTAFTER('Additional Chemicals-WUO_ERR'!A296, ":"))))</f>
        <v/>
      </c>
    </row>
    <row r="297">
      <c r="A297" s="39">
        <f>IF('Additional Chemicals'!B297 = "", "", IF('Additional Chemicals-WUO_ERR'!A297 = "", "Validated", HYPERLINK("#" &amp; ADDRESS(297, 'Additional Chemicals-WUO_TRK'!A297),_xlfn.TEXTAFTER('Additional Chemicals-WUO_ERR'!A297, ":"))))</f>
        <v/>
      </c>
    </row>
    <row r="298">
      <c r="A298" s="39">
        <f>IF('Additional Chemicals'!B298 = "", "", IF('Additional Chemicals-WUO_ERR'!A298 = "", "Validated", HYPERLINK("#" &amp; ADDRESS(298, 'Additional Chemicals-WUO_TRK'!A298),_xlfn.TEXTAFTER('Additional Chemicals-WUO_ERR'!A298, ":"))))</f>
        <v/>
      </c>
    </row>
    <row r="299">
      <c r="A299" s="39">
        <f>IF('Additional Chemicals'!B299 = "", "", IF('Additional Chemicals-WUO_ERR'!A299 = "", "Validated", HYPERLINK("#" &amp; ADDRESS(299, 'Additional Chemicals-WUO_TRK'!A299),_xlfn.TEXTAFTER('Additional Chemicals-WUO_ERR'!A299, ":"))))</f>
        <v/>
      </c>
    </row>
    <row r="300">
      <c r="A300" s="39">
        <f>IF('Additional Chemicals'!B300 = "", "", IF('Additional Chemicals-WUO_ERR'!A300 = "", "Validated", HYPERLINK("#" &amp; ADDRESS(300, 'Additional Chemicals-WUO_TRK'!A300),_xlfn.TEXTAFTER('Additional Chemicals-WUO_ERR'!A300, ":"))))</f>
        <v/>
      </c>
    </row>
    <row r="301">
      <c r="A301" s="39">
        <f>IF('Additional Chemicals'!B301 = "", "", IF('Additional Chemicals-WUO_ERR'!A301 = "", "Validated", HYPERLINK("#" &amp; ADDRESS(301, 'Additional Chemicals-WUO_TRK'!A301),_xlfn.TEXTAFTER('Additional Chemicals-WUO_ERR'!A301, ":"))))</f>
        <v/>
      </c>
    </row>
    <row r="302">
      <c r="A302" s="39">
        <f>IF('Additional Chemicals'!B302 = "", "", IF('Additional Chemicals-WUO_ERR'!A302 = "", "Validated", HYPERLINK("#" &amp; ADDRESS(302, 'Additional Chemicals-WUO_TRK'!A302),_xlfn.TEXTAFTER('Additional Chemicals-WUO_ERR'!A302, ":"))))</f>
        <v/>
      </c>
    </row>
    <row r="303">
      <c r="A303" s="39">
        <f>IF('Additional Chemicals'!B303 = "", "", IF('Additional Chemicals-WUO_ERR'!A303 = "", "Validated", HYPERLINK("#" &amp; ADDRESS(303, 'Additional Chemicals-WUO_TRK'!A303),_xlfn.TEXTAFTER('Additional Chemicals-WUO_ERR'!A303, ":"))))</f>
        <v/>
      </c>
    </row>
    <row r="304">
      <c r="A304" s="39">
        <f>IF('Additional Chemicals'!B304 = "", "", IF('Additional Chemicals-WUO_ERR'!A304 = "", "Validated", HYPERLINK("#" &amp; ADDRESS(304, 'Additional Chemicals-WUO_TRK'!A304),_xlfn.TEXTAFTER('Additional Chemicals-WUO_ERR'!A304, ":"))))</f>
        <v/>
      </c>
    </row>
    <row r="305">
      <c r="A305" s="39">
        <f>IF('Additional Chemicals'!B305 = "", "", IF('Additional Chemicals-WUO_ERR'!A305 = "", "Validated", HYPERLINK("#" &amp; ADDRESS(305, 'Additional Chemicals-WUO_TRK'!A305),_xlfn.TEXTAFTER('Additional Chemicals-WUO_ERR'!A305, ":"))))</f>
        <v/>
      </c>
    </row>
    <row r="306">
      <c r="A306" s="39">
        <f>IF('Additional Chemicals'!B306 = "", "", IF('Additional Chemicals-WUO_ERR'!A306 = "", "Validated", HYPERLINK("#" &amp; ADDRESS(306, 'Additional Chemicals-WUO_TRK'!A306),_xlfn.TEXTAFTER('Additional Chemicals-WUO_ERR'!A306, ":"))))</f>
        <v/>
      </c>
    </row>
    <row r="307">
      <c r="A307" s="39">
        <f>IF('Additional Chemicals'!B307 = "", "", IF('Additional Chemicals-WUO_ERR'!A307 = "", "Validated", HYPERLINK("#" &amp; ADDRESS(307, 'Additional Chemicals-WUO_TRK'!A307),_xlfn.TEXTAFTER('Additional Chemicals-WUO_ERR'!A307, ":"))))</f>
        <v/>
      </c>
    </row>
    <row r="308">
      <c r="A308" s="39">
        <f>IF('Additional Chemicals'!B308 = "", "", IF('Additional Chemicals-WUO_ERR'!A308 = "", "Validated", HYPERLINK("#" &amp; ADDRESS(308, 'Additional Chemicals-WUO_TRK'!A308),_xlfn.TEXTAFTER('Additional Chemicals-WUO_ERR'!A308, ":"))))</f>
        <v/>
      </c>
    </row>
    <row r="309">
      <c r="A309" s="39">
        <f>IF('Additional Chemicals'!B309 = "", "", IF('Additional Chemicals-WUO_ERR'!A309 = "", "Validated", HYPERLINK("#" &amp; ADDRESS(309, 'Additional Chemicals-WUO_TRK'!A309),_xlfn.TEXTAFTER('Additional Chemicals-WUO_ERR'!A309, ":"))))</f>
        <v/>
      </c>
    </row>
    <row r="310">
      <c r="A310" s="39">
        <f>IF('Additional Chemicals'!B310 = "", "", IF('Additional Chemicals-WUO_ERR'!A310 = "", "Validated", HYPERLINK("#" &amp; ADDRESS(310, 'Additional Chemicals-WUO_TRK'!A310),_xlfn.TEXTAFTER('Additional Chemicals-WUO_ERR'!A310, ":"))))</f>
        <v/>
      </c>
    </row>
    <row r="311">
      <c r="A311" s="39">
        <f>IF('Additional Chemicals'!B311 = "", "", IF('Additional Chemicals-WUO_ERR'!A311 = "", "Validated", HYPERLINK("#" &amp; ADDRESS(311, 'Additional Chemicals-WUO_TRK'!A311),_xlfn.TEXTAFTER('Additional Chemicals-WUO_ERR'!A311, ":"))))</f>
        <v/>
      </c>
    </row>
    <row r="312">
      <c r="A312" s="39">
        <f>IF('Additional Chemicals'!B312 = "", "", IF('Additional Chemicals-WUO_ERR'!A312 = "", "Validated", HYPERLINK("#" &amp; ADDRESS(312, 'Additional Chemicals-WUO_TRK'!A312),_xlfn.TEXTAFTER('Additional Chemicals-WUO_ERR'!A312, ":"))))</f>
        <v/>
      </c>
    </row>
    <row r="313">
      <c r="A313" s="39">
        <f>IF('Additional Chemicals'!B313 = "", "", IF('Additional Chemicals-WUO_ERR'!A313 = "", "Validated", HYPERLINK("#" &amp; ADDRESS(313, 'Additional Chemicals-WUO_TRK'!A313),_xlfn.TEXTAFTER('Additional Chemicals-WUO_ERR'!A313, ":"))))</f>
        <v/>
      </c>
    </row>
    <row r="314">
      <c r="A314" s="39">
        <f>IF('Additional Chemicals'!B314 = "", "", IF('Additional Chemicals-WUO_ERR'!A314 = "", "Validated", HYPERLINK("#" &amp; ADDRESS(314, 'Additional Chemicals-WUO_TRK'!A314),_xlfn.TEXTAFTER('Additional Chemicals-WUO_ERR'!A314, ":"))))</f>
        <v/>
      </c>
    </row>
    <row r="315">
      <c r="A315" s="39">
        <f>IF('Additional Chemicals'!B315 = "", "", IF('Additional Chemicals-WUO_ERR'!A315 = "", "Validated", HYPERLINK("#" &amp; ADDRESS(315, 'Additional Chemicals-WUO_TRK'!A315),_xlfn.TEXTAFTER('Additional Chemicals-WUO_ERR'!A315, ":"))))</f>
        <v/>
      </c>
    </row>
    <row r="316">
      <c r="A316" s="39">
        <f>IF('Additional Chemicals'!B316 = "", "", IF('Additional Chemicals-WUO_ERR'!A316 = "", "Validated", HYPERLINK("#" &amp; ADDRESS(316, 'Additional Chemicals-WUO_TRK'!A316),_xlfn.TEXTAFTER('Additional Chemicals-WUO_ERR'!A316, ":"))))</f>
        <v/>
      </c>
    </row>
    <row r="317">
      <c r="A317" s="39">
        <f>IF('Additional Chemicals'!B317 = "", "", IF('Additional Chemicals-WUO_ERR'!A317 = "", "Validated", HYPERLINK("#" &amp; ADDRESS(317, 'Additional Chemicals-WUO_TRK'!A317),_xlfn.TEXTAFTER('Additional Chemicals-WUO_ERR'!A317, ":"))))</f>
        <v/>
      </c>
    </row>
    <row r="318">
      <c r="A318" s="39">
        <f>IF('Additional Chemicals'!B318 = "", "", IF('Additional Chemicals-WUO_ERR'!A318 = "", "Validated", HYPERLINK("#" &amp; ADDRESS(318, 'Additional Chemicals-WUO_TRK'!A318),_xlfn.TEXTAFTER('Additional Chemicals-WUO_ERR'!A318, ":"))))</f>
        <v/>
      </c>
    </row>
    <row r="319">
      <c r="A319" s="39">
        <f>IF('Additional Chemicals'!B319 = "", "", IF('Additional Chemicals-WUO_ERR'!A319 = "", "Validated", HYPERLINK("#" &amp; ADDRESS(319, 'Additional Chemicals-WUO_TRK'!A319),_xlfn.TEXTAFTER('Additional Chemicals-WUO_ERR'!A319, ":"))))</f>
        <v/>
      </c>
    </row>
    <row r="320">
      <c r="A320" s="39">
        <f>IF('Additional Chemicals'!B320 = "", "", IF('Additional Chemicals-WUO_ERR'!A320 = "", "Validated", HYPERLINK("#" &amp; ADDRESS(320, 'Additional Chemicals-WUO_TRK'!A320),_xlfn.TEXTAFTER('Additional Chemicals-WUO_ERR'!A320, ":"))))</f>
        <v/>
      </c>
    </row>
    <row r="321">
      <c r="A321" s="39">
        <f>IF('Additional Chemicals'!B321 = "", "", IF('Additional Chemicals-WUO_ERR'!A321 = "", "Validated", HYPERLINK("#" &amp; ADDRESS(321, 'Additional Chemicals-WUO_TRK'!A321),_xlfn.TEXTAFTER('Additional Chemicals-WUO_ERR'!A321, ":"))))</f>
        <v/>
      </c>
    </row>
    <row r="322">
      <c r="A322" s="39">
        <f>IF('Additional Chemicals'!B322 = "", "", IF('Additional Chemicals-WUO_ERR'!A322 = "", "Validated", HYPERLINK("#" &amp; ADDRESS(322, 'Additional Chemicals-WUO_TRK'!A322),_xlfn.TEXTAFTER('Additional Chemicals-WUO_ERR'!A322, ":"))))</f>
        <v/>
      </c>
    </row>
    <row r="323">
      <c r="A323" s="39">
        <f>IF('Additional Chemicals'!B323 = "", "", IF('Additional Chemicals-WUO_ERR'!A323 = "", "Validated", HYPERLINK("#" &amp; ADDRESS(323, 'Additional Chemicals-WUO_TRK'!A323),_xlfn.TEXTAFTER('Additional Chemicals-WUO_ERR'!A323, ":"))))</f>
        <v/>
      </c>
    </row>
    <row r="324">
      <c r="A324" s="39">
        <f>IF('Additional Chemicals'!B324 = "", "", IF('Additional Chemicals-WUO_ERR'!A324 = "", "Validated", HYPERLINK("#" &amp; ADDRESS(324, 'Additional Chemicals-WUO_TRK'!A324),_xlfn.TEXTAFTER('Additional Chemicals-WUO_ERR'!A324, ":"))))</f>
        <v/>
      </c>
    </row>
    <row r="325">
      <c r="A325" s="39">
        <f>IF('Additional Chemicals'!B325 = "", "", IF('Additional Chemicals-WUO_ERR'!A325 = "", "Validated", HYPERLINK("#" &amp; ADDRESS(325, 'Additional Chemicals-WUO_TRK'!A325),_xlfn.TEXTAFTER('Additional Chemicals-WUO_ERR'!A325, ":"))))</f>
        <v/>
      </c>
    </row>
    <row r="326">
      <c r="A326" s="39">
        <f>IF('Additional Chemicals'!B326 = "", "", IF('Additional Chemicals-WUO_ERR'!A326 = "", "Validated", HYPERLINK("#" &amp; ADDRESS(326, 'Additional Chemicals-WUO_TRK'!A326),_xlfn.TEXTAFTER('Additional Chemicals-WUO_ERR'!A326, ":"))))</f>
        <v/>
      </c>
    </row>
    <row r="327">
      <c r="A327" s="39">
        <f>IF('Additional Chemicals'!B327 = "", "", IF('Additional Chemicals-WUO_ERR'!A327 = "", "Validated", HYPERLINK("#" &amp; ADDRESS(327, 'Additional Chemicals-WUO_TRK'!A327),_xlfn.TEXTAFTER('Additional Chemicals-WUO_ERR'!A327, ":"))))</f>
        <v/>
      </c>
    </row>
    <row r="328">
      <c r="A328" s="39">
        <f>IF('Additional Chemicals'!B328 = "", "", IF('Additional Chemicals-WUO_ERR'!A328 = "", "Validated", HYPERLINK("#" &amp; ADDRESS(328, 'Additional Chemicals-WUO_TRK'!A328),_xlfn.TEXTAFTER('Additional Chemicals-WUO_ERR'!A328, ":"))))</f>
        <v/>
      </c>
    </row>
    <row r="329">
      <c r="A329" s="39">
        <f>IF('Additional Chemicals'!B329 = "", "", IF('Additional Chemicals-WUO_ERR'!A329 = "", "Validated", HYPERLINK("#" &amp; ADDRESS(329, 'Additional Chemicals-WUO_TRK'!A329),_xlfn.TEXTAFTER('Additional Chemicals-WUO_ERR'!A329, ":"))))</f>
        <v/>
      </c>
    </row>
    <row r="330">
      <c r="A330" s="39">
        <f>IF('Additional Chemicals'!B330 = "", "", IF('Additional Chemicals-WUO_ERR'!A330 = "", "Validated", HYPERLINK("#" &amp; ADDRESS(330, 'Additional Chemicals-WUO_TRK'!A330),_xlfn.TEXTAFTER('Additional Chemicals-WUO_ERR'!A330, ":"))))</f>
        <v/>
      </c>
    </row>
    <row r="331">
      <c r="A331" s="39">
        <f>IF('Additional Chemicals'!B331 = "", "", IF('Additional Chemicals-WUO_ERR'!A331 = "", "Validated", HYPERLINK("#" &amp; ADDRESS(331, 'Additional Chemicals-WUO_TRK'!A331),_xlfn.TEXTAFTER('Additional Chemicals-WUO_ERR'!A331, ":"))))</f>
        <v/>
      </c>
    </row>
    <row r="332">
      <c r="A332" s="39">
        <f>IF('Additional Chemicals'!B332 = "", "", IF('Additional Chemicals-WUO_ERR'!A332 = "", "Validated", HYPERLINK("#" &amp; ADDRESS(332, 'Additional Chemicals-WUO_TRK'!A332),_xlfn.TEXTAFTER('Additional Chemicals-WUO_ERR'!A332, ":"))))</f>
        <v/>
      </c>
    </row>
    <row r="333">
      <c r="A333" s="39">
        <f>IF('Additional Chemicals'!B333 = "", "", IF('Additional Chemicals-WUO_ERR'!A333 = "", "Validated", HYPERLINK("#" &amp; ADDRESS(333, 'Additional Chemicals-WUO_TRK'!A333),_xlfn.TEXTAFTER('Additional Chemicals-WUO_ERR'!A333, ":"))))</f>
        <v/>
      </c>
    </row>
    <row r="334">
      <c r="A334" s="39">
        <f>IF('Additional Chemicals'!B334 = "", "", IF('Additional Chemicals-WUO_ERR'!A334 = "", "Validated", HYPERLINK("#" &amp; ADDRESS(334, 'Additional Chemicals-WUO_TRK'!A334),_xlfn.TEXTAFTER('Additional Chemicals-WUO_ERR'!A334, ":"))))</f>
        <v/>
      </c>
    </row>
    <row r="335">
      <c r="A335" s="39">
        <f>IF('Additional Chemicals'!B335 = "", "", IF('Additional Chemicals-WUO_ERR'!A335 = "", "Validated", HYPERLINK("#" &amp; ADDRESS(335, 'Additional Chemicals-WUO_TRK'!A335),_xlfn.TEXTAFTER('Additional Chemicals-WUO_ERR'!A335, ":"))))</f>
        <v/>
      </c>
    </row>
    <row r="336">
      <c r="A336" s="39">
        <f>IF('Additional Chemicals'!B336 = "", "", IF('Additional Chemicals-WUO_ERR'!A336 = "", "Validated", HYPERLINK("#" &amp; ADDRESS(336, 'Additional Chemicals-WUO_TRK'!A336),_xlfn.TEXTAFTER('Additional Chemicals-WUO_ERR'!A336, ":"))))</f>
        <v/>
      </c>
    </row>
    <row r="337">
      <c r="A337" s="39">
        <f>IF('Additional Chemicals'!B337 = "", "", IF('Additional Chemicals-WUO_ERR'!A337 = "", "Validated", HYPERLINK("#" &amp; ADDRESS(337, 'Additional Chemicals-WUO_TRK'!A337),_xlfn.TEXTAFTER('Additional Chemicals-WUO_ERR'!A337, ":"))))</f>
        <v/>
      </c>
    </row>
    <row r="338">
      <c r="A338" s="39">
        <f>IF('Additional Chemicals'!B338 = "", "", IF('Additional Chemicals-WUO_ERR'!A338 = "", "Validated", HYPERLINK("#" &amp; ADDRESS(338, 'Additional Chemicals-WUO_TRK'!A338),_xlfn.TEXTAFTER('Additional Chemicals-WUO_ERR'!A338, ":"))))</f>
        <v/>
      </c>
    </row>
    <row r="339">
      <c r="A339" s="39">
        <f>IF('Additional Chemicals'!B339 = "", "", IF('Additional Chemicals-WUO_ERR'!A339 = "", "Validated", HYPERLINK("#" &amp; ADDRESS(339, 'Additional Chemicals-WUO_TRK'!A339),_xlfn.TEXTAFTER('Additional Chemicals-WUO_ERR'!A339, ":"))))</f>
        <v/>
      </c>
    </row>
    <row r="340">
      <c r="A340" s="39">
        <f>IF('Additional Chemicals'!B340 = "", "", IF('Additional Chemicals-WUO_ERR'!A340 = "", "Validated", HYPERLINK("#" &amp; ADDRESS(340, 'Additional Chemicals-WUO_TRK'!A340),_xlfn.TEXTAFTER('Additional Chemicals-WUO_ERR'!A340, ":"))))</f>
        <v/>
      </c>
    </row>
    <row r="341">
      <c r="A341" s="39">
        <f>IF('Additional Chemicals'!B341 = "", "", IF('Additional Chemicals-WUO_ERR'!A341 = "", "Validated", HYPERLINK("#" &amp; ADDRESS(341, 'Additional Chemicals-WUO_TRK'!A341),_xlfn.TEXTAFTER('Additional Chemicals-WUO_ERR'!A341, ":"))))</f>
        <v/>
      </c>
    </row>
    <row r="342">
      <c r="A342" s="39">
        <f>IF('Additional Chemicals'!B342 = "", "", IF('Additional Chemicals-WUO_ERR'!A342 = "", "Validated", HYPERLINK("#" &amp; ADDRESS(342, 'Additional Chemicals-WUO_TRK'!A342),_xlfn.TEXTAFTER('Additional Chemicals-WUO_ERR'!A342, ":"))))</f>
        <v/>
      </c>
    </row>
    <row r="343">
      <c r="A343" s="39">
        <f>IF('Additional Chemicals'!B343 = "", "", IF('Additional Chemicals-WUO_ERR'!A343 = "", "Validated", HYPERLINK("#" &amp; ADDRESS(343, 'Additional Chemicals-WUO_TRK'!A343),_xlfn.TEXTAFTER('Additional Chemicals-WUO_ERR'!A343, ":"))))</f>
        <v/>
      </c>
    </row>
    <row r="344">
      <c r="A344" s="39">
        <f>IF('Additional Chemicals'!B344 = "", "", IF('Additional Chemicals-WUO_ERR'!A344 = "", "Validated", HYPERLINK("#" &amp; ADDRESS(344, 'Additional Chemicals-WUO_TRK'!A344),_xlfn.TEXTAFTER('Additional Chemicals-WUO_ERR'!A344, ":"))))</f>
        <v/>
      </c>
    </row>
    <row r="345">
      <c r="A345" s="39">
        <f>IF('Additional Chemicals'!B345 = "", "", IF('Additional Chemicals-WUO_ERR'!A345 = "", "Validated", HYPERLINK("#" &amp; ADDRESS(345, 'Additional Chemicals-WUO_TRK'!A345),_xlfn.TEXTAFTER('Additional Chemicals-WUO_ERR'!A345, ":"))))</f>
        <v/>
      </c>
    </row>
    <row r="346">
      <c r="A346" s="39">
        <f>IF('Additional Chemicals'!B346 = "", "", IF('Additional Chemicals-WUO_ERR'!A346 = "", "Validated", HYPERLINK("#" &amp; ADDRESS(346, 'Additional Chemicals-WUO_TRK'!A346),_xlfn.TEXTAFTER('Additional Chemicals-WUO_ERR'!A346, ":"))))</f>
        <v/>
      </c>
    </row>
    <row r="347">
      <c r="A347" s="39">
        <f>IF('Additional Chemicals'!B347 = "", "", IF('Additional Chemicals-WUO_ERR'!A347 = "", "Validated", HYPERLINK("#" &amp; ADDRESS(347, 'Additional Chemicals-WUO_TRK'!A347),_xlfn.TEXTAFTER('Additional Chemicals-WUO_ERR'!A347, ":"))))</f>
        <v/>
      </c>
    </row>
    <row r="348">
      <c r="A348" s="39">
        <f>IF('Additional Chemicals'!B348 = "", "", IF('Additional Chemicals-WUO_ERR'!A348 = "", "Validated", HYPERLINK("#" &amp; ADDRESS(348, 'Additional Chemicals-WUO_TRK'!A348),_xlfn.TEXTAFTER('Additional Chemicals-WUO_ERR'!A348, ":"))))</f>
        <v/>
      </c>
    </row>
    <row r="349">
      <c r="A349" s="39">
        <f>IF('Additional Chemicals'!B349 = "", "", IF('Additional Chemicals-WUO_ERR'!A349 = "", "Validated", HYPERLINK("#" &amp; ADDRESS(349, 'Additional Chemicals-WUO_TRK'!A349),_xlfn.TEXTAFTER('Additional Chemicals-WUO_ERR'!A349, ":"))))</f>
        <v/>
      </c>
    </row>
    <row r="350">
      <c r="A350" s="39">
        <f>IF('Additional Chemicals'!B350 = "", "", IF('Additional Chemicals-WUO_ERR'!A350 = "", "Validated", HYPERLINK("#" &amp; ADDRESS(350, 'Additional Chemicals-WUO_TRK'!A350),_xlfn.TEXTAFTER('Additional Chemicals-WUO_ERR'!A350, ":"))))</f>
        <v/>
      </c>
    </row>
    <row r="351">
      <c r="A351" s="39">
        <f>IF('Additional Chemicals'!B351 = "", "", IF('Additional Chemicals-WUO_ERR'!A351 = "", "Validated", HYPERLINK("#" &amp; ADDRESS(351, 'Additional Chemicals-WUO_TRK'!A351),_xlfn.TEXTAFTER('Additional Chemicals-WUO_ERR'!A351, ":"))))</f>
        <v/>
      </c>
    </row>
    <row r="352">
      <c r="A352" s="39">
        <f>IF('Additional Chemicals'!B352 = "", "", IF('Additional Chemicals-WUO_ERR'!A352 = "", "Validated", HYPERLINK("#" &amp; ADDRESS(352, 'Additional Chemicals-WUO_TRK'!A352),_xlfn.TEXTAFTER('Additional Chemicals-WUO_ERR'!A352, ":"))))</f>
        <v/>
      </c>
    </row>
    <row r="353">
      <c r="A353" s="39">
        <f>IF('Additional Chemicals'!B353 = "", "", IF('Additional Chemicals-WUO_ERR'!A353 = "", "Validated", HYPERLINK("#" &amp; ADDRESS(353, 'Additional Chemicals-WUO_TRK'!A353),_xlfn.TEXTAFTER('Additional Chemicals-WUO_ERR'!A353, ":"))))</f>
        <v/>
      </c>
    </row>
    <row r="354">
      <c r="A354" s="39">
        <f>IF('Additional Chemicals'!B354 = "", "", IF('Additional Chemicals-WUO_ERR'!A354 = "", "Validated", HYPERLINK("#" &amp; ADDRESS(354, 'Additional Chemicals-WUO_TRK'!A354),_xlfn.TEXTAFTER('Additional Chemicals-WUO_ERR'!A354, ":"))))</f>
        <v/>
      </c>
    </row>
    <row r="355">
      <c r="A355" s="39">
        <f>IF('Additional Chemicals'!B355 = "", "", IF('Additional Chemicals-WUO_ERR'!A355 = "", "Validated", HYPERLINK("#" &amp; ADDRESS(355, 'Additional Chemicals-WUO_TRK'!A355),_xlfn.TEXTAFTER('Additional Chemicals-WUO_ERR'!A355, ":"))))</f>
        <v/>
      </c>
    </row>
    <row r="356">
      <c r="A356" s="39">
        <f>IF('Additional Chemicals'!B356 = "", "", IF('Additional Chemicals-WUO_ERR'!A356 = "", "Validated", HYPERLINK("#" &amp; ADDRESS(356, 'Additional Chemicals-WUO_TRK'!A356),_xlfn.TEXTAFTER('Additional Chemicals-WUO_ERR'!A356, ":"))))</f>
        <v/>
      </c>
    </row>
    <row r="357">
      <c r="A357" s="39">
        <f>IF('Additional Chemicals'!B357 = "", "", IF('Additional Chemicals-WUO_ERR'!A357 = "", "Validated", HYPERLINK("#" &amp; ADDRESS(357, 'Additional Chemicals-WUO_TRK'!A357),_xlfn.TEXTAFTER('Additional Chemicals-WUO_ERR'!A357, ":"))))</f>
        <v/>
      </c>
    </row>
    <row r="358">
      <c r="A358" s="39">
        <f>IF('Additional Chemicals'!B358 = "", "", IF('Additional Chemicals-WUO_ERR'!A358 = "", "Validated", HYPERLINK("#" &amp; ADDRESS(358, 'Additional Chemicals-WUO_TRK'!A358),_xlfn.TEXTAFTER('Additional Chemicals-WUO_ERR'!A358, ":"))))</f>
        <v/>
      </c>
    </row>
    <row r="359">
      <c r="A359" s="39">
        <f>IF('Additional Chemicals'!B359 = "", "", IF('Additional Chemicals-WUO_ERR'!A359 = "", "Validated", HYPERLINK("#" &amp; ADDRESS(359, 'Additional Chemicals-WUO_TRK'!A359),_xlfn.TEXTAFTER('Additional Chemicals-WUO_ERR'!A359, ":"))))</f>
        <v/>
      </c>
    </row>
    <row r="360">
      <c r="A360" s="39">
        <f>IF('Additional Chemicals'!B360 = "", "", IF('Additional Chemicals-WUO_ERR'!A360 = "", "Validated", HYPERLINK("#" &amp; ADDRESS(360, 'Additional Chemicals-WUO_TRK'!A360),_xlfn.TEXTAFTER('Additional Chemicals-WUO_ERR'!A360, ":"))))</f>
        <v/>
      </c>
    </row>
    <row r="361">
      <c r="A361" s="39">
        <f>IF('Additional Chemicals'!B361 = "", "", IF('Additional Chemicals-WUO_ERR'!A361 = "", "Validated", HYPERLINK("#" &amp; ADDRESS(361, 'Additional Chemicals-WUO_TRK'!A361),_xlfn.TEXTAFTER('Additional Chemicals-WUO_ERR'!A361, ":"))))</f>
        <v/>
      </c>
    </row>
    <row r="362">
      <c r="A362" s="39">
        <f>IF('Additional Chemicals'!B362 = "", "", IF('Additional Chemicals-WUO_ERR'!A362 = "", "Validated", HYPERLINK("#" &amp; ADDRESS(362, 'Additional Chemicals-WUO_TRK'!A362),_xlfn.TEXTAFTER('Additional Chemicals-WUO_ERR'!A362, ":"))))</f>
        <v/>
      </c>
    </row>
    <row r="363">
      <c r="A363" s="39">
        <f>IF('Additional Chemicals'!B363 = "", "", IF('Additional Chemicals-WUO_ERR'!A363 = "", "Validated", HYPERLINK("#" &amp; ADDRESS(363, 'Additional Chemicals-WUO_TRK'!A363),_xlfn.TEXTAFTER('Additional Chemicals-WUO_ERR'!A363, ":"))))</f>
        <v/>
      </c>
    </row>
    <row r="364">
      <c r="A364" s="39">
        <f>IF('Additional Chemicals'!B364 = "", "", IF('Additional Chemicals-WUO_ERR'!A364 = "", "Validated", HYPERLINK("#" &amp; ADDRESS(364, 'Additional Chemicals-WUO_TRK'!A364),_xlfn.TEXTAFTER('Additional Chemicals-WUO_ERR'!A364, ":"))))</f>
        <v/>
      </c>
    </row>
    <row r="365">
      <c r="A365" s="39">
        <f>IF('Additional Chemicals'!B365 = "", "", IF('Additional Chemicals-WUO_ERR'!A365 = "", "Validated", HYPERLINK("#" &amp; ADDRESS(365, 'Additional Chemicals-WUO_TRK'!A365),_xlfn.TEXTAFTER('Additional Chemicals-WUO_ERR'!A365, ":"))))</f>
        <v/>
      </c>
    </row>
    <row r="366">
      <c r="A366" s="39">
        <f>IF('Additional Chemicals'!B366 = "", "", IF('Additional Chemicals-WUO_ERR'!A366 = "", "Validated", HYPERLINK("#" &amp; ADDRESS(366, 'Additional Chemicals-WUO_TRK'!A366),_xlfn.TEXTAFTER('Additional Chemicals-WUO_ERR'!A366, ":"))))</f>
        <v/>
      </c>
    </row>
    <row r="367">
      <c r="A367" s="39">
        <f>IF('Additional Chemicals'!B367 = "", "", IF('Additional Chemicals-WUO_ERR'!A367 = "", "Validated", HYPERLINK("#" &amp; ADDRESS(367, 'Additional Chemicals-WUO_TRK'!A367),_xlfn.TEXTAFTER('Additional Chemicals-WUO_ERR'!A367, ":"))))</f>
        <v/>
      </c>
    </row>
    <row r="368">
      <c r="A368" s="39">
        <f>IF('Additional Chemicals'!B368 = "", "", IF('Additional Chemicals-WUO_ERR'!A368 = "", "Validated", HYPERLINK("#" &amp; ADDRESS(368, 'Additional Chemicals-WUO_TRK'!A368),_xlfn.TEXTAFTER('Additional Chemicals-WUO_ERR'!A368, ":"))))</f>
        <v/>
      </c>
    </row>
    <row r="369">
      <c r="A369" s="39">
        <f>IF('Additional Chemicals'!B369 = "", "", IF('Additional Chemicals-WUO_ERR'!A369 = "", "Validated", HYPERLINK("#" &amp; ADDRESS(369, 'Additional Chemicals-WUO_TRK'!A369),_xlfn.TEXTAFTER('Additional Chemicals-WUO_ERR'!A369, ":"))))</f>
        <v/>
      </c>
    </row>
    <row r="370">
      <c r="A370" s="39">
        <f>IF('Additional Chemicals'!B370 = "", "", IF('Additional Chemicals-WUO_ERR'!A370 = "", "Validated", HYPERLINK("#" &amp; ADDRESS(370, 'Additional Chemicals-WUO_TRK'!A370),_xlfn.TEXTAFTER('Additional Chemicals-WUO_ERR'!A370, ":"))))</f>
        <v/>
      </c>
    </row>
    <row r="371">
      <c r="A371" s="39">
        <f>IF('Additional Chemicals'!B371 = "", "", IF('Additional Chemicals-WUO_ERR'!A371 = "", "Validated", HYPERLINK("#" &amp; ADDRESS(371, 'Additional Chemicals-WUO_TRK'!A371),_xlfn.TEXTAFTER('Additional Chemicals-WUO_ERR'!A371, ":"))))</f>
        <v/>
      </c>
    </row>
    <row r="372">
      <c r="A372" s="39">
        <f>IF('Additional Chemicals'!B372 = "", "", IF('Additional Chemicals-WUO_ERR'!A372 = "", "Validated", HYPERLINK("#" &amp; ADDRESS(372, 'Additional Chemicals-WUO_TRK'!A372),_xlfn.TEXTAFTER('Additional Chemicals-WUO_ERR'!A372, ":"))))</f>
        <v/>
      </c>
    </row>
    <row r="373">
      <c r="A373" s="39">
        <f>IF('Additional Chemicals'!B373 = "", "", IF('Additional Chemicals-WUO_ERR'!A373 = "", "Validated", HYPERLINK("#" &amp; ADDRESS(373, 'Additional Chemicals-WUO_TRK'!A373),_xlfn.TEXTAFTER('Additional Chemicals-WUO_ERR'!A373, ":"))))</f>
        <v/>
      </c>
    </row>
    <row r="374">
      <c r="A374" s="39">
        <f>IF('Additional Chemicals'!B374 = "", "", IF('Additional Chemicals-WUO_ERR'!A374 = "", "Validated", HYPERLINK("#" &amp; ADDRESS(374, 'Additional Chemicals-WUO_TRK'!A374),_xlfn.TEXTAFTER('Additional Chemicals-WUO_ERR'!A374, ":"))))</f>
        <v/>
      </c>
    </row>
    <row r="375">
      <c r="A375" s="39">
        <f>IF('Additional Chemicals'!B375 = "", "", IF('Additional Chemicals-WUO_ERR'!A375 = "", "Validated", HYPERLINK("#" &amp; ADDRESS(375, 'Additional Chemicals-WUO_TRK'!A375),_xlfn.TEXTAFTER('Additional Chemicals-WUO_ERR'!A375, ":"))))</f>
        <v/>
      </c>
    </row>
    <row r="376">
      <c r="A376" s="39">
        <f>IF('Additional Chemicals'!B376 = "", "", IF('Additional Chemicals-WUO_ERR'!A376 = "", "Validated", HYPERLINK("#" &amp; ADDRESS(376, 'Additional Chemicals-WUO_TRK'!A376),_xlfn.TEXTAFTER('Additional Chemicals-WUO_ERR'!A376, ":"))))</f>
        <v/>
      </c>
    </row>
    <row r="377">
      <c r="A377" s="39">
        <f>IF('Additional Chemicals'!B377 = "", "", IF('Additional Chemicals-WUO_ERR'!A377 = "", "Validated", HYPERLINK("#" &amp; ADDRESS(377, 'Additional Chemicals-WUO_TRK'!A377),_xlfn.TEXTAFTER('Additional Chemicals-WUO_ERR'!A377, ":"))))</f>
        <v/>
      </c>
    </row>
    <row r="378">
      <c r="A378" s="39">
        <f>IF('Additional Chemicals'!B378 = "", "", IF('Additional Chemicals-WUO_ERR'!A378 = "", "Validated", HYPERLINK("#" &amp; ADDRESS(378, 'Additional Chemicals-WUO_TRK'!A378),_xlfn.TEXTAFTER('Additional Chemicals-WUO_ERR'!A378, ":"))))</f>
        <v/>
      </c>
    </row>
    <row r="379">
      <c r="A379" s="39">
        <f>IF('Additional Chemicals'!B379 = "", "", IF('Additional Chemicals-WUO_ERR'!A379 = "", "Validated", HYPERLINK("#" &amp; ADDRESS(379, 'Additional Chemicals-WUO_TRK'!A379),_xlfn.TEXTAFTER('Additional Chemicals-WUO_ERR'!A379, ":"))))</f>
        <v/>
      </c>
    </row>
    <row r="380">
      <c r="A380" s="39">
        <f>IF('Additional Chemicals'!B380 = "", "", IF('Additional Chemicals-WUO_ERR'!A380 = "", "Validated", HYPERLINK("#" &amp; ADDRESS(380, 'Additional Chemicals-WUO_TRK'!A380),_xlfn.TEXTAFTER('Additional Chemicals-WUO_ERR'!A380, ":"))))</f>
        <v/>
      </c>
    </row>
    <row r="381">
      <c r="A381" s="39">
        <f>IF('Additional Chemicals'!B381 = "", "", IF('Additional Chemicals-WUO_ERR'!A381 = "", "Validated", HYPERLINK("#" &amp; ADDRESS(381, 'Additional Chemicals-WUO_TRK'!A381),_xlfn.TEXTAFTER('Additional Chemicals-WUO_ERR'!A381, ":"))))</f>
        <v/>
      </c>
    </row>
    <row r="382">
      <c r="A382" s="39">
        <f>IF('Additional Chemicals'!B382 = "", "", IF('Additional Chemicals-WUO_ERR'!A382 = "", "Validated", HYPERLINK("#" &amp; ADDRESS(382, 'Additional Chemicals-WUO_TRK'!A382),_xlfn.TEXTAFTER('Additional Chemicals-WUO_ERR'!A382, ":"))))</f>
        <v/>
      </c>
    </row>
    <row r="383">
      <c r="A383" s="39">
        <f>IF('Additional Chemicals'!B383 = "", "", IF('Additional Chemicals-WUO_ERR'!A383 = "", "Validated", HYPERLINK("#" &amp; ADDRESS(383, 'Additional Chemicals-WUO_TRK'!A383),_xlfn.TEXTAFTER('Additional Chemicals-WUO_ERR'!A383, ":"))))</f>
        <v/>
      </c>
    </row>
    <row r="384">
      <c r="A384" s="39">
        <f>IF('Additional Chemicals'!B384 = "", "", IF('Additional Chemicals-WUO_ERR'!A384 = "", "Validated", HYPERLINK("#" &amp; ADDRESS(384, 'Additional Chemicals-WUO_TRK'!A384),_xlfn.TEXTAFTER('Additional Chemicals-WUO_ERR'!A384, ":"))))</f>
        <v/>
      </c>
    </row>
    <row r="385">
      <c r="A385" s="39">
        <f>IF('Additional Chemicals'!B385 = "", "", IF('Additional Chemicals-WUO_ERR'!A385 = "", "Validated", HYPERLINK("#" &amp; ADDRESS(385, 'Additional Chemicals-WUO_TRK'!A385),_xlfn.TEXTAFTER('Additional Chemicals-WUO_ERR'!A385, ":"))))</f>
        <v/>
      </c>
    </row>
    <row r="386">
      <c r="A386" s="39">
        <f>IF('Additional Chemicals'!B386 = "", "", IF('Additional Chemicals-WUO_ERR'!A386 = "", "Validated", HYPERLINK("#" &amp; ADDRESS(386, 'Additional Chemicals-WUO_TRK'!A386),_xlfn.TEXTAFTER('Additional Chemicals-WUO_ERR'!A386, ":"))))</f>
        <v/>
      </c>
    </row>
    <row r="387">
      <c r="A387" s="39">
        <f>IF('Additional Chemicals'!B387 = "", "", IF('Additional Chemicals-WUO_ERR'!A387 = "", "Validated", HYPERLINK("#" &amp; ADDRESS(387, 'Additional Chemicals-WUO_TRK'!A387),_xlfn.TEXTAFTER('Additional Chemicals-WUO_ERR'!A387, ":"))))</f>
        <v/>
      </c>
    </row>
    <row r="388">
      <c r="A388" s="39">
        <f>IF('Additional Chemicals'!B388 = "", "", IF('Additional Chemicals-WUO_ERR'!A388 = "", "Validated", HYPERLINK("#" &amp; ADDRESS(388, 'Additional Chemicals-WUO_TRK'!A388),_xlfn.TEXTAFTER('Additional Chemicals-WUO_ERR'!A388, ":"))))</f>
        <v/>
      </c>
    </row>
    <row r="389">
      <c r="A389" s="39">
        <f>IF('Additional Chemicals'!B389 = "", "", IF('Additional Chemicals-WUO_ERR'!A389 = "", "Validated", HYPERLINK("#" &amp; ADDRESS(389, 'Additional Chemicals-WUO_TRK'!A389),_xlfn.TEXTAFTER('Additional Chemicals-WUO_ERR'!A389, ":"))))</f>
        <v/>
      </c>
    </row>
    <row r="390">
      <c r="A390" s="39">
        <f>IF('Additional Chemicals'!B390 = "", "", IF('Additional Chemicals-WUO_ERR'!A390 = "", "Validated", HYPERLINK("#" &amp; ADDRESS(390, 'Additional Chemicals-WUO_TRK'!A390),_xlfn.TEXTAFTER('Additional Chemicals-WUO_ERR'!A390, ":"))))</f>
        <v/>
      </c>
    </row>
    <row r="391">
      <c r="A391" s="39">
        <f>IF('Additional Chemicals'!B391 = "", "", IF('Additional Chemicals-WUO_ERR'!A391 = "", "Validated", HYPERLINK("#" &amp; ADDRESS(391, 'Additional Chemicals-WUO_TRK'!A391),_xlfn.TEXTAFTER('Additional Chemicals-WUO_ERR'!A391, ":"))))</f>
        <v/>
      </c>
    </row>
    <row r="392">
      <c r="A392" s="39">
        <f>IF('Additional Chemicals'!B392 = "", "", IF('Additional Chemicals-WUO_ERR'!A392 = "", "Validated", HYPERLINK("#" &amp; ADDRESS(392, 'Additional Chemicals-WUO_TRK'!A392),_xlfn.TEXTAFTER('Additional Chemicals-WUO_ERR'!A392, ":"))))</f>
        <v/>
      </c>
    </row>
    <row r="393">
      <c r="A393" s="39">
        <f>IF('Additional Chemicals'!B393 = "", "", IF('Additional Chemicals-WUO_ERR'!A393 = "", "Validated", HYPERLINK("#" &amp; ADDRESS(393, 'Additional Chemicals-WUO_TRK'!A393),_xlfn.TEXTAFTER('Additional Chemicals-WUO_ERR'!A393, ":"))))</f>
        <v/>
      </c>
    </row>
    <row r="394">
      <c r="A394" s="39">
        <f>IF('Additional Chemicals'!B394 = "", "", IF('Additional Chemicals-WUO_ERR'!A394 = "", "Validated", HYPERLINK("#" &amp; ADDRESS(394, 'Additional Chemicals-WUO_TRK'!A394),_xlfn.TEXTAFTER('Additional Chemicals-WUO_ERR'!A394, ":"))))</f>
        <v/>
      </c>
    </row>
    <row r="395">
      <c r="A395" s="39">
        <f>IF('Additional Chemicals'!B395 = "", "", IF('Additional Chemicals-WUO_ERR'!A395 = "", "Validated", HYPERLINK("#" &amp; ADDRESS(395, 'Additional Chemicals-WUO_TRK'!A395),_xlfn.TEXTAFTER('Additional Chemicals-WUO_ERR'!A395, ":"))))</f>
        <v/>
      </c>
    </row>
    <row r="396">
      <c r="A396" s="39">
        <f>IF('Additional Chemicals'!B396 = "", "", IF('Additional Chemicals-WUO_ERR'!A396 = "", "Validated", HYPERLINK("#" &amp; ADDRESS(396, 'Additional Chemicals-WUO_TRK'!A396),_xlfn.TEXTAFTER('Additional Chemicals-WUO_ERR'!A396, ":"))))</f>
        <v/>
      </c>
    </row>
    <row r="397">
      <c r="A397" s="39">
        <f>IF('Additional Chemicals'!B397 = "", "", IF('Additional Chemicals-WUO_ERR'!A397 = "", "Validated", HYPERLINK("#" &amp; ADDRESS(397, 'Additional Chemicals-WUO_TRK'!A397),_xlfn.TEXTAFTER('Additional Chemicals-WUO_ERR'!A397, ":"))))</f>
        <v/>
      </c>
    </row>
    <row r="398">
      <c r="A398" s="39">
        <f>IF('Additional Chemicals'!B398 = "", "", IF('Additional Chemicals-WUO_ERR'!A398 = "", "Validated", HYPERLINK("#" &amp; ADDRESS(398, 'Additional Chemicals-WUO_TRK'!A398),_xlfn.TEXTAFTER('Additional Chemicals-WUO_ERR'!A398, ":"))))</f>
        <v/>
      </c>
    </row>
    <row r="399">
      <c r="A399" s="39">
        <f>IF('Additional Chemicals'!B399 = "", "", IF('Additional Chemicals-WUO_ERR'!A399 = "", "Validated", HYPERLINK("#" &amp; ADDRESS(399, 'Additional Chemicals-WUO_TRK'!A399),_xlfn.TEXTAFTER('Additional Chemicals-WUO_ERR'!A399, ":"))))</f>
        <v/>
      </c>
    </row>
    <row r="400">
      <c r="A400" s="39">
        <f>IF('Additional Chemicals'!B400 = "", "", IF('Additional Chemicals-WUO_ERR'!A400 = "", "Validated", HYPERLINK("#" &amp; ADDRESS(400, 'Additional Chemicals-WUO_TRK'!A400),_xlfn.TEXTAFTER('Additional Chemicals-WUO_ERR'!A400, ":"))))</f>
        <v/>
      </c>
    </row>
    <row r="401">
      <c r="A401" s="39">
        <f>IF('Additional Chemicals'!B401 = "", "", IF('Additional Chemicals-WUO_ERR'!A401 = "", "Validated", HYPERLINK("#" &amp; ADDRESS(401, 'Additional Chemicals-WUO_TRK'!A401),_xlfn.TEXTAFTER('Additional Chemicals-WUO_ERR'!A401, ":"))))</f>
        <v/>
      </c>
    </row>
    <row r="402">
      <c r="A402" s="39">
        <f>IF('Additional Chemicals'!B402 = "", "", IF('Additional Chemicals-WUO_ERR'!A402 = "", "Validated", HYPERLINK("#" &amp; ADDRESS(402, 'Additional Chemicals-WUO_TRK'!A402),_xlfn.TEXTAFTER('Additional Chemicals-WUO_ERR'!A402, ":"))))</f>
        <v/>
      </c>
    </row>
    <row r="403">
      <c r="A403" s="39">
        <f>IF('Additional Chemicals'!B403 = "", "", IF('Additional Chemicals-WUO_ERR'!A403 = "", "Validated", HYPERLINK("#" &amp; ADDRESS(403, 'Additional Chemicals-WUO_TRK'!A403),_xlfn.TEXTAFTER('Additional Chemicals-WUO_ERR'!A403, ":"))))</f>
        <v/>
      </c>
    </row>
    <row r="404">
      <c r="A404" s="39">
        <f>IF('Additional Chemicals'!B404 = "", "", IF('Additional Chemicals-WUO_ERR'!A404 = "", "Validated", HYPERLINK("#" &amp; ADDRESS(404, 'Additional Chemicals-WUO_TRK'!A404),_xlfn.TEXTAFTER('Additional Chemicals-WUO_ERR'!A404, ":"))))</f>
        <v/>
      </c>
    </row>
    <row r="405">
      <c r="A405" s="39">
        <f>IF('Additional Chemicals'!B405 = "", "", IF('Additional Chemicals-WUO_ERR'!A405 = "", "Validated", HYPERLINK("#" &amp; ADDRESS(405, 'Additional Chemicals-WUO_TRK'!A405),_xlfn.TEXTAFTER('Additional Chemicals-WUO_ERR'!A405, ":"))))</f>
        <v/>
      </c>
    </row>
    <row r="406">
      <c r="A406" s="39">
        <f>IF('Additional Chemicals'!B406 = "", "", IF('Additional Chemicals-WUO_ERR'!A406 = "", "Validated", HYPERLINK("#" &amp; ADDRESS(406, 'Additional Chemicals-WUO_TRK'!A406),_xlfn.TEXTAFTER('Additional Chemicals-WUO_ERR'!A406, ":"))))</f>
        <v/>
      </c>
    </row>
    <row r="407">
      <c r="A407" s="39">
        <f>IF('Additional Chemicals'!B407 = "", "", IF('Additional Chemicals-WUO_ERR'!A407 = "", "Validated", HYPERLINK("#" &amp; ADDRESS(407, 'Additional Chemicals-WUO_TRK'!A407),_xlfn.TEXTAFTER('Additional Chemicals-WUO_ERR'!A407, ":"))))</f>
        <v/>
      </c>
    </row>
    <row r="408">
      <c r="A408" s="39">
        <f>IF('Additional Chemicals'!B408 = "", "", IF('Additional Chemicals-WUO_ERR'!A408 = "", "Validated", HYPERLINK("#" &amp; ADDRESS(408, 'Additional Chemicals-WUO_TRK'!A408),_xlfn.TEXTAFTER('Additional Chemicals-WUO_ERR'!A408, ":"))))</f>
        <v/>
      </c>
    </row>
    <row r="409">
      <c r="A409" s="39">
        <f>IF('Additional Chemicals'!B409 = "", "", IF('Additional Chemicals-WUO_ERR'!A409 = "", "Validated", HYPERLINK("#" &amp; ADDRESS(409, 'Additional Chemicals-WUO_TRK'!A409),_xlfn.TEXTAFTER('Additional Chemicals-WUO_ERR'!A409, ":"))))</f>
        <v/>
      </c>
    </row>
    <row r="410">
      <c r="A410" s="39">
        <f>IF('Additional Chemicals'!B410 = "", "", IF('Additional Chemicals-WUO_ERR'!A410 = "", "Validated", HYPERLINK("#" &amp; ADDRESS(410, 'Additional Chemicals-WUO_TRK'!A410),_xlfn.TEXTAFTER('Additional Chemicals-WUO_ERR'!A410, ":"))))</f>
        <v/>
      </c>
    </row>
    <row r="411">
      <c r="A411" s="39">
        <f>IF('Additional Chemicals'!B411 = "", "", IF('Additional Chemicals-WUO_ERR'!A411 = "", "Validated", HYPERLINK("#" &amp; ADDRESS(411, 'Additional Chemicals-WUO_TRK'!A411),_xlfn.TEXTAFTER('Additional Chemicals-WUO_ERR'!A411, ":"))))</f>
        <v/>
      </c>
    </row>
    <row r="412">
      <c r="A412" s="39">
        <f>IF('Additional Chemicals'!B412 = "", "", IF('Additional Chemicals-WUO_ERR'!A412 = "", "Validated", HYPERLINK("#" &amp; ADDRESS(412, 'Additional Chemicals-WUO_TRK'!A412),_xlfn.TEXTAFTER('Additional Chemicals-WUO_ERR'!A412, ":"))))</f>
        <v/>
      </c>
    </row>
    <row r="413">
      <c r="A413" s="39">
        <f>IF('Additional Chemicals'!B413 = "", "", IF('Additional Chemicals-WUO_ERR'!A413 = "", "Validated", HYPERLINK("#" &amp; ADDRESS(413, 'Additional Chemicals-WUO_TRK'!A413),_xlfn.TEXTAFTER('Additional Chemicals-WUO_ERR'!A413, ":"))))</f>
        <v/>
      </c>
    </row>
    <row r="414">
      <c r="A414" s="39">
        <f>IF('Additional Chemicals'!B414 = "", "", IF('Additional Chemicals-WUO_ERR'!A414 = "", "Validated", HYPERLINK("#" &amp; ADDRESS(414, 'Additional Chemicals-WUO_TRK'!A414),_xlfn.TEXTAFTER('Additional Chemicals-WUO_ERR'!A414, ":"))))</f>
        <v/>
      </c>
    </row>
    <row r="415">
      <c r="A415" s="39">
        <f>IF('Additional Chemicals'!B415 = "", "", IF('Additional Chemicals-WUO_ERR'!A415 = "", "Validated", HYPERLINK("#" &amp; ADDRESS(415, 'Additional Chemicals-WUO_TRK'!A415),_xlfn.TEXTAFTER('Additional Chemicals-WUO_ERR'!A415, ":"))))</f>
        <v/>
      </c>
    </row>
    <row r="416">
      <c r="A416" s="39">
        <f>IF('Additional Chemicals'!B416 = "", "", IF('Additional Chemicals-WUO_ERR'!A416 = "", "Validated", HYPERLINK("#" &amp; ADDRESS(416, 'Additional Chemicals-WUO_TRK'!A416),_xlfn.TEXTAFTER('Additional Chemicals-WUO_ERR'!A416, ":"))))</f>
        <v/>
      </c>
    </row>
    <row r="417">
      <c r="A417" s="39">
        <f>IF('Additional Chemicals'!B417 = "", "", IF('Additional Chemicals-WUO_ERR'!A417 = "", "Validated", HYPERLINK("#" &amp; ADDRESS(417, 'Additional Chemicals-WUO_TRK'!A417),_xlfn.TEXTAFTER('Additional Chemicals-WUO_ERR'!A417, ":"))))</f>
        <v/>
      </c>
    </row>
    <row r="418">
      <c r="A418" s="39">
        <f>IF('Additional Chemicals'!B418 = "", "", IF('Additional Chemicals-WUO_ERR'!A418 = "", "Validated", HYPERLINK("#" &amp; ADDRESS(418, 'Additional Chemicals-WUO_TRK'!A418),_xlfn.TEXTAFTER('Additional Chemicals-WUO_ERR'!A418, ":"))))</f>
        <v/>
      </c>
    </row>
    <row r="419">
      <c r="A419" s="39">
        <f>IF('Additional Chemicals'!B419 = "", "", IF('Additional Chemicals-WUO_ERR'!A419 = "", "Validated", HYPERLINK("#" &amp; ADDRESS(419, 'Additional Chemicals-WUO_TRK'!A419),_xlfn.TEXTAFTER('Additional Chemicals-WUO_ERR'!A419, ":"))))</f>
        <v/>
      </c>
    </row>
    <row r="420">
      <c r="A420" s="39">
        <f>IF('Additional Chemicals'!B420 = "", "", IF('Additional Chemicals-WUO_ERR'!A420 = "", "Validated", HYPERLINK("#" &amp; ADDRESS(420, 'Additional Chemicals-WUO_TRK'!A420),_xlfn.TEXTAFTER('Additional Chemicals-WUO_ERR'!A420, ":"))))</f>
        <v/>
      </c>
    </row>
    <row r="421">
      <c r="A421" s="39">
        <f>IF('Additional Chemicals'!B421 = "", "", IF('Additional Chemicals-WUO_ERR'!A421 = "", "Validated", HYPERLINK("#" &amp; ADDRESS(421, 'Additional Chemicals-WUO_TRK'!A421),_xlfn.TEXTAFTER('Additional Chemicals-WUO_ERR'!A421, ":"))))</f>
        <v/>
      </c>
    </row>
    <row r="422">
      <c r="A422" s="39">
        <f>IF('Additional Chemicals'!B422 = "", "", IF('Additional Chemicals-WUO_ERR'!A422 = "", "Validated", HYPERLINK("#" &amp; ADDRESS(422, 'Additional Chemicals-WUO_TRK'!A422),_xlfn.TEXTAFTER('Additional Chemicals-WUO_ERR'!A422, ":"))))</f>
        <v/>
      </c>
    </row>
    <row r="423">
      <c r="A423" s="39">
        <f>IF('Additional Chemicals'!B423 = "", "", IF('Additional Chemicals-WUO_ERR'!A423 = "", "Validated", HYPERLINK("#" &amp; ADDRESS(423, 'Additional Chemicals-WUO_TRK'!A423),_xlfn.TEXTAFTER('Additional Chemicals-WUO_ERR'!A423, ":"))))</f>
        <v/>
      </c>
    </row>
    <row r="424">
      <c r="A424" s="39">
        <f>IF('Additional Chemicals'!B424 = "", "", IF('Additional Chemicals-WUO_ERR'!A424 = "", "Validated", HYPERLINK("#" &amp; ADDRESS(424, 'Additional Chemicals-WUO_TRK'!A424),_xlfn.TEXTAFTER('Additional Chemicals-WUO_ERR'!A424, ":"))))</f>
        <v/>
      </c>
    </row>
    <row r="425">
      <c r="A425" s="39">
        <f>IF('Additional Chemicals'!B425 = "", "", IF('Additional Chemicals-WUO_ERR'!A425 = "", "Validated", HYPERLINK("#" &amp; ADDRESS(425, 'Additional Chemicals-WUO_TRK'!A425),_xlfn.TEXTAFTER('Additional Chemicals-WUO_ERR'!A425, ":"))))</f>
        <v/>
      </c>
    </row>
    <row r="426">
      <c r="A426" s="39">
        <f>IF('Additional Chemicals'!B426 = "", "", IF('Additional Chemicals-WUO_ERR'!A426 = "", "Validated", HYPERLINK("#" &amp; ADDRESS(426, 'Additional Chemicals-WUO_TRK'!A426),_xlfn.TEXTAFTER('Additional Chemicals-WUO_ERR'!A426, ":"))))</f>
        <v/>
      </c>
    </row>
    <row r="427">
      <c r="A427" s="39">
        <f>IF('Additional Chemicals'!B427 = "", "", IF('Additional Chemicals-WUO_ERR'!A427 = "", "Validated", HYPERLINK("#" &amp; ADDRESS(427, 'Additional Chemicals-WUO_TRK'!A427),_xlfn.TEXTAFTER('Additional Chemicals-WUO_ERR'!A427, ":"))))</f>
        <v/>
      </c>
    </row>
    <row r="428">
      <c r="A428" s="39">
        <f>IF('Additional Chemicals'!B428 = "", "", IF('Additional Chemicals-WUO_ERR'!A428 = "", "Validated", HYPERLINK("#" &amp; ADDRESS(428, 'Additional Chemicals-WUO_TRK'!A428),_xlfn.TEXTAFTER('Additional Chemicals-WUO_ERR'!A428, ":"))))</f>
        <v/>
      </c>
    </row>
    <row r="429">
      <c r="A429" s="39">
        <f>IF('Additional Chemicals'!B429 = "", "", IF('Additional Chemicals-WUO_ERR'!A429 = "", "Validated", HYPERLINK("#" &amp; ADDRESS(429, 'Additional Chemicals-WUO_TRK'!A429),_xlfn.TEXTAFTER('Additional Chemicals-WUO_ERR'!A429, ":"))))</f>
        <v/>
      </c>
    </row>
    <row r="430">
      <c r="A430" s="39">
        <f>IF('Additional Chemicals'!B430 = "", "", IF('Additional Chemicals-WUO_ERR'!A430 = "", "Validated", HYPERLINK("#" &amp; ADDRESS(430, 'Additional Chemicals-WUO_TRK'!A430),_xlfn.TEXTAFTER('Additional Chemicals-WUO_ERR'!A430, ":"))))</f>
        <v/>
      </c>
    </row>
    <row r="431">
      <c r="A431" s="39">
        <f>IF('Additional Chemicals'!B431 = "", "", IF('Additional Chemicals-WUO_ERR'!A431 = "", "Validated", HYPERLINK("#" &amp; ADDRESS(431, 'Additional Chemicals-WUO_TRK'!A431),_xlfn.TEXTAFTER('Additional Chemicals-WUO_ERR'!A431, ":"))))</f>
        <v/>
      </c>
    </row>
    <row r="432">
      <c r="A432" s="39">
        <f>IF('Additional Chemicals'!B432 = "", "", IF('Additional Chemicals-WUO_ERR'!A432 = "", "Validated", HYPERLINK("#" &amp; ADDRESS(432, 'Additional Chemicals-WUO_TRK'!A432),_xlfn.TEXTAFTER('Additional Chemicals-WUO_ERR'!A432, ":"))))</f>
        <v/>
      </c>
    </row>
    <row r="433">
      <c r="A433" s="39">
        <f>IF('Additional Chemicals'!B433 = "", "", IF('Additional Chemicals-WUO_ERR'!A433 = "", "Validated", HYPERLINK("#" &amp; ADDRESS(433, 'Additional Chemicals-WUO_TRK'!A433),_xlfn.TEXTAFTER('Additional Chemicals-WUO_ERR'!A433, ":"))))</f>
        <v/>
      </c>
    </row>
    <row r="434">
      <c r="A434" s="39">
        <f>IF('Additional Chemicals'!B434 = "", "", IF('Additional Chemicals-WUO_ERR'!A434 = "", "Validated", HYPERLINK("#" &amp; ADDRESS(434, 'Additional Chemicals-WUO_TRK'!A434),_xlfn.TEXTAFTER('Additional Chemicals-WUO_ERR'!A434, ":"))))</f>
        <v/>
      </c>
    </row>
    <row r="435">
      <c r="A435" s="39">
        <f>IF('Additional Chemicals'!B435 = "", "", IF('Additional Chemicals-WUO_ERR'!A435 = "", "Validated", HYPERLINK("#" &amp; ADDRESS(435, 'Additional Chemicals-WUO_TRK'!A435),_xlfn.TEXTAFTER('Additional Chemicals-WUO_ERR'!A435, ":"))))</f>
        <v/>
      </c>
    </row>
    <row r="436">
      <c r="A436" s="39">
        <f>IF('Additional Chemicals'!B436 = "", "", IF('Additional Chemicals-WUO_ERR'!A436 = "", "Validated", HYPERLINK("#" &amp; ADDRESS(436, 'Additional Chemicals-WUO_TRK'!A436),_xlfn.TEXTAFTER('Additional Chemicals-WUO_ERR'!A436, ":"))))</f>
        <v/>
      </c>
    </row>
    <row r="437">
      <c r="A437" s="39">
        <f>IF('Additional Chemicals'!B437 = "", "", IF('Additional Chemicals-WUO_ERR'!A437 = "", "Validated", HYPERLINK("#" &amp; ADDRESS(437, 'Additional Chemicals-WUO_TRK'!A437),_xlfn.TEXTAFTER('Additional Chemicals-WUO_ERR'!A437, ":"))))</f>
        <v/>
      </c>
    </row>
    <row r="438">
      <c r="A438" s="39">
        <f>IF('Additional Chemicals'!B438 = "", "", IF('Additional Chemicals-WUO_ERR'!A438 = "", "Validated", HYPERLINK("#" &amp; ADDRESS(438, 'Additional Chemicals-WUO_TRK'!A438),_xlfn.TEXTAFTER('Additional Chemicals-WUO_ERR'!A438, ":"))))</f>
        <v/>
      </c>
    </row>
    <row r="439">
      <c r="A439" s="39">
        <f>IF('Additional Chemicals'!B439 = "", "", IF('Additional Chemicals-WUO_ERR'!A439 = "", "Validated", HYPERLINK("#" &amp; ADDRESS(439, 'Additional Chemicals-WUO_TRK'!A439),_xlfn.TEXTAFTER('Additional Chemicals-WUO_ERR'!A439, ":"))))</f>
        <v/>
      </c>
    </row>
    <row r="440">
      <c r="A440" s="39">
        <f>IF('Additional Chemicals'!B440 = "", "", IF('Additional Chemicals-WUO_ERR'!A440 = "", "Validated", HYPERLINK("#" &amp; ADDRESS(440, 'Additional Chemicals-WUO_TRK'!A440),_xlfn.TEXTAFTER('Additional Chemicals-WUO_ERR'!A440, ":"))))</f>
        <v/>
      </c>
    </row>
    <row r="441">
      <c r="A441" s="39">
        <f>IF('Additional Chemicals'!B441 = "", "", IF('Additional Chemicals-WUO_ERR'!A441 = "", "Validated", HYPERLINK("#" &amp; ADDRESS(441, 'Additional Chemicals-WUO_TRK'!A441),_xlfn.TEXTAFTER('Additional Chemicals-WUO_ERR'!A441, ":"))))</f>
        <v/>
      </c>
    </row>
    <row r="442">
      <c r="A442" s="39">
        <f>IF('Additional Chemicals'!B442 = "", "", IF('Additional Chemicals-WUO_ERR'!A442 = "", "Validated", HYPERLINK("#" &amp; ADDRESS(442, 'Additional Chemicals-WUO_TRK'!A442),_xlfn.TEXTAFTER('Additional Chemicals-WUO_ERR'!A442, ":"))))</f>
        <v/>
      </c>
    </row>
    <row r="443">
      <c r="A443" s="39">
        <f>IF('Additional Chemicals'!B443 = "", "", IF('Additional Chemicals-WUO_ERR'!A443 = "", "Validated", HYPERLINK("#" &amp; ADDRESS(443, 'Additional Chemicals-WUO_TRK'!A443),_xlfn.TEXTAFTER('Additional Chemicals-WUO_ERR'!A443, ":"))))</f>
        <v/>
      </c>
    </row>
    <row r="444">
      <c r="A444" s="39">
        <f>IF('Additional Chemicals'!B444 = "", "", IF('Additional Chemicals-WUO_ERR'!A444 = "", "Validated", HYPERLINK("#" &amp; ADDRESS(444, 'Additional Chemicals-WUO_TRK'!A444),_xlfn.TEXTAFTER('Additional Chemicals-WUO_ERR'!A444, ":"))))</f>
        <v/>
      </c>
    </row>
    <row r="445">
      <c r="A445" s="39">
        <f>IF('Additional Chemicals'!B445 = "", "", IF('Additional Chemicals-WUO_ERR'!A445 = "", "Validated", HYPERLINK("#" &amp; ADDRESS(445, 'Additional Chemicals-WUO_TRK'!A445),_xlfn.TEXTAFTER('Additional Chemicals-WUO_ERR'!A445, ":"))))</f>
        <v/>
      </c>
    </row>
    <row r="446">
      <c r="A446" s="39">
        <f>IF('Additional Chemicals'!B446 = "", "", IF('Additional Chemicals-WUO_ERR'!A446 = "", "Validated", HYPERLINK("#" &amp; ADDRESS(446, 'Additional Chemicals-WUO_TRK'!A446),_xlfn.TEXTAFTER('Additional Chemicals-WUO_ERR'!A446, ":"))))</f>
        <v/>
      </c>
    </row>
    <row r="447">
      <c r="A447" s="39">
        <f>IF('Additional Chemicals'!B447 = "", "", IF('Additional Chemicals-WUO_ERR'!A447 = "", "Validated", HYPERLINK("#" &amp; ADDRESS(447, 'Additional Chemicals-WUO_TRK'!A447),_xlfn.TEXTAFTER('Additional Chemicals-WUO_ERR'!A447, ":"))))</f>
        <v/>
      </c>
    </row>
    <row r="448">
      <c r="A448" s="39">
        <f>IF('Additional Chemicals'!B448 = "", "", IF('Additional Chemicals-WUO_ERR'!A448 = "", "Validated", HYPERLINK("#" &amp; ADDRESS(448, 'Additional Chemicals-WUO_TRK'!A448),_xlfn.TEXTAFTER('Additional Chemicals-WUO_ERR'!A448, ":"))))</f>
        <v/>
      </c>
    </row>
    <row r="449">
      <c r="A449" s="39">
        <f>IF('Additional Chemicals'!B449 = "", "", IF('Additional Chemicals-WUO_ERR'!A449 = "", "Validated", HYPERLINK("#" &amp; ADDRESS(449, 'Additional Chemicals-WUO_TRK'!A449),_xlfn.TEXTAFTER('Additional Chemicals-WUO_ERR'!A449, ":"))))</f>
        <v/>
      </c>
    </row>
    <row r="450">
      <c r="A450" s="39">
        <f>IF('Additional Chemicals'!B450 = "", "", IF('Additional Chemicals-WUO_ERR'!A450 = "", "Validated", HYPERLINK("#" &amp; ADDRESS(450, 'Additional Chemicals-WUO_TRK'!A450),_xlfn.TEXTAFTER('Additional Chemicals-WUO_ERR'!A450, ":"))))</f>
        <v/>
      </c>
    </row>
    <row r="451">
      <c r="A451" s="39">
        <f>IF('Additional Chemicals'!B451 = "", "", IF('Additional Chemicals-WUO_ERR'!A451 = "", "Validated", HYPERLINK("#" &amp; ADDRESS(451, 'Additional Chemicals-WUO_TRK'!A451),_xlfn.TEXTAFTER('Additional Chemicals-WUO_ERR'!A451, ":"))))</f>
        <v/>
      </c>
    </row>
    <row r="452">
      <c r="A452" s="39">
        <f>IF('Additional Chemicals'!B452 = "", "", IF('Additional Chemicals-WUO_ERR'!A452 = "", "Validated", HYPERLINK("#" &amp; ADDRESS(452, 'Additional Chemicals-WUO_TRK'!A452),_xlfn.TEXTAFTER('Additional Chemicals-WUO_ERR'!A452, ":"))))</f>
        <v/>
      </c>
    </row>
    <row r="453">
      <c r="A453" s="39">
        <f>IF('Additional Chemicals'!B453 = "", "", IF('Additional Chemicals-WUO_ERR'!A453 = "", "Validated", HYPERLINK("#" &amp; ADDRESS(453, 'Additional Chemicals-WUO_TRK'!A453),_xlfn.TEXTAFTER('Additional Chemicals-WUO_ERR'!A453, ":"))))</f>
        <v/>
      </c>
    </row>
    <row r="454">
      <c r="A454" s="39">
        <f>IF('Additional Chemicals'!B454 = "", "", IF('Additional Chemicals-WUO_ERR'!A454 = "", "Validated", HYPERLINK("#" &amp; ADDRESS(454, 'Additional Chemicals-WUO_TRK'!A454),_xlfn.TEXTAFTER('Additional Chemicals-WUO_ERR'!A454, ":"))))</f>
        <v/>
      </c>
    </row>
    <row r="455">
      <c r="A455" s="39">
        <f>IF('Additional Chemicals'!B455 = "", "", IF('Additional Chemicals-WUO_ERR'!A455 = "", "Validated", HYPERLINK("#" &amp; ADDRESS(455, 'Additional Chemicals-WUO_TRK'!A455),_xlfn.TEXTAFTER('Additional Chemicals-WUO_ERR'!A455, ":"))))</f>
        <v/>
      </c>
    </row>
    <row r="456">
      <c r="A456" s="39">
        <f>IF('Additional Chemicals'!B456 = "", "", IF('Additional Chemicals-WUO_ERR'!A456 = "", "Validated", HYPERLINK("#" &amp; ADDRESS(456, 'Additional Chemicals-WUO_TRK'!A456),_xlfn.TEXTAFTER('Additional Chemicals-WUO_ERR'!A456, ":"))))</f>
        <v/>
      </c>
    </row>
    <row r="457">
      <c r="A457" s="39">
        <f>IF('Additional Chemicals'!B457 = "", "", IF('Additional Chemicals-WUO_ERR'!A457 = "", "Validated", HYPERLINK("#" &amp; ADDRESS(457, 'Additional Chemicals-WUO_TRK'!A457),_xlfn.TEXTAFTER('Additional Chemicals-WUO_ERR'!A457, ":"))))</f>
        <v/>
      </c>
    </row>
    <row r="458">
      <c r="A458" s="39">
        <f>IF('Additional Chemicals'!B458 = "", "", IF('Additional Chemicals-WUO_ERR'!A458 = "", "Validated", HYPERLINK("#" &amp; ADDRESS(458, 'Additional Chemicals-WUO_TRK'!A458),_xlfn.TEXTAFTER('Additional Chemicals-WUO_ERR'!A458, ":"))))</f>
        <v/>
      </c>
    </row>
    <row r="459">
      <c r="A459" s="39">
        <f>IF('Additional Chemicals'!B459 = "", "", IF('Additional Chemicals-WUO_ERR'!A459 = "", "Validated", HYPERLINK("#" &amp; ADDRESS(459, 'Additional Chemicals-WUO_TRK'!A459),_xlfn.TEXTAFTER('Additional Chemicals-WUO_ERR'!A459, ":"))))</f>
        <v/>
      </c>
    </row>
    <row r="460">
      <c r="A460" s="39">
        <f>IF('Additional Chemicals'!B460 = "", "", IF('Additional Chemicals-WUO_ERR'!A460 = "", "Validated", HYPERLINK("#" &amp; ADDRESS(460, 'Additional Chemicals-WUO_TRK'!A460),_xlfn.TEXTAFTER('Additional Chemicals-WUO_ERR'!A460, ":"))))</f>
        <v/>
      </c>
    </row>
    <row r="461">
      <c r="A461" s="39">
        <f>IF('Additional Chemicals'!B461 = "", "", IF('Additional Chemicals-WUO_ERR'!A461 = "", "Validated", HYPERLINK("#" &amp; ADDRESS(461, 'Additional Chemicals-WUO_TRK'!A461),_xlfn.TEXTAFTER('Additional Chemicals-WUO_ERR'!A461, ":"))))</f>
        <v/>
      </c>
    </row>
    <row r="462">
      <c r="A462" s="39">
        <f>IF('Additional Chemicals'!B462 = "", "", IF('Additional Chemicals-WUO_ERR'!A462 = "", "Validated", HYPERLINK("#" &amp; ADDRESS(462, 'Additional Chemicals-WUO_TRK'!A462),_xlfn.TEXTAFTER('Additional Chemicals-WUO_ERR'!A462, ":"))))</f>
        <v/>
      </c>
    </row>
    <row r="463">
      <c r="A463" s="39">
        <f>IF('Additional Chemicals'!B463 = "", "", IF('Additional Chemicals-WUO_ERR'!A463 = "", "Validated", HYPERLINK("#" &amp; ADDRESS(463, 'Additional Chemicals-WUO_TRK'!A463),_xlfn.TEXTAFTER('Additional Chemicals-WUO_ERR'!A463, ":"))))</f>
        <v/>
      </c>
    </row>
    <row r="464">
      <c r="A464" s="39">
        <f>IF('Additional Chemicals'!B464 = "", "", IF('Additional Chemicals-WUO_ERR'!A464 = "", "Validated", HYPERLINK("#" &amp; ADDRESS(464, 'Additional Chemicals-WUO_TRK'!A464),_xlfn.TEXTAFTER('Additional Chemicals-WUO_ERR'!A464, ":"))))</f>
        <v/>
      </c>
    </row>
    <row r="465">
      <c r="A465" s="39">
        <f>IF('Additional Chemicals'!B465 = "", "", IF('Additional Chemicals-WUO_ERR'!A465 = "", "Validated", HYPERLINK("#" &amp; ADDRESS(465, 'Additional Chemicals-WUO_TRK'!A465),_xlfn.TEXTAFTER('Additional Chemicals-WUO_ERR'!A465, ":"))))</f>
        <v/>
      </c>
    </row>
    <row r="466">
      <c r="A466" s="39">
        <f>IF('Additional Chemicals'!B466 = "", "", IF('Additional Chemicals-WUO_ERR'!A466 = "", "Validated", HYPERLINK("#" &amp; ADDRESS(466, 'Additional Chemicals-WUO_TRK'!A466),_xlfn.TEXTAFTER('Additional Chemicals-WUO_ERR'!A466, ":"))))</f>
        <v/>
      </c>
    </row>
    <row r="467">
      <c r="A467" s="39">
        <f>IF('Additional Chemicals'!B467 = "", "", IF('Additional Chemicals-WUO_ERR'!A467 = "", "Validated", HYPERLINK("#" &amp; ADDRESS(467, 'Additional Chemicals-WUO_TRK'!A467),_xlfn.TEXTAFTER('Additional Chemicals-WUO_ERR'!A467, ":"))))</f>
        <v/>
      </c>
    </row>
    <row r="468">
      <c r="A468" s="39">
        <f>IF('Additional Chemicals'!B468 = "", "", IF('Additional Chemicals-WUO_ERR'!A468 = "", "Validated", HYPERLINK("#" &amp; ADDRESS(468, 'Additional Chemicals-WUO_TRK'!A468),_xlfn.TEXTAFTER('Additional Chemicals-WUO_ERR'!A468, ":"))))</f>
        <v/>
      </c>
    </row>
    <row r="469">
      <c r="A469" s="39">
        <f>IF('Additional Chemicals'!B469 = "", "", IF('Additional Chemicals-WUO_ERR'!A469 = "", "Validated", HYPERLINK("#" &amp; ADDRESS(469, 'Additional Chemicals-WUO_TRK'!A469),_xlfn.TEXTAFTER('Additional Chemicals-WUO_ERR'!A469, ":"))))</f>
        <v/>
      </c>
    </row>
    <row r="470">
      <c r="A470" s="39">
        <f>IF('Additional Chemicals'!B470 = "", "", IF('Additional Chemicals-WUO_ERR'!A470 = "", "Validated", HYPERLINK("#" &amp; ADDRESS(470, 'Additional Chemicals-WUO_TRK'!A470),_xlfn.TEXTAFTER('Additional Chemicals-WUO_ERR'!A470, ":"))))</f>
        <v/>
      </c>
    </row>
    <row r="471">
      <c r="A471" s="39">
        <f>IF('Additional Chemicals'!B471 = "", "", IF('Additional Chemicals-WUO_ERR'!A471 = "", "Validated", HYPERLINK("#" &amp; ADDRESS(471, 'Additional Chemicals-WUO_TRK'!A471),_xlfn.TEXTAFTER('Additional Chemicals-WUO_ERR'!A471, ":"))))</f>
        <v/>
      </c>
    </row>
    <row r="472">
      <c r="A472" s="39">
        <f>IF('Additional Chemicals'!B472 = "", "", IF('Additional Chemicals-WUO_ERR'!A472 = "", "Validated", HYPERLINK("#" &amp; ADDRESS(472, 'Additional Chemicals-WUO_TRK'!A472),_xlfn.TEXTAFTER('Additional Chemicals-WUO_ERR'!A472, ":"))))</f>
        <v/>
      </c>
    </row>
    <row r="473">
      <c r="A473" s="39">
        <f>IF('Additional Chemicals'!B473 = "", "", IF('Additional Chemicals-WUO_ERR'!A473 = "", "Validated", HYPERLINK("#" &amp; ADDRESS(473, 'Additional Chemicals-WUO_TRK'!A473),_xlfn.TEXTAFTER('Additional Chemicals-WUO_ERR'!A473, ":"))))</f>
        <v/>
      </c>
    </row>
    <row r="474">
      <c r="A474" s="39">
        <f>IF('Additional Chemicals'!B474 = "", "", IF('Additional Chemicals-WUO_ERR'!A474 = "", "Validated", HYPERLINK("#" &amp; ADDRESS(474, 'Additional Chemicals-WUO_TRK'!A474),_xlfn.TEXTAFTER('Additional Chemicals-WUO_ERR'!A474, ":"))))</f>
        <v/>
      </c>
    </row>
    <row r="475">
      <c r="A475" s="39">
        <f>IF('Additional Chemicals'!B475 = "", "", IF('Additional Chemicals-WUO_ERR'!A475 = "", "Validated", HYPERLINK("#" &amp; ADDRESS(475, 'Additional Chemicals-WUO_TRK'!A475),_xlfn.TEXTAFTER('Additional Chemicals-WUO_ERR'!A475, ":"))))</f>
        <v/>
      </c>
    </row>
    <row r="476">
      <c r="A476" s="39">
        <f>IF('Additional Chemicals'!B476 = "", "", IF('Additional Chemicals-WUO_ERR'!A476 = "", "Validated", HYPERLINK("#" &amp; ADDRESS(476, 'Additional Chemicals-WUO_TRK'!A476),_xlfn.TEXTAFTER('Additional Chemicals-WUO_ERR'!A476, ":"))))</f>
        <v/>
      </c>
    </row>
    <row r="477">
      <c r="A477" s="39">
        <f>IF('Additional Chemicals'!B477 = "", "", IF('Additional Chemicals-WUO_ERR'!A477 = "", "Validated", HYPERLINK("#" &amp; ADDRESS(477, 'Additional Chemicals-WUO_TRK'!A477),_xlfn.TEXTAFTER('Additional Chemicals-WUO_ERR'!A477, ":"))))</f>
        <v/>
      </c>
    </row>
    <row r="478">
      <c r="A478" s="39">
        <f>IF('Additional Chemicals'!B478 = "", "", IF('Additional Chemicals-WUO_ERR'!A478 = "", "Validated", HYPERLINK("#" &amp; ADDRESS(478, 'Additional Chemicals-WUO_TRK'!A478),_xlfn.TEXTAFTER('Additional Chemicals-WUO_ERR'!A478, ":"))))</f>
        <v/>
      </c>
    </row>
    <row r="479">
      <c r="A479" s="39">
        <f>IF('Additional Chemicals'!B479 = "", "", IF('Additional Chemicals-WUO_ERR'!A479 = "", "Validated", HYPERLINK("#" &amp; ADDRESS(479, 'Additional Chemicals-WUO_TRK'!A479),_xlfn.TEXTAFTER('Additional Chemicals-WUO_ERR'!A479, ":"))))</f>
        <v/>
      </c>
    </row>
    <row r="480">
      <c r="A480" s="39">
        <f>IF('Additional Chemicals'!B480 = "", "", IF('Additional Chemicals-WUO_ERR'!A480 = "", "Validated", HYPERLINK("#" &amp; ADDRESS(480, 'Additional Chemicals-WUO_TRK'!A480),_xlfn.TEXTAFTER('Additional Chemicals-WUO_ERR'!A480, ":"))))</f>
        <v/>
      </c>
    </row>
    <row r="481">
      <c r="A481" s="39">
        <f>IF('Additional Chemicals'!B481 = "", "", IF('Additional Chemicals-WUO_ERR'!A481 = "", "Validated", HYPERLINK("#" &amp; ADDRESS(481, 'Additional Chemicals-WUO_TRK'!A481),_xlfn.TEXTAFTER('Additional Chemicals-WUO_ERR'!A481, ":"))))</f>
        <v/>
      </c>
    </row>
    <row r="482">
      <c r="A482" s="39">
        <f>IF('Additional Chemicals'!B482 = "", "", IF('Additional Chemicals-WUO_ERR'!A482 = "", "Validated", HYPERLINK("#" &amp; ADDRESS(482, 'Additional Chemicals-WUO_TRK'!A482),_xlfn.TEXTAFTER('Additional Chemicals-WUO_ERR'!A482, ":"))))</f>
        <v/>
      </c>
    </row>
    <row r="483">
      <c r="A483" s="39">
        <f>IF('Additional Chemicals'!B483 = "", "", IF('Additional Chemicals-WUO_ERR'!A483 = "", "Validated", HYPERLINK("#" &amp; ADDRESS(483, 'Additional Chemicals-WUO_TRK'!A483),_xlfn.TEXTAFTER('Additional Chemicals-WUO_ERR'!A483, ":"))))</f>
        <v/>
      </c>
    </row>
    <row r="484">
      <c r="A484" s="39">
        <f>IF('Additional Chemicals'!B484 = "", "", IF('Additional Chemicals-WUO_ERR'!A484 = "", "Validated", HYPERLINK("#" &amp; ADDRESS(484, 'Additional Chemicals-WUO_TRK'!A484),_xlfn.TEXTAFTER('Additional Chemicals-WUO_ERR'!A484, ":"))))</f>
        <v/>
      </c>
    </row>
    <row r="485">
      <c r="A485" s="39">
        <f>IF('Additional Chemicals'!B485 = "", "", IF('Additional Chemicals-WUO_ERR'!A485 = "", "Validated", HYPERLINK("#" &amp; ADDRESS(485, 'Additional Chemicals-WUO_TRK'!A485),_xlfn.TEXTAFTER('Additional Chemicals-WUO_ERR'!A485, ":"))))</f>
        <v/>
      </c>
    </row>
    <row r="486">
      <c r="A486" s="39">
        <f>IF('Additional Chemicals'!B486 = "", "", IF('Additional Chemicals-WUO_ERR'!A486 = "", "Validated", HYPERLINK("#" &amp; ADDRESS(486, 'Additional Chemicals-WUO_TRK'!A486),_xlfn.TEXTAFTER('Additional Chemicals-WUO_ERR'!A486, ":"))))</f>
        <v/>
      </c>
    </row>
    <row r="487">
      <c r="A487" s="39">
        <f>IF('Additional Chemicals'!B487 = "", "", IF('Additional Chemicals-WUO_ERR'!A487 = "", "Validated", HYPERLINK("#" &amp; ADDRESS(487, 'Additional Chemicals-WUO_TRK'!A487),_xlfn.TEXTAFTER('Additional Chemicals-WUO_ERR'!A487, ":"))))</f>
        <v/>
      </c>
    </row>
    <row r="488">
      <c r="A488" s="39">
        <f>IF('Additional Chemicals'!B488 = "", "", IF('Additional Chemicals-WUO_ERR'!A488 = "", "Validated", HYPERLINK("#" &amp; ADDRESS(488, 'Additional Chemicals-WUO_TRK'!A488),_xlfn.TEXTAFTER('Additional Chemicals-WUO_ERR'!A488, ":"))))</f>
        <v/>
      </c>
    </row>
    <row r="489">
      <c r="A489" s="39">
        <f>IF('Additional Chemicals'!B489 = "", "", IF('Additional Chemicals-WUO_ERR'!A489 = "", "Validated", HYPERLINK("#" &amp; ADDRESS(489, 'Additional Chemicals-WUO_TRK'!A489),_xlfn.TEXTAFTER('Additional Chemicals-WUO_ERR'!A489, ":"))))</f>
        <v/>
      </c>
    </row>
    <row r="490">
      <c r="A490" s="39">
        <f>IF('Additional Chemicals'!B490 = "", "", IF('Additional Chemicals-WUO_ERR'!A490 = "", "Validated", HYPERLINK("#" &amp; ADDRESS(490, 'Additional Chemicals-WUO_TRK'!A490),_xlfn.TEXTAFTER('Additional Chemicals-WUO_ERR'!A490, ":"))))</f>
        <v/>
      </c>
    </row>
    <row r="491">
      <c r="A491" s="39">
        <f>IF('Additional Chemicals'!B491 = "", "", IF('Additional Chemicals-WUO_ERR'!A491 = "", "Validated", HYPERLINK("#" &amp; ADDRESS(491, 'Additional Chemicals-WUO_TRK'!A491),_xlfn.TEXTAFTER('Additional Chemicals-WUO_ERR'!A491, ":"))))</f>
        <v/>
      </c>
    </row>
    <row r="492">
      <c r="A492" s="39">
        <f>IF('Additional Chemicals'!B492 = "", "", IF('Additional Chemicals-WUO_ERR'!A492 = "", "Validated", HYPERLINK("#" &amp; ADDRESS(492, 'Additional Chemicals-WUO_TRK'!A492),_xlfn.TEXTAFTER('Additional Chemicals-WUO_ERR'!A492, ":"))))</f>
        <v/>
      </c>
    </row>
    <row r="493">
      <c r="A493" s="39">
        <f>IF('Additional Chemicals'!B493 = "", "", IF('Additional Chemicals-WUO_ERR'!A493 = "", "Validated", HYPERLINK("#" &amp; ADDRESS(493, 'Additional Chemicals-WUO_TRK'!A493),_xlfn.TEXTAFTER('Additional Chemicals-WUO_ERR'!A493, ":"))))</f>
        <v/>
      </c>
    </row>
    <row r="494">
      <c r="A494" s="39">
        <f>IF('Additional Chemicals'!B494 = "", "", IF('Additional Chemicals-WUO_ERR'!A494 = "", "Validated", HYPERLINK("#" &amp; ADDRESS(494, 'Additional Chemicals-WUO_TRK'!A494),_xlfn.TEXTAFTER('Additional Chemicals-WUO_ERR'!A494, ":"))))</f>
        <v/>
      </c>
    </row>
    <row r="495">
      <c r="A495" s="39">
        <f>IF('Additional Chemicals'!B495 = "", "", IF('Additional Chemicals-WUO_ERR'!A495 = "", "Validated", HYPERLINK("#" &amp; ADDRESS(495, 'Additional Chemicals-WUO_TRK'!A495),_xlfn.TEXTAFTER('Additional Chemicals-WUO_ERR'!A495, ":"))))</f>
        <v/>
      </c>
    </row>
    <row r="496">
      <c r="A496" s="39">
        <f>IF('Additional Chemicals'!B496 = "", "", IF('Additional Chemicals-WUO_ERR'!A496 = "", "Validated", HYPERLINK("#" &amp; ADDRESS(496, 'Additional Chemicals-WUO_TRK'!A496),_xlfn.TEXTAFTER('Additional Chemicals-WUO_ERR'!A496, ":"))))</f>
        <v/>
      </c>
    </row>
    <row r="497">
      <c r="A497" s="39">
        <f>IF('Additional Chemicals'!B497 = "", "", IF('Additional Chemicals-WUO_ERR'!A497 = "", "Validated", HYPERLINK("#" &amp; ADDRESS(497, 'Additional Chemicals-WUO_TRK'!A497),_xlfn.TEXTAFTER('Additional Chemicals-WUO_ERR'!A497, ":"))))</f>
        <v/>
      </c>
    </row>
    <row r="498">
      <c r="A498" s="39">
        <f>IF('Additional Chemicals'!B498 = "", "", IF('Additional Chemicals-WUO_ERR'!A498 = "", "Validated", HYPERLINK("#" &amp; ADDRESS(498, 'Additional Chemicals-WUO_TRK'!A498),_xlfn.TEXTAFTER('Additional Chemicals-WUO_ERR'!A498, ":"))))</f>
        <v/>
      </c>
    </row>
    <row r="499">
      <c r="A499" s="39">
        <f>IF('Additional Chemicals'!B499 = "", "", IF('Additional Chemicals-WUO_ERR'!A499 = "", "Validated", HYPERLINK("#" &amp; ADDRESS(499, 'Additional Chemicals-WUO_TRK'!A499),_xlfn.TEXTAFTER('Additional Chemicals-WUO_ERR'!A499, ":"))))</f>
        <v/>
      </c>
    </row>
    <row r="500">
      <c r="A500" s="39">
        <f>IF('Additional Chemicals'!B500 = "", "", IF('Additional Chemicals-WUO_ERR'!A500 = "", "Validated", HYPERLINK("#" &amp; ADDRESS(500, 'Additional Chemicals-WUO_TRK'!A500),_xlfn.TEXTAFTER('Additional Chemicals-WUO_ERR'!A500, ":"))))</f>
        <v/>
      </c>
    </row>
    <row r="501">
      <c r="A501" s="39">
        <f>IF('Additional Chemicals'!B501 = "", "", IF('Additional Chemicals-WUO_ERR'!A501 = "", "Validated", HYPERLINK("#" &amp; ADDRESS(501, 'Additional Chemicals-WUO_TRK'!A501),_xlfn.TEXTAFTER('Additional Chemicals-WUO_ERR'!A501, ":"))))</f>
        <v/>
      </c>
    </row>
    <row r="502">
      <c r="A502" s="39">
        <f>IF('Additional Chemicals'!B502 = "", "", IF('Additional Chemicals-WUO_ERR'!A502 = "", "Validated", HYPERLINK("#" &amp; ADDRESS(502, 'Additional Chemicals-WUO_TRK'!A502),_xlfn.TEXTAFTER('Additional Chemicals-WUO_ERR'!A502, ":"))))</f>
        <v/>
      </c>
    </row>
    <row r="503">
      <c r="A503" s="39">
        <f>IF('Additional Chemicals'!B503 = "", "", IF('Additional Chemicals-WUO_ERR'!A503 = "", "Validated", HYPERLINK("#" &amp; ADDRESS(503, 'Additional Chemicals-WUO_TRK'!A503),_xlfn.TEXTAFTER('Additional Chemicals-WUO_ERR'!A503, ":"))))</f>
        <v/>
      </c>
    </row>
    <row r="504">
      <c r="A504" s="39">
        <f>IF('Additional Chemicals'!B504 = "", "", IF('Additional Chemicals-WUO_ERR'!A504 = "", "Validated", HYPERLINK("#" &amp; ADDRESS(504, 'Additional Chemicals-WUO_TRK'!A504),_xlfn.TEXTAFTER('Additional Chemicals-WUO_ERR'!A504, ":"))))</f>
        <v/>
      </c>
    </row>
    <row r="505">
      <c r="A505" s="39">
        <f>IF('Additional Chemicals'!B505 = "", "", IF('Additional Chemicals-WUO_ERR'!A505 = "", "Validated", HYPERLINK("#" &amp; ADDRESS(505, 'Additional Chemicals-WUO_TRK'!A505),_xlfn.TEXTAFTER('Additional Chemicals-WUO_ERR'!A505, ":"))))</f>
        <v/>
      </c>
    </row>
    <row r="506">
      <c r="A506" s="39">
        <f>IF('Additional Chemicals'!B506 = "", "", IF('Additional Chemicals-WUO_ERR'!A506 = "", "Validated", HYPERLINK("#" &amp; ADDRESS(506, 'Additional Chemicals-WUO_TRK'!A506),_xlfn.TEXTAFTER('Additional Chemicals-WUO_ERR'!A506, ":"))))</f>
        <v/>
      </c>
    </row>
    <row r="507">
      <c r="A507" s="39">
        <f>IF('Additional Chemicals'!B507 = "", "", IF('Additional Chemicals-WUO_ERR'!A507 = "", "Validated", HYPERLINK("#" &amp; ADDRESS(507, 'Additional Chemicals-WUO_TRK'!A507),_xlfn.TEXTAFTER('Additional Chemicals-WUO_ERR'!A507, ":"))))</f>
        <v/>
      </c>
    </row>
  </sheetData>
  <sheetProtection selectLockedCells="0" selectUnlockedCells="0" sheet="1" objects="1" insertRows="1" insertHyperlinks="1" autoFilter="1" scenarios="1" formatColumns="0" deleteColumns="1" insertColumns="1" pivotTables="1" deleteRows="1" formatCells="1" formatRows="0" sort="1" password="8F06"/>
  <mergeCells count="1">
    <mergeCell ref="C2:D2"/>
  </mergeCells>
  <conditionalFormatting sqref="A7:A50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50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dataValidations count="1">
    <dataValidation sqref="C7:C2500" showDropDown="0" showInputMessage="1" showErrorMessage="1" allowBlank="1" errorTitle="Invalid Chemical" error="The value provided is not a valid Chemical." promptTitle="Chemical" prompt="Please select a valid Chemical" type="list">
      <formula1>'WAYFAIR_USE_ONLY'!$AT$7:$AT908</formula1>
    </dataValidation>
  </dataValidations>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2" t="inlineStr">
        <is>
          <t>Required</t>
        </is>
      </c>
      <c r="C3" s="32" t="inlineStr">
        <is>
          <t>Conditional</t>
        </is>
      </c>
      <c r="D3" s="32" t="inlineStr">
        <is>
          <t>Conditional</t>
        </is>
      </c>
    </row>
    <row r="4" ht="50" customHeight="1">
      <c r="B4" s="19" t="inlineStr">
        <is>
          <t>Supplier Part Number</t>
        </is>
      </c>
      <c r="C4" s="19" t="inlineStr">
        <is>
          <t>Chemical</t>
        </is>
      </c>
      <c r="D4" s="19" t="inlineStr">
        <is>
          <t>Toxicity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B6" s="35" t="inlineStr">
        <is>
          <t>Text</t>
        </is>
      </c>
      <c r="C6" s="36" t="inlineStr">
        <is>
          <t>Select</t>
        </is>
      </c>
      <c r="D6" s="36" t="inlineStr">
        <is>
          <t>Please choose one or more from the following, using a semicolon (;) to separate each value: Cancer; Developmental</t>
        </is>
      </c>
    </row>
    <row r="7">
      <c r="A7">
        <f t="array" ref="A7">_xlfn.BYROW(B7:E507,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Chemicals'!B7:B507, 'Additional Chemicals'!B7:B507,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Chemicals'!B7:B507, 'Additional Chemicals'!C7:C507, 'Additional Chemicals'!D7:D507, _xlfn.LAMBDA(_xlpm.part, _xlpm.val, _xlpm.dep1, IF(_xlpm.part = "", "", _xlfn.LET(_xlpm.check1, IF(AND(_xlpm.val = "", C$3="Required"), "3:Chemical - Value is required", ""), IF(LEN(_xlpm.check1) &gt; 0, _xlpm.check1, IF(_xlpm.dep1 &lt;&gt; "", IF(_xlpm.val = "", "3:Please provide a chemical", ""), ""))))))</f>
        <v/>
      </c>
      <c r="D7" s="22">
        <f t="array" ref="D7">_xlfn.MAP('Additional Chemicals'!B7:B507, 'Additional Chemicals'!D7:D507, 'Additional Chemicals'!C7:C507,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2" t="inlineStr">
        <is>
          <t>Required</t>
        </is>
      </c>
      <c r="C3" s="32" t="inlineStr">
        <is>
          <t>Conditional</t>
        </is>
      </c>
      <c r="D3" s="32" t="inlineStr">
        <is>
          <t>Conditional</t>
        </is>
      </c>
    </row>
    <row r="4" ht="50" customHeight="1">
      <c r="B4" s="19" t="inlineStr">
        <is>
          <t>Supplier Part Number</t>
        </is>
      </c>
      <c r="C4" s="19" t="inlineStr">
        <is>
          <t>Chemical</t>
        </is>
      </c>
      <c r="D4" s="19" t="inlineStr">
        <is>
          <t>Toxicity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B6" s="35" t="inlineStr">
        <is>
          <t>Text</t>
        </is>
      </c>
      <c r="C6" s="36" t="inlineStr">
        <is>
          <t>Select</t>
        </is>
      </c>
      <c r="D6" s="36" t="inlineStr">
        <is>
          <t>Please choose one or more from the following, using a semicolon (;) to separate each value: Cancer; Developmental</t>
        </is>
      </c>
    </row>
    <row r="7">
      <c r="A7">
        <f t="array" ref="A7">_xlfn.BYROW(B7:E507, _xlfn.LAMBDA(_xlpm.r, _xlfn.LET(_xlpm.high_priority_idx, IFERROR(MATCH(TRUE, (_xlpm.r = "Error") + (_xlpm.r = "Required") &gt; 0, 0), 0), IF(_xlpm.high_priority_idx &gt; 0, _xlpm.high_priority_idx + 1, IFERROR(MATCH(1, (_xlpm.r = "Warning") * 1, 0) + 1, "")))))</f>
        <v/>
      </c>
      <c r="B7" s="22">
        <f t="array" ref="B7">_xlfn.MAP('Additional Chemicals'!B7:B507, 'Additional Chemicals'!B7:B507, 'Additional Chemicals-WUO_ERR'!B7:B507, _xlfn.LAMBDA(_xlpm.part, _xlpm.val, _xlpm.error, IF(_xlpm.part = "", "", IF(LEN(_xlpm.error), _xlfn.SWITCH(IFERROR(_xlfn.TEXTBEFORE(_xlpm.error,":"), ""), "1", "Error", "2", "Disabled", "3", "Required", "4", "Warning", "Valid"), "Valid"))))</f>
        <v/>
      </c>
      <c r="C7" s="22">
        <f t="array" ref="C7">_xlfn.MAP('Additional Chemicals'!B7:B507, 'Additional Chemicals'!C7:C507, 'Additional Chemicals-WUO_ERR'!C7:C507, _xlfn.LAMBDA(_xlpm.part, _xlpm.val, _xlpm.error, IF(_xlpm.part = "", "", IF(LEN(_xlpm.error), _xlfn.SWITCH(IFERROR(_xlfn.TEXTBEFORE(_xlpm.error,":"), ""), "1", "Error", "2", "Disabled", "3", "Required", "4", "Warning", "Valid"), "Valid"))))</f>
        <v/>
      </c>
      <c r="D7" s="22">
        <f t="array" ref="D7">_xlfn.MAP('Additional Chemicals'!B7:B507, 'Additional Chemicals'!D7:D507, 'Additional Chemicals-WUO_ERR'!D7:D507,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width="13" customWidth="1" min="26" max="26"/>
  </cols>
  <sheetData>
    <row r="1" hidden="1">
      <c r="B1" s="22" t="inlineStr">
        <is>
          <t>core::supplierPartNumber</t>
        </is>
      </c>
      <c r="C1" s="22" t="inlineStr">
        <is>
          <t>media::imageValue</t>
        </is>
      </c>
    </row>
    <row r="2">
      <c r="B2" s="23" t="inlineStr">
        <is>
          <t>Basic Information</t>
        </is>
      </c>
      <c r="C2" s="30" t="inlineStr">
        <is>
          <t>Media</t>
        </is>
      </c>
    </row>
    <row r="3">
      <c r="B3" s="32" t="inlineStr">
        <is>
          <t>Required</t>
        </is>
      </c>
      <c r="C3" s="32" t="inlineStr">
        <is>
          <t>Additional</t>
        </is>
      </c>
    </row>
    <row r="4" ht="50" customHeight="1">
      <c r="A4" s="19" t="inlineStr">
        <is>
          <t>Errors</t>
        </is>
      </c>
      <c r="B4" s="19" t="inlineStr">
        <is>
          <t>Supplier Part Number</t>
        </is>
      </c>
      <c r="C4" s="19" t="inlineStr">
        <is>
          <t>Image File Name or URL</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5" t="inlineStr">
        <is>
          <t>Read-Only</t>
        </is>
      </c>
      <c r="B6" s="35" t="inlineStr">
        <is>
          <t>Text</t>
        </is>
      </c>
      <c r="C6" s="35" t="inlineStr">
        <is>
          <t>Text</t>
        </is>
      </c>
    </row>
    <row r="7">
      <c r="A7" s="39">
        <f>IF('Additional Images'!B7 = "", "", IF('Additional Images-WUO_ERR'!A7 = "", "Validated", HYPERLINK("#" &amp; ADDRESS(7, 'Additional Images-WUO_TRK'!A7),_xlfn.TEXTAFTER('Additional Images-WUO_ERR'!A7,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Images'!B8 = "", "", IF('Additional Images-WUO_ERR'!A8 = "", "Validated", HYPERLINK("#" &amp; ADDRESS(8, 'Additional Images-WUO_TRK'!A8),_xlfn.TEXTAFTER('Additional Images-WUO_ERR'!A8, ":"))))</f>
        <v/>
      </c>
    </row>
    <row r="9">
      <c r="A9" s="39">
        <f>IF('Additional Images'!B9 = "", "", IF('Additional Images-WUO_ERR'!A9 = "", "Validated", HYPERLINK("#" &amp; ADDRESS(9, 'Additional Images-WUO_TRK'!A9),_xlfn.TEXTAFTER('Additional Images-WUO_ERR'!A9, ":"))))</f>
        <v/>
      </c>
    </row>
    <row r="10">
      <c r="A10" s="39">
        <f>IF('Additional Images'!B10 = "", "", IF('Additional Images-WUO_ERR'!A10 = "", "Validated", HYPERLINK("#" &amp; ADDRESS(10, 'Additional Images-WUO_TRK'!A10),_xlfn.TEXTAFTER('Additional Images-WUO_ERR'!A10, ":"))))</f>
        <v/>
      </c>
    </row>
    <row r="11">
      <c r="A11" s="39">
        <f>IF('Additional Images'!B11 = "", "", IF('Additional Images-WUO_ERR'!A11 = "", "Validated", HYPERLINK("#" &amp; ADDRESS(11, 'Additional Images-WUO_TRK'!A11),_xlfn.TEXTAFTER('Additional Images-WUO_ERR'!A11, ":"))))</f>
        <v/>
      </c>
    </row>
    <row r="12">
      <c r="A12" s="39">
        <f>IF('Additional Images'!B12 = "", "", IF('Additional Images-WUO_ERR'!A12 = "", "Validated", HYPERLINK("#" &amp; ADDRESS(12, 'Additional Images-WUO_TRK'!A12),_xlfn.TEXTAFTER('Additional Images-WUO_ERR'!A12, ":"))))</f>
        <v/>
      </c>
    </row>
    <row r="13">
      <c r="A13" s="39">
        <f>IF('Additional Images'!B13 = "", "", IF('Additional Images-WUO_ERR'!A13 = "", "Validated", HYPERLINK("#" &amp; ADDRESS(13, 'Additional Images-WUO_TRK'!A13),_xlfn.TEXTAFTER('Additional Images-WUO_ERR'!A13, ":"))))</f>
        <v/>
      </c>
    </row>
    <row r="14">
      <c r="A14" s="39">
        <f>IF('Additional Images'!B14 = "", "", IF('Additional Images-WUO_ERR'!A14 = "", "Validated", HYPERLINK("#" &amp; ADDRESS(14, 'Additional Images-WUO_TRK'!A14),_xlfn.TEXTAFTER('Additional Images-WUO_ERR'!A14, ":"))))</f>
        <v/>
      </c>
    </row>
    <row r="15">
      <c r="A15" s="39">
        <f>IF('Additional Images'!B15 = "", "", IF('Additional Images-WUO_ERR'!A15 = "", "Validated", HYPERLINK("#" &amp; ADDRESS(15, 'Additional Images-WUO_TRK'!A15),_xlfn.TEXTAFTER('Additional Images-WUO_ERR'!A15, ":"))))</f>
        <v/>
      </c>
    </row>
    <row r="16">
      <c r="A16" s="39">
        <f>IF('Additional Images'!B16 = "", "", IF('Additional Images-WUO_ERR'!A16 = "", "Validated", HYPERLINK("#" &amp; ADDRESS(16, 'Additional Images-WUO_TRK'!A16),_xlfn.TEXTAFTER('Additional Images-WUO_ERR'!A16, ":"))))</f>
        <v/>
      </c>
    </row>
    <row r="17">
      <c r="A17" s="39">
        <f>IF('Additional Images'!B17 = "", "", IF('Additional Images-WUO_ERR'!A17 = "", "Validated", HYPERLINK("#" &amp; ADDRESS(17, 'Additional Images-WUO_TRK'!A17),_xlfn.TEXTAFTER('Additional Images-WUO_ERR'!A17, ":"))))</f>
        <v/>
      </c>
    </row>
    <row r="18">
      <c r="A18" s="39">
        <f>IF('Additional Images'!B18 = "", "", IF('Additional Images-WUO_ERR'!A18 = "", "Validated", HYPERLINK("#" &amp; ADDRESS(18, 'Additional Images-WUO_TRK'!A18),_xlfn.TEXTAFTER('Additional Images-WUO_ERR'!A18, ":"))))</f>
        <v/>
      </c>
    </row>
    <row r="19">
      <c r="A19" s="39">
        <f>IF('Additional Images'!B19 = "", "", IF('Additional Images-WUO_ERR'!A19 = "", "Validated", HYPERLINK("#" &amp; ADDRESS(19, 'Additional Images-WUO_TRK'!A19),_xlfn.TEXTAFTER('Additional Images-WUO_ERR'!A19, ":"))))</f>
        <v/>
      </c>
    </row>
    <row r="20">
      <c r="A20" s="39">
        <f>IF('Additional Images'!B20 = "", "", IF('Additional Images-WUO_ERR'!A20 = "", "Validated", HYPERLINK("#" &amp; ADDRESS(20, 'Additional Images-WUO_TRK'!A20),_xlfn.TEXTAFTER('Additional Images-WUO_ERR'!A20, ":"))))</f>
        <v/>
      </c>
    </row>
    <row r="21">
      <c r="A21" s="39">
        <f>IF('Additional Images'!B21 = "", "", IF('Additional Images-WUO_ERR'!A21 = "", "Validated", HYPERLINK("#" &amp; ADDRESS(21, 'Additional Images-WUO_TRK'!A21),_xlfn.TEXTAFTER('Additional Images-WUO_ERR'!A21, ":"))))</f>
        <v/>
      </c>
    </row>
    <row r="22">
      <c r="A22" s="39">
        <f>IF('Additional Images'!B22 = "", "", IF('Additional Images-WUO_ERR'!A22 = "", "Validated", HYPERLINK("#" &amp; ADDRESS(22, 'Additional Images-WUO_TRK'!A22),_xlfn.TEXTAFTER('Additional Images-WUO_ERR'!A22, ":"))))</f>
        <v/>
      </c>
    </row>
    <row r="23">
      <c r="A23" s="39">
        <f>IF('Additional Images'!B23 = "", "", IF('Additional Images-WUO_ERR'!A23 = "", "Validated", HYPERLINK("#" &amp; ADDRESS(23, 'Additional Images-WUO_TRK'!A23),_xlfn.TEXTAFTER('Additional Images-WUO_ERR'!A23, ":"))))</f>
        <v/>
      </c>
    </row>
    <row r="24">
      <c r="A24" s="39">
        <f>IF('Additional Images'!B24 = "", "", IF('Additional Images-WUO_ERR'!A24 = "", "Validated", HYPERLINK("#" &amp; ADDRESS(24, 'Additional Images-WUO_TRK'!A24),_xlfn.TEXTAFTER('Additional Images-WUO_ERR'!A24, ":"))))</f>
        <v/>
      </c>
    </row>
    <row r="25">
      <c r="A25" s="39">
        <f>IF('Additional Images'!B25 = "", "", IF('Additional Images-WUO_ERR'!A25 = "", "Validated", HYPERLINK("#" &amp; ADDRESS(25, 'Additional Images-WUO_TRK'!A25),_xlfn.TEXTAFTER('Additional Images-WUO_ERR'!A25, ":"))))</f>
        <v/>
      </c>
    </row>
    <row r="26">
      <c r="A26" s="39">
        <f>IF('Additional Images'!B26 = "", "", IF('Additional Images-WUO_ERR'!A26 = "", "Validated", HYPERLINK("#" &amp; ADDRESS(26, 'Additional Images-WUO_TRK'!A26),_xlfn.TEXTAFTER('Additional Images-WUO_ERR'!A26, ":"))))</f>
        <v/>
      </c>
    </row>
    <row r="27">
      <c r="A27" s="39">
        <f>IF('Additional Images'!B27 = "", "", IF('Additional Images-WUO_ERR'!A27 = "", "Validated", HYPERLINK("#" &amp; ADDRESS(27, 'Additional Images-WUO_TRK'!A27),_xlfn.TEXTAFTER('Additional Images-WUO_ERR'!A27, ":"))))</f>
        <v/>
      </c>
    </row>
    <row r="28">
      <c r="A28" s="39">
        <f>IF('Additional Images'!B28 = "", "", IF('Additional Images-WUO_ERR'!A28 = "", "Validated", HYPERLINK("#" &amp; ADDRESS(28, 'Additional Images-WUO_TRK'!A28),_xlfn.TEXTAFTER('Additional Images-WUO_ERR'!A28, ":"))))</f>
        <v/>
      </c>
    </row>
    <row r="29">
      <c r="A29" s="39">
        <f>IF('Additional Images'!B29 = "", "", IF('Additional Images-WUO_ERR'!A29 = "", "Validated", HYPERLINK("#" &amp; ADDRESS(29, 'Additional Images-WUO_TRK'!A29),_xlfn.TEXTAFTER('Additional Images-WUO_ERR'!A29, ":"))))</f>
        <v/>
      </c>
    </row>
    <row r="30">
      <c r="A30" s="39">
        <f>IF('Additional Images'!B30 = "", "", IF('Additional Images-WUO_ERR'!A30 = "", "Validated", HYPERLINK("#" &amp; ADDRESS(30, 'Additional Images-WUO_TRK'!A30),_xlfn.TEXTAFTER('Additional Images-WUO_ERR'!A30, ":"))))</f>
        <v/>
      </c>
    </row>
    <row r="31">
      <c r="A31" s="39">
        <f>IF('Additional Images'!B31 = "", "", IF('Additional Images-WUO_ERR'!A31 = "", "Validated", HYPERLINK("#" &amp; ADDRESS(31, 'Additional Images-WUO_TRK'!A31),_xlfn.TEXTAFTER('Additional Images-WUO_ERR'!A31, ":"))))</f>
        <v/>
      </c>
    </row>
    <row r="32">
      <c r="A32" s="39">
        <f>IF('Additional Images'!B32 = "", "", IF('Additional Images-WUO_ERR'!A32 = "", "Validated", HYPERLINK("#" &amp; ADDRESS(32, 'Additional Images-WUO_TRK'!A32),_xlfn.TEXTAFTER('Additional Images-WUO_ERR'!A32, ":"))))</f>
        <v/>
      </c>
    </row>
    <row r="33">
      <c r="A33" s="39">
        <f>IF('Additional Images'!B33 = "", "", IF('Additional Images-WUO_ERR'!A33 = "", "Validated", HYPERLINK("#" &amp; ADDRESS(33, 'Additional Images-WUO_TRK'!A33),_xlfn.TEXTAFTER('Additional Images-WUO_ERR'!A33, ":"))))</f>
        <v/>
      </c>
    </row>
    <row r="34">
      <c r="A34" s="39">
        <f>IF('Additional Images'!B34 = "", "", IF('Additional Images-WUO_ERR'!A34 = "", "Validated", HYPERLINK("#" &amp; ADDRESS(34, 'Additional Images-WUO_TRK'!A34),_xlfn.TEXTAFTER('Additional Images-WUO_ERR'!A34, ":"))))</f>
        <v/>
      </c>
    </row>
    <row r="35">
      <c r="A35" s="39">
        <f>IF('Additional Images'!B35 = "", "", IF('Additional Images-WUO_ERR'!A35 = "", "Validated", HYPERLINK("#" &amp; ADDRESS(35, 'Additional Images-WUO_TRK'!A35),_xlfn.TEXTAFTER('Additional Images-WUO_ERR'!A35, ":"))))</f>
        <v/>
      </c>
    </row>
    <row r="36">
      <c r="A36" s="39">
        <f>IF('Additional Images'!B36 = "", "", IF('Additional Images-WUO_ERR'!A36 = "", "Validated", HYPERLINK("#" &amp; ADDRESS(36, 'Additional Images-WUO_TRK'!A36),_xlfn.TEXTAFTER('Additional Images-WUO_ERR'!A36, ":"))))</f>
        <v/>
      </c>
    </row>
    <row r="37">
      <c r="A37" s="39">
        <f>IF('Additional Images'!B37 = "", "", IF('Additional Images-WUO_ERR'!A37 = "", "Validated", HYPERLINK("#" &amp; ADDRESS(37, 'Additional Images-WUO_TRK'!A37),_xlfn.TEXTAFTER('Additional Images-WUO_ERR'!A37, ":"))))</f>
        <v/>
      </c>
    </row>
    <row r="38">
      <c r="A38" s="39">
        <f>IF('Additional Images'!B38 = "", "", IF('Additional Images-WUO_ERR'!A38 = "", "Validated", HYPERLINK("#" &amp; ADDRESS(38, 'Additional Images-WUO_TRK'!A38),_xlfn.TEXTAFTER('Additional Images-WUO_ERR'!A38, ":"))))</f>
        <v/>
      </c>
    </row>
    <row r="39">
      <c r="A39" s="39">
        <f>IF('Additional Images'!B39 = "", "", IF('Additional Images-WUO_ERR'!A39 = "", "Validated", HYPERLINK("#" &amp; ADDRESS(39, 'Additional Images-WUO_TRK'!A39),_xlfn.TEXTAFTER('Additional Images-WUO_ERR'!A39, ":"))))</f>
        <v/>
      </c>
    </row>
    <row r="40">
      <c r="A40" s="39">
        <f>IF('Additional Images'!B40 = "", "", IF('Additional Images-WUO_ERR'!A40 = "", "Validated", HYPERLINK("#" &amp; ADDRESS(40, 'Additional Images-WUO_TRK'!A40),_xlfn.TEXTAFTER('Additional Images-WUO_ERR'!A40, ":"))))</f>
        <v/>
      </c>
    </row>
    <row r="41">
      <c r="A41" s="39">
        <f>IF('Additional Images'!B41 = "", "", IF('Additional Images-WUO_ERR'!A41 = "", "Validated", HYPERLINK("#" &amp; ADDRESS(41, 'Additional Images-WUO_TRK'!A41),_xlfn.TEXTAFTER('Additional Images-WUO_ERR'!A41, ":"))))</f>
        <v/>
      </c>
    </row>
    <row r="42">
      <c r="A42" s="39">
        <f>IF('Additional Images'!B42 = "", "", IF('Additional Images-WUO_ERR'!A42 = "", "Validated", HYPERLINK("#" &amp; ADDRESS(42, 'Additional Images-WUO_TRK'!A42),_xlfn.TEXTAFTER('Additional Images-WUO_ERR'!A42, ":"))))</f>
        <v/>
      </c>
    </row>
    <row r="43">
      <c r="A43" s="39">
        <f>IF('Additional Images'!B43 = "", "", IF('Additional Images-WUO_ERR'!A43 = "", "Validated", HYPERLINK("#" &amp; ADDRESS(43, 'Additional Images-WUO_TRK'!A43),_xlfn.TEXTAFTER('Additional Images-WUO_ERR'!A43, ":"))))</f>
        <v/>
      </c>
    </row>
    <row r="44">
      <c r="A44" s="39">
        <f>IF('Additional Images'!B44 = "", "", IF('Additional Images-WUO_ERR'!A44 = "", "Validated", HYPERLINK("#" &amp; ADDRESS(44, 'Additional Images-WUO_TRK'!A44),_xlfn.TEXTAFTER('Additional Images-WUO_ERR'!A44, ":"))))</f>
        <v/>
      </c>
    </row>
    <row r="45">
      <c r="A45" s="39">
        <f>IF('Additional Images'!B45 = "", "", IF('Additional Images-WUO_ERR'!A45 = "", "Validated", HYPERLINK("#" &amp; ADDRESS(45, 'Additional Images-WUO_TRK'!A45),_xlfn.TEXTAFTER('Additional Images-WUO_ERR'!A45, ":"))))</f>
        <v/>
      </c>
    </row>
    <row r="46">
      <c r="A46" s="39">
        <f>IF('Additional Images'!B46 = "", "", IF('Additional Images-WUO_ERR'!A46 = "", "Validated", HYPERLINK("#" &amp; ADDRESS(46, 'Additional Images-WUO_TRK'!A46),_xlfn.TEXTAFTER('Additional Images-WUO_ERR'!A46, ":"))))</f>
        <v/>
      </c>
    </row>
    <row r="47">
      <c r="A47" s="39">
        <f>IF('Additional Images'!B47 = "", "", IF('Additional Images-WUO_ERR'!A47 = "", "Validated", HYPERLINK("#" &amp; ADDRESS(47, 'Additional Images-WUO_TRK'!A47),_xlfn.TEXTAFTER('Additional Images-WUO_ERR'!A47, ":"))))</f>
        <v/>
      </c>
    </row>
    <row r="48">
      <c r="A48" s="39">
        <f>IF('Additional Images'!B48 = "", "", IF('Additional Images-WUO_ERR'!A48 = "", "Validated", HYPERLINK("#" &amp; ADDRESS(48, 'Additional Images-WUO_TRK'!A48),_xlfn.TEXTAFTER('Additional Images-WUO_ERR'!A48, ":"))))</f>
        <v/>
      </c>
    </row>
    <row r="49">
      <c r="A49" s="39">
        <f>IF('Additional Images'!B49 = "", "", IF('Additional Images-WUO_ERR'!A49 = "", "Validated", HYPERLINK("#" &amp; ADDRESS(49, 'Additional Images-WUO_TRK'!A49),_xlfn.TEXTAFTER('Additional Images-WUO_ERR'!A49, ":"))))</f>
        <v/>
      </c>
    </row>
    <row r="50">
      <c r="A50" s="39">
        <f>IF('Additional Images'!B50 = "", "", IF('Additional Images-WUO_ERR'!A50 = "", "Validated", HYPERLINK("#" &amp; ADDRESS(50, 'Additional Images-WUO_TRK'!A50),_xlfn.TEXTAFTER('Additional Images-WUO_ERR'!A50, ":"))))</f>
        <v/>
      </c>
    </row>
    <row r="51">
      <c r="A51" s="39">
        <f>IF('Additional Images'!B51 = "", "", IF('Additional Images-WUO_ERR'!A51 = "", "Validated", HYPERLINK("#" &amp; ADDRESS(51, 'Additional Images-WUO_TRK'!A51),_xlfn.TEXTAFTER('Additional Images-WUO_ERR'!A51, ":"))))</f>
        <v/>
      </c>
    </row>
    <row r="52">
      <c r="A52" s="39">
        <f>IF('Additional Images'!B52 = "", "", IF('Additional Images-WUO_ERR'!A52 = "", "Validated", HYPERLINK("#" &amp; ADDRESS(52, 'Additional Images-WUO_TRK'!A52),_xlfn.TEXTAFTER('Additional Images-WUO_ERR'!A52, ":"))))</f>
        <v/>
      </c>
    </row>
    <row r="53">
      <c r="A53" s="39">
        <f>IF('Additional Images'!B53 = "", "", IF('Additional Images-WUO_ERR'!A53 = "", "Validated", HYPERLINK("#" &amp; ADDRESS(53, 'Additional Images-WUO_TRK'!A53),_xlfn.TEXTAFTER('Additional Images-WUO_ERR'!A53, ":"))))</f>
        <v/>
      </c>
    </row>
    <row r="54">
      <c r="A54" s="39">
        <f>IF('Additional Images'!B54 = "", "", IF('Additional Images-WUO_ERR'!A54 = "", "Validated", HYPERLINK("#" &amp; ADDRESS(54, 'Additional Images-WUO_TRK'!A54),_xlfn.TEXTAFTER('Additional Images-WUO_ERR'!A54, ":"))))</f>
        <v/>
      </c>
    </row>
    <row r="55">
      <c r="A55" s="39">
        <f>IF('Additional Images'!B55 = "", "", IF('Additional Images-WUO_ERR'!A55 = "", "Validated", HYPERLINK("#" &amp; ADDRESS(55, 'Additional Images-WUO_TRK'!A55),_xlfn.TEXTAFTER('Additional Images-WUO_ERR'!A55, ":"))))</f>
        <v/>
      </c>
    </row>
    <row r="56">
      <c r="A56" s="39">
        <f>IF('Additional Images'!B56 = "", "", IF('Additional Images-WUO_ERR'!A56 = "", "Validated", HYPERLINK("#" &amp; ADDRESS(56, 'Additional Images-WUO_TRK'!A56),_xlfn.TEXTAFTER('Additional Images-WUO_ERR'!A56, ":"))))</f>
        <v/>
      </c>
    </row>
    <row r="57">
      <c r="A57" s="39">
        <f>IF('Additional Images'!B57 = "", "", IF('Additional Images-WUO_ERR'!A57 = "", "Validated", HYPERLINK("#" &amp; ADDRESS(57, 'Additional Images-WUO_TRK'!A57),_xlfn.TEXTAFTER('Additional Images-WUO_ERR'!A57, ":"))))</f>
        <v/>
      </c>
    </row>
    <row r="58">
      <c r="A58" s="39">
        <f>IF('Additional Images'!B58 = "", "", IF('Additional Images-WUO_ERR'!A58 = "", "Validated", HYPERLINK("#" &amp; ADDRESS(58, 'Additional Images-WUO_TRK'!A58),_xlfn.TEXTAFTER('Additional Images-WUO_ERR'!A58, ":"))))</f>
        <v/>
      </c>
    </row>
    <row r="59">
      <c r="A59" s="39">
        <f>IF('Additional Images'!B59 = "", "", IF('Additional Images-WUO_ERR'!A59 = "", "Validated", HYPERLINK("#" &amp; ADDRESS(59, 'Additional Images-WUO_TRK'!A59),_xlfn.TEXTAFTER('Additional Images-WUO_ERR'!A59, ":"))))</f>
        <v/>
      </c>
    </row>
    <row r="60">
      <c r="A60" s="39">
        <f>IF('Additional Images'!B60 = "", "", IF('Additional Images-WUO_ERR'!A60 = "", "Validated", HYPERLINK("#" &amp; ADDRESS(60, 'Additional Images-WUO_TRK'!A60),_xlfn.TEXTAFTER('Additional Images-WUO_ERR'!A60, ":"))))</f>
        <v/>
      </c>
    </row>
    <row r="61">
      <c r="A61" s="39">
        <f>IF('Additional Images'!B61 = "", "", IF('Additional Images-WUO_ERR'!A61 = "", "Validated", HYPERLINK("#" &amp; ADDRESS(61, 'Additional Images-WUO_TRK'!A61),_xlfn.TEXTAFTER('Additional Images-WUO_ERR'!A61, ":"))))</f>
        <v/>
      </c>
    </row>
    <row r="62">
      <c r="A62" s="39">
        <f>IF('Additional Images'!B62 = "", "", IF('Additional Images-WUO_ERR'!A62 = "", "Validated", HYPERLINK("#" &amp; ADDRESS(62, 'Additional Images-WUO_TRK'!A62),_xlfn.TEXTAFTER('Additional Images-WUO_ERR'!A62, ":"))))</f>
        <v/>
      </c>
    </row>
    <row r="63">
      <c r="A63" s="39">
        <f>IF('Additional Images'!B63 = "", "", IF('Additional Images-WUO_ERR'!A63 = "", "Validated", HYPERLINK("#" &amp; ADDRESS(63, 'Additional Images-WUO_TRK'!A63),_xlfn.TEXTAFTER('Additional Images-WUO_ERR'!A63, ":"))))</f>
        <v/>
      </c>
    </row>
    <row r="64">
      <c r="A64" s="39">
        <f>IF('Additional Images'!B64 = "", "", IF('Additional Images-WUO_ERR'!A64 = "", "Validated", HYPERLINK("#" &amp; ADDRESS(64, 'Additional Images-WUO_TRK'!A64),_xlfn.TEXTAFTER('Additional Images-WUO_ERR'!A64, ":"))))</f>
        <v/>
      </c>
    </row>
    <row r="65">
      <c r="A65" s="39">
        <f>IF('Additional Images'!B65 = "", "", IF('Additional Images-WUO_ERR'!A65 = "", "Validated", HYPERLINK("#" &amp; ADDRESS(65, 'Additional Images-WUO_TRK'!A65),_xlfn.TEXTAFTER('Additional Images-WUO_ERR'!A65, ":"))))</f>
        <v/>
      </c>
    </row>
    <row r="66">
      <c r="A66" s="39">
        <f>IF('Additional Images'!B66 = "", "", IF('Additional Images-WUO_ERR'!A66 = "", "Validated", HYPERLINK("#" &amp; ADDRESS(66, 'Additional Images-WUO_TRK'!A66),_xlfn.TEXTAFTER('Additional Images-WUO_ERR'!A66, ":"))))</f>
        <v/>
      </c>
    </row>
    <row r="67">
      <c r="A67" s="39">
        <f>IF('Additional Images'!B67 = "", "", IF('Additional Images-WUO_ERR'!A67 = "", "Validated", HYPERLINK("#" &amp; ADDRESS(67, 'Additional Images-WUO_TRK'!A67),_xlfn.TEXTAFTER('Additional Images-WUO_ERR'!A67, ":"))))</f>
        <v/>
      </c>
    </row>
    <row r="68">
      <c r="A68" s="39">
        <f>IF('Additional Images'!B68 = "", "", IF('Additional Images-WUO_ERR'!A68 = "", "Validated", HYPERLINK("#" &amp; ADDRESS(68, 'Additional Images-WUO_TRK'!A68),_xlfn.TEXTAFTER('Additional Images-WUO_ERR'!A68, ":"))))</f>
        <v/>
      </c>
    </row>
    <row r="69">
      <c r="A69" s="39">
        <f>IF('Additional Images'!B69 = "", "", IF('Additional Images-WUO_ERR'!A69 = "", "Validated", HYPERLINK("#" &amp; ADDRESS(69, 'Additional Images-WUO_TRK'!A69),_xlfn.TEXTAFTER('Additional Images-WUO_ERR'!A69, ":"))))</f>
        <v/>
      </c>
    </row>
    <row r="70">
      <c r="A70" s="39">
        <f>IF('Additional Images'!B70 = "", "", IF('Additional Images-WUO_ERR'!A70 = "", "Validated", HYPERLINK("#" &amp; ADDRESS(70, 'Additional Images-WUO_TRK'!A70),_xlfn.TEXTAFTER('Additional Images-WUO_ERR'!A70, ":"))))</f>
        <v/>
      </c>
    </row>
    <row r="71">
      <c r="A71" s="39">
        <f>IF('Additional Images'!B71 = "", "", IF('Additional Images-WUO_ERR'!A71 = "", "Validated", HYPERLINK("#" &amp; ADDRESS(71, 'Additional Images-WUO_TRK'!A71),_xlfn.TEXTAFTER('Additional Images-WUO_ERR'!A71, ":"))))</f>
        <v/>
      </c>
    </row>
    <row r="72">
      <c r="A72" s="39">
        <f>IF('Additional Images'!B72 = "", "", IF('Additional Images-WUO_ERR'!A72 = "", "Validated", HYPERLINK("#" &amp; ADDRESS(72, 'Additional Images-WUO_TRK'!A72),_xlfn.TEXTAFTER('Additional Images-WUO_ERR'!A72, ":"))))</f>
        <v/>
      </c>
    </row>
    <row r="73">
      <c r="A73" s="39">
        <f>IF('Additional Images'!B73 = "", "", IF('Additional Images-WUO_ERR'!A73 = "", "Validated", HYPERLINK("#" &amp; ADDRESS(73, 'Additional Images-WUO_TRK'!A73),_xlfn.TEXTAFTER('Additional Images-WUO_ERR'!A73, ":"))))</f>
        <v/>
      </c>
    </row>
    <row r="74">
      <c r="A74" s="39">
        <f>IF('Additional Images'!B74 = "", "", IF('Additional Images-WUO_ERR'!A74 = "", "Validated", HYPERLINK("#" &amp; ADDRESS(74, 'Additional Images-WUO_TRK'!A74),_xlfn.TEXTAFTER('Additional Images-WUO_ERR'!A74, ":"))))</f>
        <v/>
      </c>
    </row>
    <row r="75">
      <c r="A75" s="39">
        <f>IF('Additional Images'!B75 = "", "", IF('Additional Images-WUO_ERR'!A75 = "", "Validated", HYPERLINK("#" &amp; ADDRESS(75, 'Additional Images-WUO_TRK'!A75),_xlfn.TEXTAFTER('Additional Images-WUO_ERR'!A75, ":"))))</f>
        <v/>
      </c>
    </row>
    <row r="76">
      <c r="A76" s="39">
        <f>IF('Additional Images'!B76 = "", "", IF('Additional Images-WUO_ERR'!A76 = "", "Validated", HYPERLINK("#" &amp; ADDRESS(76, 'Additional Images-WUO_TRK'!A76),_xlfn.TEXTAFTER('Additional Images-WUO_ERR'!A76, ":"))))</f>
        <v/>
      </c>
    </row>
    <row r="77">
      <c r="A77" s="39">
        <f>IF('Additional Images'!B77 = "", "", IF('Additional Images-WUO_ERR'!A77 = "", "Validated", HYPERLINK("#" &amp; ADDRESS(77, 'Additional Images-WUO_TRK'!A77),_xlfn.TEXTAFTER('Additional Images-WUO_ERR'!A77, ":"))))</f>
        <v/>
      </c>
    </row>
    <row r="78">
      <c r="A78" s="39">
        <f>IF('Additional Images'!B78 = "", "", IF('Additional Images-WUO_ERR'!A78 = "", "Validated", HYPERLINK("#" &amp; ADDRESS(78, 'Additional Images-WUO_TRK'!A78),_xlfn.TEXTAFTER('Additional Images-WUO_ERR'!A78, ":"))))</f>
        <v/>
      </c>
    </row>
    <row r="79">
      <c r="A79" s="39">
        <f>IF('Additional Images'!B79 = "", "", IF('Additional Images-WUO_ERR'!A79 = "", "Validated", HYPERLINK("#" &amp; ADDRESS(79, 'Additional Images-WUO_TRK'!A79),_xlfn.TEXTAFTER('Additional Images-WUO_ERR'!A79, ":"))))</f>
        <v/>
      </c>
    </row>
    <row r="80">
      <c r="A80" s="39">
        <f>IF('Additional Images'!B80 = "", "", IF('Additional Images-WUO_ERR'!A80 = "", "Validated", HYPERLINK("#" &amp; ADDRESS(80, 'Additional Images-WUO_TRK'!A80),_xlfn.TEXTAFTER('Additional Images-WUO_ERR'!A80, ":"))))</f>
        <v/>
      </c>
    </row>
    <row r="81">
      <c r="A81" s="39">
        <f>IF('Additional Images'!B81 = "", "", IF('Additional Images-WUO_ERR'!A81 = "", "Validated", HYPERLINK("#" &amp; ADDRESS(81, 'Additional Images-WUO_TRK'!A81),_xlfn.TEXTAFTER('Additional Images-WUO_ERR'!A81, ":"))))</f>
        <v/>
      </c>
    </row>
    <row r="82">
      <c r="A82" s="39">
        <f>IF('Additional Images'!B82 = "", "", IF('Additional Images-WUO_ERR'!A82 = "", "Validated", HYPERLINK("#" &amp; ADDRESS(82, 'Additional Images-WUO_TRK'!A82),_xlfn.TEXTAFTER('Additional Images-WUO_ERR'!A82, ":"))))</f>
        <v/>
      </c>
    </row>
    <row r="83">
      <c r="A83" s="39">
        <f>IF('Additional Images'!B83 = "", "", IF('Additional Images-WUO_ERR'!A83 = "", "Validated", HYPERLINK("#" &amp; ADDRESS(83, 'Additional Images-WUO_TRK'!A83),_xlfn.TEXTAFTER('Additional Images-WUO_ERR'!A83, ":"))))</f>
        <v/>
      </c>
    </row>
    <row r="84">
      <c r="A84" s="39">
        <f>IF('Additional Images'!B84 = "", "", IF('Additional Images-WUO_ERR'!A84 = "", "Validated", HYPERLINK("#" &amp; ADDRESS(84, 'Additional Images-WUO_TRK'!A84),_xlfn.TEXTAFTER('Additional Images-WUO_ERR'!A84, ":"))))</f>
        <v/>
      </c>
    </row>
    <row r="85">
      <c r="A85" s="39">
        <f>IF('Additional Images'!B85 = "", "", IF('Additional Images-WUO_ERR'!A85 = "", "Validated", HYPERLINK("#" &amp; ADDRESS(85, 'Additional Images-WUO_TRK'!A85),_xlfn.TEXTAFTER('Additional Images-WUO_ERR'!A85, ":"))))</f>
        <v/>
      </c>
    </row>
    <row r="86">
      <c r="A86" s="39">
        <f>IF('Additional Images'!B86 = "", "", IF('Additional Images-WUO_ERR'!A86 = "", "Validated", HYPERLINK("#" &amp; ADDRESS(86, 'Additional Images-WUO_TRK'!A86),_xlfn.TEXTAFTER('Additional Images-WUO_ERR'!A86, ":"))))</f>
        <v/>
      </c>
    </row>
    <row r="87">
      <c r="A87" s="39">
        <f>IF('Additional Images'!B87 = "", "", IF('Additional Images-WUO_ERR'!A87 = "", "Validated", HYPERLINK("#" &amp; ADDRESS(87, 'Additional Images-WUO_TRK'!A87),_xlfn.TEXTAFTER('Additional Images-WUO_ERR'!A87, ":"))))</f>
        <v/>
      </c>
    </row>
    <row r="88">
      <c r="A88" s="39">
        <f>IF('Additional Images'!B88 = "", "", IF('Additional Images-WUO_ERR'!A88 = "", "Validated", HYPERLINK("#" &amp; ADDRESS(88, 'Additional Images-WUO_TRK'!A88),_xlfn.TEXTAFTER('Additional Images-WUO_ERR'!A88, ":"))))</f>
        <v/>
      </c>
    </row>
    <row r="89">
      <c r="A89" s="39">
        <f>IF('Additional Images'!B89 = "", "", IF('Additional Images-WUO_ERR'!A89 = "", "Validated", HYPERLINK("#" &amp; ADDRESS(89, 'Additional Images-WUO_TRK'!A89),_xlfn.TEXTAFTER('Additional Images-WUO_ERR'!A89, ":"))))</f>
        <v/>
      </c>
    </row>
    <row r="90">
      <c r="A90" s="39">
        <f>IF('Additional Images'!B90 = "", "", IF('Additional Images-WUO_ERR'!A90 = "", "Validated", HYPERLINK("#" &amp; ADDRESS(90, 'Additional Images-WUO_TRK'!A90),_xlfn.TEXTAFTER('Additional Images-WUO_ERR'!A90, ":"))))</f>
        <v/>
      </c>
    </row>
    <row r="91">
      <c r="A91" s="39">
        <f>IF('Additional Images'!B91 = "", "", IF('Additional Images-WUO_ERR'!A91 = "", "Validated", HYPERLINK("#" &amp; ADDRESS(91, 'Additional Images-WUO_TRK'!A91),_xlfn.TEXTAFTER('Additional Images-WUO_ERR'!A91, ":"))))</f>
        <v/>
      </c>
    </row>
    <row r="92">
      <c r="A92" s="39">
        <f>IF('Additional Images'!B92 = "", "", IF('Additional Images-WUO_ERR'!A92 = "", "Validated", HYPERLINK("#" &amp; ADDRESS(92, 'Additional Images-WUO_TRK'!A92),_xlfn.TEXTAFTER('Additional Images-WUO_ERR'!A92, ":"))))</f>
        <v/>
      </c>
    </row>
    <row r="93">
      <c r="A93" s="39">
        <f>IF('Additional Images'!B93 = "", "", IF('Additional Images-WUO_ERR'!A93 = "", "Validated", HYPERLINK("#" &amp; ADDRESS(93, 'Additional Images-WUO_TRK'!A93),_xlfn.TEXTAFTER('Additional Images-WUO_ERR'!A93, ":"))))</f>
        <v/>
      </c>
    </row>
    <row r="94">
      <c r="A94" s="39">
        <f>IF('Additional Images'!B94 = "", "", IF('Additional Images-WUO_ERR'!A94 = "", "Validated", HYPERLINK("#" &amp; ADDRESS(94, 'Additional Images-WUO_TRK'!A94),_xlfn.TEXTAFTER('Additional Images-WUO_ERR'!A94, ":"))))</f>
        <v/>
      </c>
    </row>
    <row r="95">
      <c r="A95" s="39">
        <f>IF('Additional Images'!B95 = "", "", IF('Additional Images-WUO_ERR'!A95 = "", "Validated", HYPERLINK("#" &amp; ADDRESS(95, 'Additional Images-WUO_TRK'!A95),_xlfn.TEXTAFTER('Additional Images-WUO_ERR'!A95, ":"))))</f>
        <v/>
      </c>
    </row>
    <row r="96">
      <c r="A96" s="39">
        <f>IF('Additional Images'!B96 = "", "", IF('Additional Images-WUO_ERR'!A96 = "", "Validated", HYPERLINK("#" &amp; ADDRESS(96, 'Additional Images-WUO_TRK'!A96),_xlfn.TEXTAFTER('Additional Images-WUO_ERR'!A96, ":"))))</f>
        <v/>
      </c>
    </row>
    <row r="97">
      <c r="A97" s="39">
        <f>IF('Additional Images'!B97 = "", "", IF('Additional Images-WUO_ERR'!A97 = "", "Validated", HYPERLINK("#" &amp; ADDRESS(97, 'Additional Images-WUO_TRK'!A97),_xlfn.TEXTAFTER('Additional Images-WUO_ERR'!A97, ":"))))</f>
        <v/>
      </c>
    </row>
    <row r="98">
      <c r="A98" s="39">
        <f>IF('Additional Images'!B98 = "", "", IF('Additional Images-WUO_ERR'!A98 = "", "Validated", HYPERLINK("#" &amp; ADDRESS(98, 'Additional Images-WUO_TRK'!A98),_xlfn.TEXTAFTER('Additional Images-WUO_ERR'!A98, ":"))))</f>
        <v/>
      </c>
    </row>
    <row r="99">
      <c r="A99" s="39">
        <f>IF('Additional Images'!B99 = "", "", IF('Additional Images-WUO_ERR'!A99 = "", "Validated", HYPERLINK("#" &amp; ADDRESS(99, 'Additional Images-WUO_TRK'!A99),_xlfn.TEXTAFTER('Additional Images-WUO_ERR'!A99, ":"))))</f>
        <v/>
      </c>
    </row>
    <row r="100">
      <c r="A100" s="39">
        <f>IF('Additional Images'!B100 = "", "", IF('Additional Images-WUO_ERR'!A100 = "", "Validated", HYPERLINK("#" &amp; ADDRESS(100, 'Additional Images-WUO_TRK'!A100),_xlfn.TEXTAFTER('Additional Images-WUO_ERR'!A100, ":"))))</f>
        <v/>
      </c>
    </row>
    <row r="101">
      <c r="A101" s="39">
        <f>IF('Additional Images'!B101 = "", "", IF('Additional Images-WUO_ERR'!A101 = "", "Validated", HYPERLINK("#" &amp; ADDRESS(101, 'Additional Images-WUO_TRK'!A101),_xlfn.TEXTAFTER('Additional Images-WUO_ERR'!A101, ":"))))</f>
        <v/>
      </c>
    </row>
    <row r="102">
      <c r="A102" s="39">
        <f>IF('Additional Images'!B102 = "", "", IF('Additional Images-WUO_ERR'!A102 = "", "Validated", HYPERLINK("#" &amp; ADDRESS(102, 'Additional Images-WUO_TRK'!A102),_xlfn.TEXTAFTER('Additional Images-WUO_ERR'!A102, ":"))))</f>
        <v/>
      </c>
    </row>
    <row r="103">
      <c r="A103" s="39">
        <f>IF('Additional Images'!B103 = "", "", IF('Additional Images-WUO_ERR'!A103 = "", "Validated", HYPERLINK("#" &amp; ADDRESS(103, 'Additional Images-WUO_TRK'!A103),_xlfn.TEXTAFTER('Additional Images-WUO_ERR'!A103, ":"))))</f>
        <v/>
      </c>
    </row>
    <row r="104">
      <c r="A104" s="39">
        <f>IF('Additional Images'!B104 = "", "", IF('Additional Images-WUO_ERR'!A104 = "", "Validated", HYPERLINK("#" &amp; ADDRESS(104, 'Additional Images-WUO_TRK'!A104),_xlfn.TEXTAFTER('Additional Images-WUO_ERR'!A104, ":"))))</f>
        <v/>
      </c>
    </row>
    <row r="105">
      <c r="A105" s="39">
        <f>IF('Additional Images'!B105 = "", "", IF('Additional Images-WUO_ERR'!A105 = "", "Validated", HYPERLINK("#" &amp; ADDRESS(105, 'Additional Images-WUO_TRK'!A105),_xlfn.TEXTAFTER('Additional Images-WUO_ERR'!A105, ":"))))</f>
        <v/>
      </c>
    </row>
    <row r="106">
      <c r="A106" s="39">
        <f>IF('Additional Images'!B106 = "", "", IF('Additional Images-WUO_ERR'!A106 = "", "Validated", HYPERLINK("#" &amp; ADDRESS(106, 'Additional Images-WUO_TRK'!A106),_xlfn.TEXTAFTER('Additional Images-WUO_ERR'!A106, ":"))))</f>
        <v/>
      </c>
    </row>
    <row r="107">
      <c r="A107" s="39">
        <f>IF('Additional Images'!B107 = "", "", IF('Additional Images-WUO_ERR'!A107 = "", "Validated", HYPERLINK("#" &amp; ADDRESS(107, 'Additional Images-WUO_TRK'!A107),_xlfn.TEXTAFTER('Additional Images-WUO_ERR'!A107, ":"))))</f>
        <v/>
      </c>
    </row>
    <row r="108">
      <c r="A108" s="39">
        <f>IF('Additional Images'!B108 = "", "", IF('Additional Images-WUO_ERR'!A108 = "", "Validated", HYPERLINK("#" &amp; ADDRESS(108, 'Additional Images-WUO_TRK'!A108),_xlfn.TEXTAFTER('Additional Images-WUO_ERR'!A108, ":"))))</f>
        <v/>
      </c>
    </row>
    <row r="109">
      <c r="A109" s="39">
        <f>IF('Additional Images'!B109 = "", "", IF('Additional Images-WUO_ERR'!A109 = "", "Validated", HYPERLINK("#" &amp; ADDRESS(109, 'Additional Images-WUO_TRK'!A109),_xlfn.TEXTAFTER('Additional Images-WUO_ERR'!A109, ":"))))</f>
        <v/>
      </c>
    </row>
    <row r="110">
      <c r="A110" s="39">
        <f>IF('Additional Images'!B110 = "", "", IF('Additional Images-WUO_ERR'!A110 = "", "Validated", HYPERLINK("#" &amp; ADDRESS(110, 'Additional Images-WUO_TRK'!A110),_xlfn.TEXTAFTER('Additional Images-WUO_ERR'!A110, ":"))))</f>
        <v/>
      </c>
    </row>
    <row r="111">
      <c r="A111" s="39">
        <f>IF('Additional Images'!B111 = "", "", IF('Additional Images-WUO_ERR'!A111 = "", "Validated", HYPERLINK("#" &amp; ADDRESS(111, 'Additional Images-WUO_TRK'!A111),_xlfn.TEXTAFTER('Additional Images-WUO_ERR'!A111, ":"))))</f>
        <v/>
      </c>
    </row>
    <row r="112">
      <c r="A112" s="39">
        <f>IF('Additional Images'!B112 = "", "", IF('Additional Images-WUO_ERR'!A112 = "", "Validated", HYPERLINK("#" &amp; ADDRESS(112, 'Additional Images-WUO_TRK'!A112),_xlfn.TEXTAFTER('Additional Images-WUO_ERR'!A112, ":"))))</f>
        <v/>
      </c>
    </row>
    <row r="113">
      <c r="A113" s="39">
        <f>IF('Additional Images'!B113 = "", "", IF('Additional Images-WUO_ERR'!A113 = "", "Validated", HYPERLINK("#" &amp; ADDRESS(113, 'Additional Images-WUO_TRK'!A113),_xlfn.TEXTAFTER('Additional Images-WUO_ERR'!A113, ":"))))</f>
        <v/>
      </c>
    </row>
    <row r="114">
      <c r="A114" s="39">
        <f>IF('Additional Images'!B114 = "", "", IF('Additional Images-WUO_ERR'!A114 = "", "Validated", HYPERLINK("#" &amp; ADDRESS(114, 'Additional Images-WUO_TRK'!A114),_xlfn.TEXTAFTER('Additional Images-WUO_ERR'!A114, ":"))))</f>
        <v/>
      </c>
    </row>
    <row r="115">
      <c r="A115" s="39">
        <f>IF('Additional Images'!B115 = "", "", IF('Additional Images-WUO_ERR'!A115 = "", "Validated", HYPERLINK("#" &amp; ADDRESS(115, 'Additional Images-WUO_TRK'!A115),_xlfn.TEXTAFTER('Additional Images-WUO_ERR'!A115, ":"))))</f>
        <v/>
      </c>
    </row>
    <row r="116">
      <c r="A116" s="39">
        <f>IF('Additional Images'!B116 = "", "", IF('Additional Images-WUO_ERR'!A116 = "", "Validated", HYPERLINK("#" &amp; ADDRESS(116, 'Additional Images-WUO_TRK'!A116),_xlfn.TEXTAFTER('Additional Images-WUO_ERR'!A116, ":"))))</f>
        <v/>
      </c>
    </row>
    <row r="117">
      <c r="A117" s="39">
        <f>IF('Additional Images'!B117 = "", "", IF('Additional Images-WUO_ERR'!A117 = "", "Validated", HYPERLINK("#" &amp; ADDRESS(117, 'Additional Images-WUO_TRK'!A117),_xlfn.TEXTAFTER('Additional Images-WUO_ERR'!A117, ":"))))</f>
        <v/>
      </c>
    </row>
    <row r="118">
      <c r="A118" s="39">
        <f>IF('Additional Images'!B118 = "", "", IF('Additional Images-WUO_ERR'!A118 = "", "Validated", HYPERLINK("#" &amp; ADDRESS(118, 'Additional Images-WUO_TRK'!A118),_xlfn.TEXTAFTER('Additional Images-WUO_ERR'!A118, ":"))))</f>
        <v/>
      </c>
    </row>
    <row r="119">
      <c r="A119" s="39">
        <f>IF('Additional Images'!B119 = "", "", IF('Additional Images-WUO_ERR'!A119 = "", "Validated", HYPERLINK("#" &amp; ADDRESS(119, 'Additional Images-WUO_TRK'!A119),_xlfn.TEXTAFTER('Additional Images-WUO_ERR'!A119, ":"))))</f>
        <v/>
      </c>
    </row>
    <row r="120">
      <c r="A120" s="39">
        <f>IF('Additional Images'!B120 = "", "", IF('Additional Images-WUO_ERR'!A120 = "", "Validated", HYPERLINK("#" &amp; ADDRESS(120, 'Additional Images-WUO_TRK'!A120),_xlfn.TEXTAFTER('Additional Images-WUO_ERR'!A120, ":"))))</f>
        <v/>
      </c>
    </row>
    <row r="121">
      <c r="A121" s="39">
        <f>IF('Additional Images'!B121 = "", "", IF('Additional Images-WUO_ERR'!A121 = "", "Validated", HYPERLINK("#" &amp; ADDRESS(121, 'Additional Images-WUO_TRK'!A121),_xlfn.TEXTAFTER('Additional Images-WUO_ERR'!A121, ":"))))</f>
        <v/>
      </c>
    </row>
    <row r="122">
      <c r="A122" s="39">
        <f>IF('Additional Images'!B122 = "", "", IF('Additional Images-WUO_ERR'!A122 = "", "Validated", HYPERLINK("#" &amp; ADDRESS(122, 'Additional Images-WUO_TRK'!A122),_xlfn.TEXTAFTER('Additional Images-WUO_ERR'!A122, ":"))))</f>
        <v/>
      </c>
    </row>
    <row r="123">
      <c r="A123" s="39">
        <f>IF('Additional Images'!B123 = "", "", IF('Additional Images-WUO_ERR'!A123 = "", "Validated", HYPERLINK("#" &amp; ADDRESS(123, 'Additional Images-WUO_TRK'!A123),_xlfn.TEXTAFTER('Additional Images-WUO_ERR'!A123, ":"))))</f>
        <v/>
      </c>
    </row>
    <row r="124">
      <c r="A124" s="39">
        <f>IF('Additional Images'!B124 = "", "", IF('Additional Images-WUO_ERR'!A124 = "", "Validated", HYPERLINK("#" &amp; ADDRESS(124, 'Additional Images-WUO_TRK'!A124),_xlfn.TEXTAFTER('Additional Images-WUO_ERR'!A124, ":"))))</f>
        <v/>
      </c>
    </row>
    <row r="125">
      <c r="A125" s="39">
        <f>IF('Additional Images'!B125 = "", "", IF('Additional Images-WUO_ERR'!A125 = "", "Validated", HYPERLINK("#" &amp; ADDRESS(125, 'Additional Images-WUO_TRK'!A125),_xlfn.TEXTAFTER('Additional Images-WUO_ERR'!A125, ":"))))</f>
        <v/>
      </c>
    </row>
    <row r="126">
      <c r="A126" s="39">
        <f>IF('Additional Images'!B126 = "", "", IF('Additional Images-WUO_ERR'!A126 = "", "Validated", HYPERLINK("#" &amp; ADDRESS(126, 'Additional Images-WUO_TRK'!A126),_xlfn.TEXTAFTER('Additional Images-WUO_ERR'!A126, ":"))))</f>
        <v/>
      </c>
    </row>
    <row r="127">
      <c r="A127" s="39">
        <f>IF('Additional Images'!B127 = "", "", IF('Additional Images-WUO_ERR'!A127 = "", "Validated", HYPERLINK("#" &amp; ADDRESS(127, 'Additional Images-WUO_TRK'!A127),_xlfn.TEXTAFTER('Additional Images-WUO_ERR'!A127, ":"))))</f>
        <v/>
      </c>
    </row>
    <row r="128">
      <c r="A128" s="39">
        <f>IF('Additional Images'!B128 = "", "", IF('Additional Images-WUO_ERR'!A128 = "", "Validated", HYPERLINK("#" &amp; ADDRESS(128, 'Additional Images-WUO_TRK'!A128),_xlfn.TEXTAFTER('Additional Images-WUO_ERR'!A128, ":"))))</f>
        <v/>
      </c>
    </row>
    <row r="129">
      <c r="A129" s="39">
        <f>IF('Additional Images'!B129 = "", "", IF('Additional Images-WUO_ERR'!A129 = "", "Validated", HYPERLINK("#" &amp; ADDRESS(129, 'Additional Images-WUO_TRK'!A129),_xlfn.TEXTAFTER('Additional Images-WUO_ERR'!A129, ":"))))</f>
        <v/>
      </c>
    </row>
    <row r="130">
      <c r="A130" s="39">
        <f>IF('Additional Images'!B130 = "", "", IF('Additional Images-WUO_ERR'!A130 = "", "Validated", HYPERLINK("#" &amp; ADDRESS(130, 'Additional Images-WUO_TRK'!A130),_xlfn.TEXTAFTER('Additional Images-WUO_ERR'!A130, ":"))))</f>
        <v/>
      </c>
    </row>
    <row r="131">
      <c r="A131" s="39">
        <f>IF('Additional Images'!B131 = "", "", IF('Additional Images-WUO_ERR'!A131 = "", "Validated", HYPERLINK("#" &amp; ADDRESS(131, 'Additional Images-WUO_TRK'!A131),_xlfn.TEXTAFTER('Additional Images-WUO_ERR'!A131, ":"))))</f>
        <v/>
      </c>
    </row>
    <row r="132">
      <c r="A132" s="39">
        <f>IF('Additional Images'!B132 = "", "", IF('Additional Images-WUO_ERR'!A132 = "", "Validated", HYPERLINK("#" &amp; ADDRESS(132, 'Additional Images-WUO_TRK'!A132),_xlfn.TEXTAFTER('Additional Images-WUO_ERR'!A132, ":"))))</f>
        <v/>
      </c>
    </row>
    <row r="133">
      <c r="A133" s="39">
        <f>IF('Additional Images'!B133 = "", "", IF('Additional Images-WUO_ERR'!A133 = "", "Validated", HYPERLINK("#" &amp; ADDRESS(133, 'Additional Images-WUO_TRK'!A133),_xlfn.TEXTAFTER('Additional Images-WUO_ERR'!A133, ":"))))</f>
        <v/>
      </c>
    </row>
    <row r="134">
      <c r="A134" s="39">
        <f>IF('Additional Images'!B134 = "", "", IF('Additional Images-WUO_ERR'!A134 = "", "Validated", HYPERLINK("#" &amp; ADDRESS(134, 'Additional Images-WUO_TRK'!A134),_xlfn.TEXTAFTER('Additional Images-WUO_ERR'!A134, ":"))))</f>
        <v/>
      </c>
    </row>
    <row r="135">
      <c r="A135" s="39">
        <f>IF('Additional Images'!B135 = "", "", IF('Additional Images-WUO_ERR'!A135 = "", "Validated", HYPERLINK("#" &amp; ADDRESS(135, 'Additional Images-WUO_TRK'!A135),_xlfn.TEXTAFTER('Additional Images-WUO_ERR'!A135, ":"))))</f>
        <v/>
      </c>
    </row>
    <row r="136">
      <c r="A136" s="39">
        <f>IF('Additional Images'!B136 = "", "", IF('Additional Images-WUO_ERR'!A136 = "", "Validated", HYPERLINK("#" &amp; ADDRESS(136, 'Additional Images-WUO_TRK'!A136),_xlfn.TEXTAFTER('Additional Images-WUO_ERR'!A136, ":"))))</f>
        <v/>
      </c>
    </row>
    <row r="137">
      <c r="A137" s="39">
        <f>IF('Additional Images'!B137 = "", "", IF('Additional Images-WUO_ERR'!A137 = "", "Validated", HYPERLINK("#" &amp; ADDRESS(137, 'Additional Images-WUO_TRK'!A137),_xlfn.TEXTAFTER('Additional Images-WUO_ERR'!A137, ":"))))</f>
        <v/>
      </c>
    </row>
    <row r="138">
      <c r="A138" s="39">
        <f>IF('Additional Images'!B138 = "", "", IF('Additional Images-WUO_ERR'!A138 = "", "Validated", HYPERLINK("#" &amp; ADDRESS(138, 'Additional Images-WUO_TRK'!A138),_xlfn.TEXTAFTER('Additional Images-WUO_ERR'!A138, ":"))))</f>
        <v/>
      </c>
    </row>
    <row r="139">
      <c r="A139" s="39">
        <f>IF('Additional Images'!B139 = "", "", IF('Additional Images-WUO_ERR'!A139 = "", "Validated", HYPERLINK("#" &amp; ADDRESS(139, 'Additional Images-WUO_TRK'!A139),_xlfn.TEXTAFTER('Additional Images-WUO_ERR'!A139, ":"))))</f>
        <v/>
      </c>
    </row>
    <row r="140">
      <c r="A140" s="39">
        <f>IF('Additional Images'!B140 = "", "", IF('Additional Images-WUO_ERR'!A140 = "", "Validated", HYPERLINK("#" &amp; ADDRESS(140, 'Additional Images-WUO_TRK'!A140),_xlfn.TEXTAFTER('Additional Images-WUO_ERR'!A140, ":"))))</f>
        <v/>
      </c>
    </row>
    <row r="141">
      <c r="A141" s="39">
        <f>IF('Additional Images'!B141 = "", "", IF('Additional Images-WUO_ERR'!A141 = "", "Validated", HYPERLINK("#" &amp; ADDRESS(141, 'Additional Images-WUO_TRK'!A141),_xlfn.TEXTAFTER('Additional Images-WUO_ERR'!A141, ":"))))</f>
        <v/>
      </c>
    </row>
    <row r="142">
      <c r="A142" s="39">
        <f>IF('Additional Images'!B142 = "", "", IF('Additional Images-WUO_ERR'!A142 = "", "Validated", HYPERLINK("#" &amp; ADDRESS(142, 'Additional Images-WUO_TRK'!A142),_xlfn.TEXTAFTER('Additional Images-WUO_ERR'!A142, ":"))))</f>
        <v/>
      </c>
    </row>
    <row r="143">
      <c r="A143" s="39">
        <f>IF('Additional Images'!B143 = "", "", IF('Additional Images-WUO_ERR'!A143 = "", "Validated", HYPERLINK("#" &amp; ADDRESS(143, 'Additional Images-WUO_TRK'!A143),_xlfn.TEXTAFTER('Additional Images-WUO_ERR'!A143, ":"))))</f>
        <v/>
      </c>
    </row>
    <row r="144">
      <c r="A144" s="39">
        <f>IF('Additional Images'!B144 = "", "", IF('Additional Images-WUO_ERR'!A144 = "", "Validated", HYPERLINK("#" &amp; ADDRESS(144, 'Additional Images-WUO_TRK'!A144),_xlfn.TEXTAFTER('Additional Images-WUO_ERR'!A144, ":"))))</f>
        <v/>
      </c>
    </row>
    <row r="145">
      <c r="A145" s="39">
        <f>IF('Additional Images'!B145 = "", "", IF('Additional Images-WUO_ERR'!A145 = "", "Validated", HYPERLINK("#" &amp; ADDRESS(145, 'Additional Images-WUO_TRK'!A145),_xlfn.TEXTAFTER('Additional Images-WUO_ERR'!A145, ":"))))</f>
        <v/>
      </c>
    </row>
    <row r="146">
      <c r="A146" s="39">
        <f>IF('Additional Images'!B146 = "", "", IF('Additional Images-WUO_ERR'!A146 = "", "Validated", HYPERLINK("#" &amp; ADDRESS(146, 'Additional Images-WUO_TRK'!A146),_xlfn.TEXTAFTER('Additional Images-WUO_ERR'!A146, ":"))))</f>
        <v/>
      </c>
    </row>
    <row r="147">
      <c r="A147" s="39">
        <f>IF('Additional Images'!B147 = "", "", IF('Additional Images-WUO_ERR'!A147 = "", "Validated", HYPERLINK("#" &amp; ADDRESS(147, 'Additional Images-WUO_TRK'!A147),_xlfn.TEXTAFTER('Additional Images-WUO_ERR'!A147, ":"))))</f>
        <v/>
      </c>
    </row>
    <row r="148">
      <c r="A148" s="39">
        <f>IF('Additional Images'!B148 = "", "", IF('Additional Images-WUO_ERR'!A148 = "", "Validated", HYPERLINK("#" &amp; ADDRESS(148, 'Additional Images-WUO_TRK'!A148),_xlfn.TEXTAFTER('Additional Images-WUO_ERR'!A148, ":"))))</f>
        <v/>
      </c>
    </row>
    <row r="149">
      <c r="A149" s="39">
        <f>IF('Additional Images'!B149 = "", "", IF('Additional Images-WUO_ERR'!A149 = "", "Validated", HYPERLINK("#" &amp; ADDRESS(149, 'Additional Images-WUO_TRK'!A149),_xlfn.TEXTAFTER('Additional Images-WUO_ERR'!A149, ":"))))</f>
        <v/>
      </c>
    </row>
    <row r="150">
      <c r="A150" s="39">
        <f>IF('Additional Images'!B150 = "", "", IF('Additional Images-WUO_ERR'!A150 = "", "Validated", HYPERLINK("#" &amp; ADDRESS(150, 'Additional Images-WUO_TRK'!A150),_xlfn.TEXTAFTER('Additional Images-WUO_ERR'!A150, ":"))))</f>
        <v/>
      </c>
    </row>
    <row r="151">
      <c r="A151" s="39">
        <f>IF('Additional Images'!B151 = "", "", IF('Additional Images-WUO_ERR'!A151 = "", "Validated", HYPERLINK("#" &amp; ADDRESS(151, 'Additional Images-WUO_TRK'!A151),_xlfn.TEXTAFTER('Additional Images-WUO_ERR'!A151, ":"))))</f>
        <v/>
      </c>
    </row>
    <row r="152">
      <c r="A152" s="39">
        <f>IF('Additional Images'!B152 = "", "", IF('Additional Images-WUO_ERR'!A152 = "", "Validated", HYPERLINK("#" &amp; ADDRESS(152, 'Additional Images-WUO_TRK'!A152),_xlfn.TEXTAFTER('Additional Images-WUO_ERR'!A152, ":"))))</f>
        <v/>
      </c>
    </row>
    <row r="153">
      <c r="A153" s="39">
        <f>IF('Additional Images'!B153 = "", "", IF('Additional Images-WUO_ERR'!A153 = "", "Validated", HYPERLINK("#" &amp; ADDRESS(153, 'Additional Images-WUO_TRK'!A153),_xlfn.TEXTAFTER('Additional Images-WUO_ERR'!A153, ":"))))</f>
        <v/>
      </c>
    </row>
    <row r="154">
      <c r="A154" s="39">
        <f>IF('Additional Images'!B154 = "", "", IF('Additional Images-WUO_ERR'!A154 = "", "Validated", HYPERLINK("#" &amp; ADDRESS(154, 'Additional Images-WUO_TRK'!A154),_xlfn.TEXTAFTER('Additional Images-WUO_ERR'!A154, ":"))))</f>
        <v/>
      </c>
    </row>
    <row r="155">
      <c r="A155" s="39">
        <f>IF('Additional Images'!B155 = "", "", IF('Additional Images-WUO_ERR'!A155 = "", "Validated", HYPERLINK("#" &amp; ADDRESS(155, 'Additional Images-WUO_TRK'!A155),_xlfn.TEXTAFTER('Additional Images-WUO_ERR'!A155, ":"))))</f>
        <v/>
      </c>
    </row>
    <row r="156">
      <c r="A156" s="39">
        <f>IF('Additional Images'!B156 = "", "", IF('Additional Images-WUO_ERR'!A156 = "", "Validated", HYPERLINK("#" &amp; ADDRESS(156, 'Additional Images-WUO_TRK'!A156),_xlfn.TEXTAFTER('Additional Images-WUO_ERR'!A156, ":"))))</f>
        <v/>
      </c>
    </row>
    <row r="157">
      <c r="A157" s="39">
        <f>IF('Additional Images'!B157 = "", "", IF('Additional Images-WUO_ERR'!A157 = "", "Validated", HYPERLINK("#" &amp; ADDRESS(157, 'Additional Images-WUO_TRK'!A157),_xlfn.TEXTAFTER('Additional Images-WUO_ERR'!A157, ":"))))</f>
        <v/>
      </c>
    </row>
    <row r="158">
      <c r="A158" s="39">
        <f>IF('Additional Images'!B158 = "", "", IF('Additional Images-WUO_ERR'!A158 = "", "Validated", HYPERLINK("#" &amp; ADDRESS(158, 'Additional Images-WUO_TRK'!A158),_xlfn.TEXTAFTER('Additional Images-WUO_ERR'!A158, ":"))))</f>
        <v/>
      </c>
    </row>
    <row r="159">
      <c r="A159" s="39">
        <f>IF('Additional Images'!B159 = "", "", IF('Additional Images-WUO_ERR'!A159 = "", "Validated", HYPERLINK("#" &amp; ADDRESS(159, 'Additional Images-WUO_TRK'!A159),_xlfn.TEXTAFTER('Additional Images-WUO_ERR'!A159, ":"))))</f>
        <v/>
      </c>
    </row>
    <row r="160">
      <c r="A160" s="39">
        <f>IF('Additional Images'!B160 = "", "", IF('Additional Images-WUO_ERR'!A160 = "", "Validated", HYPERLINK("#" &amp; ADDRESS(160, 'Additional Images-WUO_TRK'!A160),_xlfn.TEXTAFTER('Additional Images-WUO_ERR'!A160, ":"))))</f>
        <v/>
      </c>
    </row>
    <row r="161">
      <c r="A161" s="39">
        <f>IF('Additional Images'!B161 = "", "", IF('Additional Images-WUO_ERR'!A161 = "", "Validated", HYPERLINK("#" &amp; ADDRESS(161, 'Additional Images-WUO_TRK'!A161),_xlfn.TEXTAFTER('Additional Images-WUO_ERR'!A161, ":"))))</f>
        <v/>
      </c>
    </row>
    <row r="162">
      <c r="A162" s="39">
        <f>IF('Additional Images'!B162 = "", "", IF('Additional Images-WUO_ERR'!A162 = "", "Validated", HYPERLINK("#" &amp; ADDRESS(162, 'Additional Images-WUO_TRK'!A162),_xlfn.TEXTAFTER('Additional Images-WUO_ERR'!A162, ":"))))</f>
        <v/>
      </c>
    </row>
    <row r="163">
      <c r="A163" s="39">
        <f>IF('Additional Images'!B163 = "", "", IF('Additional Images-WUO_ERR'!A163 = "", "Validated", HYPERLINK("#" &amp; ADDRESS(163, 'Additional Images-WUO_TRK'!A163),_xlfn.TEXTAFTER('Additional Images-WUO_ERR'!A163, ":"))))</f>
        <v/>
      </c>
    </row>
    <row r="164">
      <c r="A164" s="39">
        <f>IF('Additional Images'!B164 = "", "", IF('Additional Images-WUO_ERR'!A164 = "", "Validated", HYPERLINK("#" &amp; ADDRESS(164, 'Additional Images-WUO_TRK'!A164),_xlfn.TEXTAFTER('Additional Images-WUO_ERR'!A164, ":"))))</f>
        <v/>
      </c>
    </row>
    <row r="165">
      <c r="A165" s="39">
        <f>IF('Additional Images'!B165 = "", "", IF('Additional Images-WUO_ERR'!A165 = "", "Validated", HYPERLINK("#" &amp; ADDRESS(165, 'Additional Images-WUO_TRK'!A165),_xlfn.TEXTAFTER('Additional Images-WUO_ERR'!A165, ":"))))</f>
        <v/>
      </c>
    </row>
    <row r="166">
      <c r="A166" s="39">
        <f>IF('Additional Images'!B166 = "", "", IF('Additional Images-WUO_ERR'!A166 = "", "Validated", HYPERLINK("#" &amp; ADDRESS(166, 'Additional Images-WUO_TRK'!A166),_xlfn.TEXTAFTER('Additional Images-WUO_ERR'!A166, ":"))))</f>
        <v/>
      </c>
    </row>
    <row r="167">
      <c r="A167" s="39">
        <f>IF('Additional Images'!B167 = "", "", IF('Additional Images-WUO_ERR'!A167 = "", "Validated", HYPERLINK("#" &amp; ADDRESS(167, 'Additional Images-WUO_TRK'!A167),_xlfn.TEXTAFTER('Additional Images-WUO_ERR'!A167, ":"))))</f>
        <v/>
      </c>
    </row>
    <row r="168">
      <c r="A168" s="39">
        <f>IF('Additional Images'!B168 = "", "", IF('Additional Images-WUO_ERR'!A168 = "", "Validated", HYPERLINK("#" &amp; ADDRESS(168, 'Additional Images-WUO_TRK'!A168),_xlfn.TEXTAFTER('Additional Images-WUO_ERR'!A168, ":"))))</f>
        <v/>
      </c>
    </row>
    <row r="169">
      <c r="A169" s="39">
        <f>IF('Additional Images'!B169 = "", "", IF('Additional Images-WUO_ERR'!A169 = "", "Validated", HYPERLINK("#" &amp; ADDRESS(169, 'Additional Images-WUO_TRK'!A169),_xlfn.TEXTAFTER('Additional Images-WUO_ERR'!A169, ":"))))</f>
        <v/>
      </c>
    </row>
    <row r="170">
      <c r="A170" s="39">
        <f>IF('Additional Images'!B170 = "", "", IF('Additional Images-WUO_ERR'!A170 = "", "Validated", HYPERLINK("#" &amp; ADDRESS(170, 'Additional Images-WUO_TRK'!A170),_xlfn.TEXTAFTER('Additional Images-WUO_ERR'!A170, ":"))))</f>
        <v/>
      </c>
    </row>
    <row r="171">
      <c r="A171" s="39">
        <f>IF('Additional Images'!B171 = "", "", IF('Additional Images-WUO_ERR'!A171 = "", "Validated", HYPERLINK("#" &amp; ADDRESS(171, 'Additional Images-WUO_TRK'!A171),_xlfn.TEXTAFTER('Additional Images-WUO_ERR'!A171, ":"))))</f>
        <v/>
      </c>
    </row>
    <row r="172">
      <c r="A172" s="39">
        <f>IF('Additional Images'!B172 = "", "", IF('Additional Images-WUO_ERR'!A172 = "", "Validated", HYPERLINK("#" &amp; ADDRESS(172, 'Additional Images-WUO_TRK'!A172),_xlfn.TEXTAFTER('Additional Images-WUO_ERR'!A172, ":"))))</f>
        <v/>
      </c>
    </row>
    <row r="173">
      <c r="A173" s="39">
        <f>IF('Additional Images'!B173 = "", "", IF('Additional Images-WUO_ERR'!A173 = "", "Validated", HYPERLINK("#" &amp; ADDRESS(173, 'Additional Images-WUO_TRK'!A173),_xlfn.TEXTAFTER('Additional Images-WUO_ERR'!A173, ":"))))</f>
        <v/>
      </c>
    </row>
    <row r="174">
      <c r="A174" s="39">
        <f>IF('Additional Images'!B174 = "", "", IF('Additional Images-WUO_ERR'!A174 = "", "Validated", HYPERLINK("#" &amp; ADDRESS(174, 'Additional Images-WUO_TRK'!A174),_xlfn.TEXTAFTER('Additional Images-WUO_ERR'!A174, ":"))))</f>
        <v/>
      </c>
    </row>
    <row r="175">
      <c r="A175" s="39">
        <f>IF('Additional Images'!B175 = "", "", IF('Additional Images-WUO_ERR'!A175 = "", "Validated", HYPERLINK("#" &amp; ADDRESS(175, 'Additional Images-WUO_TRK'!A175),_xlfn.TEXTAFTER('Additional Images-WUO_ERR'!A175, ":"))))</f>
        <v/>
      </c>
    </row>
    <row r="176">
      <c r="A176" s="39">
        <f>IF('Additional Images'!B176 = "", "", IF('Additional Images-WUO_ERR'!A176 = "", "Validated", HYPERLINK("#" &amp; ADDRESS(176, 'Additional Images-WUO_TRK'!A176),_xlfn.TEXTAFTER('Additional Images-WUO_ERR'!A176, ":"))))</f>
        <v/>
      </c>
    </row>
    <row r="177">
      <c r="A177" s="39">
        <f>IF('Additional Images'!B177 = "", "", IF('Additional Images-WUO_ERR'!A177 = "", "Validated", HYPERLINK("#" &amp; ADDRESS(177, 'Additional Images-WUO_TRK'!A177),_xlfn.TEXTAFTER('Additional Images-WUO_ERR'!A177, ":"))))</f>
        <v/>
      </c>
    </row>
    <row r="178">
      <c r="A178" s="39">
        <f>IF('Additional Images'!B178 = "", "", IF('Additional Images-WUO_ERR'!A178 = "", "Validated", HYPERLINK("#" &amp; ADDRESS(178, 'Additional Images-WUO_TRK'!A178),_xlfn.TEXTAFTER('Additional Images-WUO_ERR'!A178, ":"))))</f>
        <v/>
      </c>
    </row>
    <row r="179">
      <c r="A179" s="39">
        <f>IF('Additional Images'!B179 = "", "", IF('Additional Images-WUO_ERR'!A179 = "", "Validated", HYPERLINK("#" &amp; ADDRESS(179, 'Additional Images-WUO_TRK'!A179),_xlfn.TEXTAFTER('Additional Images-WUO_ERR'!A179, ":"))))</f>
        <v/>
      </c>
    </row>
    <row r="180">
      <c r="A180" s="39">
        <f>IF('Additional Images'!B180 = "", "", IF('Additional Images-WUO_ERR'!A180 = "", "Validated", HYPERLINK("#" &amp; ADDRESS(180, 'Additional Images-WUO_TRK'!A180),_xlfn.TEXTAFTER('Additional Images-WUO_ERR'!A180, ":"))))</f>
        <v/>
      </c>
    </row>
    <row r="181">
      <c r="A181" s="39">
        <f>IF('Additional Images'!B181 = "", "", IF('Additional Images-WUO_ERR'!A181 = "", "Validated", HYPERLINK("#" &amp; ADDRESS(181, 'Additional Images-WUO_TRK'!A181),_xlfn.TEXTAFTER('Additional Images-WUO_ERR'!A181, ":"))))</f>
        <v/>
      </c>
    </row>
    <row r="182">
      <c r="A182" s="39">
        <f>IF('Additional Images'!B182 = "", "", IF('Additional Images-WUO_ERR'!A182 = "", "Validated", HYPERLINK("#" &amp; ADDRESS(182, 'Additional Images-WUO_TRK'!A182),_xlfn.TEXTAFTER('Additional Images-WUO_ERR'!A182, ":"))))</f>
        <v/>
      </c>
    </row>
    <row r="183">
      <c r="A183" s="39">
        <f>IF('Additional Images'!B183 = "", "", IF('Additional Images-WUO_ERR'!A183 = "", "Validated", HYPERLINK("#" &amp; ADDRESS(183, 'Additional Images-WUO_TRK'!A183),_xlfn.TEXTAFTER('Additional Images-WUO_ERR'!A183, ":"))))</f>
        <v/>
      </c>
    </row>
    <row r="184">
      <c r="A184" s="39">
        <f>IF('Additional Images'!B184 = "", "", IF('Additional Images-WUO_ERR'!A184 = "", "Validated", HYPERLINK("#" &amp; ADDRESS(184, 'Additional Images-WUO_TRK'!A184),_xlfn.TEXTAFTER('Additional Images-WUO_ERR'!A184, ":"))))</f>
        <v/>
      </c>
    </row>
    <row r="185">
      <c r="A185" s="39">
        <f>IF('Additional Images'!B185 = "", "", IF('Additional Images-WUO_ERR'!A185 = "", "Validated", HYPERLINK("#" &amp; ADDRESS(185, 'Additional Images-WUO_TRK'!A185),_xlfn.TEXTAFTER('Additional Images-WUO_ERR'!A185, ":"))))</f>
        <v/>
      </c>
    </row>
    <row r="186">
      <c r="A186" s="39">
        <f>IF('Additional Images'!B186 = "", "", IF('Additional Images-WUO_ERR'!A186 = "", "Validated", HYPERLINK("#" &amp; ADDRESS(186, 'Additional Images-WUO_TRK'!A186),_xlfn.TEXTAFTER('Additional Images-WUO_ERR'!A186, ":"))))</f>
        <v/>
      </c>
    </row>
    <row r="187">
      <c r="A187" s="39">
        <f>IF('Additional Images'!B187 = "", "", IF('Additional Images-WUO_ERR'!A187 = "", "Validated", HYPERLINK("#" &amp; ADDRESS(187, 'Additional Images-WUO_TRK'!A187),_xlfn.TEXTAFTER('Additional Images-WUO_ERR'!A187, ":"))))</f>
        <v/>
      </c>
    </row>
    <row r="188">
      <c r="A188" s="39">
        <f>IF('Additional Images'!B188 = "", "", IF('Additional Images-WUO_ERR'!A188 = "", "Validated", HYPERLINK("#" &amp; ADDRESS(188, 'Additional Images-WUO_TRK'!A188),_xlfn.TEXTAFTER('Additional Images-WUO_ERR'!A188, ":"))))</f>
        <v/>
      </c>
    </row>
    <row r="189">
      <c r="A189" s="39">
        <f>IF('Additional Images'!B189 = "", "", IF('Additional Images-WUO_ERR'!A189 = "", "Validated", HYPERLINK("#" &amp; ADDRESS(189, 'Additional Images-WUO_TRK'!A189),_xlfn.TEXTAFTER('Additional Images-WUO_ERR'!A189, ":"))))</f>
        <v/>
      </c>
    </row>
    <row r="190">
      <c r="A190" s="39">
        <f>IF('Additional Images'!B190 = "", "", IF('Additional Images-WUO_ERR'!A190 = "", "Validated", HYPERLINK("#" &amp; ADDRESS(190, 'Additional Images-WUO_TRK'!A190),_xlfn.TEXTAFTER('Additional Images-WUO_ERR'!A190, ":"))))</f>
        <v/>
      </c>
    </row>
    <row r="191">
      <c r="A191" s="39">
        <f>IF('Additional Images'!B191 = "", "", IF('Additional Images-WUO_ERR'!A191 = "", "Validated", HYPERLINK("#" &amp; ADDRESS(191, 'Additional Images-WUO_TRK'!A191),_xlfn.TEXTAFTER('Additional Images-WUO_ERR'!A191, ":"))))</f>
        <v/>
      </c>
    </row>
    <row r="192">
      <c r="A192" s="39">
        <f>IF('Additional Images'!B192 = "", "", IF('Additional Images-WUO_ERR'!A192 = "", "Validated", HYPERLINK("#" &amp; ADDRESS(192, 'Additional Images-WUO_TRK'!A192),_xlfn.TEXTAFTER('Additional Images-WUO_ERR'!A192, ":"))))</f>
        <v/>
      </c>
    </row>
    <row r="193">
      <c r="A193" s="39">
        <f>IF('Additional Images'!B193 = "", "", IF('Additional Images-WUO_ERR'!A193 = "", "Validated", HYPERLINK("#" &amp; ADDRESS(193, 'Additional Images-WUO_TRK'!A193),_xlfn.TEXTAFTER('Additional Images-WUO_ERR'!A193, ":"))))</f>
        <v/>
      </c>
    </row>
    <row r="194">
      <c r="A194" s="39">
        <f>IF('Additional Images'!B194 = "", "", IF('Additional Images-WUO_ERR'!A194 = "", "Validated", HYPERLINK("#" &amp; ADDRESS(194, 'Additional Images-WUO_TRK'!A194),_xlfn.TEXTAFTER('Additional Images-WUO_ERR'!A194, ":"))))</f>
        <v/>
      </c>
    </row>
    <row r="195">
      <c r="A195" s="39">
        <f>IF('Additional Images'!B195 = "", "", IF('Additional Images-WUO_ERR'!A195 = "", "Validated", HYPERLINK("#" &amp; ADDRESS(195, 'Additional Images-WUO_TRK'!A195),_xlfn.TEXTAFTER('Additional Images-WUO_ERR'!A195, ":"))))</f>
        <v/>
      </c>
    </row>
    <row r="196">
      <c r="A196" s="39">
        <f>IF('Additional Images'!B196 = "", "", IF('Additional Images-WUO_ERR'!A196 = "", "Validated", HYPERLINK("#" &amp; ADDRESS(196, 'Additional Images-WUO_TRK'!A196),_xlfn.TEXTAFTER('Additional Images-WUO_ERR'!A196, ":"))))</f>
        <v/>
      </c>
    </row>
    <row r="197">
      <c r="A197" s="39">
        <f>IF('Additional Images'!B197 = "", "", IF('Additional Images-WUO_ERR'!A197 = "", "Validated", HYPERLINK("#" &amp; ADDRESS(197, 'Additional Images-WUO_TRK'!A197),_xlfn.TEXTAFTER('Additional Images-WUO_ERR'!A197, ":"))))</f>
        <v/>
      </c>
    </row>
    <row r="198">
      <c r="A198" s="39">
        <f>IF('Additional Images'!B198 = "", "", IF('Additional Images-WUO_ERR'!A198 = "", "Validated", HYPERLINK("#" &amp; ADDRESS(198, 'Additional Images-WUO_TRK'!A198),_xlfn.TEXTAFTER('Additional Images-WUO_ERR'!A198, ":"))))</f>
        <v/>
      </c>
    </row>
    <row r="199">
      <c r="A199" s="39">
        <f>IF('Additional Images'!B199 = "", "", IF('Additional Images-WUO_ERR'!A199 = "", "Validated", HYPERLINK("#" &amp; ADDRESS(199, 'Additional Images-WUO_TRK'!A199),_xlfn.TEXTAFTER('Additional Images-WUO_ERR'!A199, ":"))))</f>
        <v/>
      </c>
    </row>
    <row r="200">
      <c r="A200" s="39">
        <f>IF('Additional Images'!B200 = "", "", IF('Additional Images-WUO_ERR'!A200 = "", "Validated", HYPERLINK("#" &amp; ADDRESS(200, 'Additional Images-WUO_TRK'!A200),_xlfn.TEXTAFTER('Additional Images-WUO_ERR'!A200, ":"))))</f>
        <v/>
      </c>
    </row>
    <row r="201">
      <c r="A201" s="39">
        <f>IF('Additional Images'!B201 = "", "", IF('Additional Images-WUO_ERR'!A201 = "", "Validated", HYPERLINK("#" &amp; ADDRESS(201, 'Additional Images-WUO_TRK'!A201),_xlfn.TEXTAFTER('Additional Images-WUO_ERR'!A201, ":"))))</f>
        <v/>
      </c>
    </row>
    <row r="202">
      <c r="A202" s="39">
        <f>IF('Additional Images'!B202 = "", "", IF('Additional Images-WUO_ERR'!A202 = "", "Validated", HYPERLINK("#" &amp; ADDRESS(202, 'Additional Images-WUO_TRK'!A202),_xlfn.TEXTAFTER('Additional Images-WUO_ERR'!A202, ":"))))</f>
        <v/>
      </c>
    </row>
    <row r="203">
      <c r="A203" s="39">
        <f>IF('Additional Images'!B203 = "", "", IF('Additional Images-WUO_ERR'!A203 = "", "Validated", HYPERLINK("#" &amp; ADDRESS(203, 'Additional Images-WUO_TRK'!A203),_xlfn.TEXTAFTER('Additional Images-WUO_ERR'!A203, ":"))))</f>
        <v/>
      </c>
    </row>
    <row r="204">
      <c r="A204" s="39">
        <f>IF('Additional Images'!B204 = "", "", IF('Additional Images-WUO_ERR'!A204 = "", "Validated", HYPERLINK("#" &amp; ADDRESS(204, 'Additional Images-WUO_TRK'!A204),_xlfn.TEXTAFTER('Additional Images-WUO_ERR'!A204, ":"))))</f>
        <v/>
      </c>
    </row>
    <row r="205">
      <c r="A205" s="39">
        <f>IF('Additional Images'!B205 = "", "", IF('Additional Images-WUO_ERR'!A205 = "", "Validated", HYPERLINK("#" &amp; ADDRESS(205, 'Additional Images-WUO_TRK'!A205),_xlfn.TEXTAFTER('Additional Images-WUO_ERR'!A205, ":"))))</f>
        <v/>
      </c>
    </row>
    <row r="206">
      <c r="A206" s="39">
        <f>IF('Additional Images'!B206 = "", "", IF('Additional Images-WUO_ERR'!A206 = "", "Validated", HYPERLINK("#" &amp; ADDRESS(206, 'Additional Images-WUO_TRK'!A206),_xlfn.TEXTAFTER('Additional Images-WUO_ERR'!A206, ":"))))</f>
        <v/>
      </c>
    </row>
    <row r="207">
      <c r="A207" s="39">
        <f>IF('Additional Images'!B207 = "", "", IF('Additional Images-WUO_ERR'!A207 = "", "Validated", HYPERLINK("#" &amp; ADDRESS(207, 'Additional Images-WUO_TRK'!A207),_xlfn.TEXTAFTER('Additional Images-WUO_ERR'!A207, ":"))))</f>
        <v/>
      </c>
    </row>
    <row r="208">
      <c r="A208" s="39">
        <f>IF('Additional Images'!B208 = "", "", IF('Additional Images-WUO_ERR'!A208 = "", "Validated", HYPERLINK("#" &amp; ADDRESS(208, 'Additional Images-WUO_TRK'!A208),_xlfn.TEXTAFTER('Additional Images-WUO_ERR'!A208, ":"))))</f>
        <v/>
      </c>
    </row>
    <row r="209">
      <c r="A209" s="39">
        <f>IF('Additional Images'!B209 = "", "", IF('Additional Images-WUO_ERR'!A209 = "", "Validated", HYPERLINK("#" &amp; ADDRESS(209, 'Additional Images-WUO_TRK'!A209),_xlfn.TEXTAFTER('Additional Images-WUO_ERR'!A209, ":"))))</f>
        <v/>
      </c>
    </row>
    <row r="210">
      <c r="A210" s="39">
        <f>IF('Additional Images'!B210 = "", "", IF('Additional Images-WUO_ERR'!A210 = "", "Validated", HYPERLINK("#" &amp; ADDRESS(210, 'Additional Images-WUO_TRK'!A210),_xlfn.TEXTAFTER('Additional Images-WUO_ERR'!A210, ":"))))</f>
        <v/>
      </c>
    </row>
    <row r="211">
      <c r="A211" s="39">
        <f>IF('Additional Images'!B211 = "", "", IF('Additional Images-WUO_ERR'!A211 = "", "Validated", HYPERLINK("#" &amp; ADDRESS(211, 'Additional Images-WUO_TRK'!A211),_xlfn.TEXTAFTER('Additional Images-WUO_ERR'!A211, ":"))))</f>
        <v/>
      </c>
    </row>
    <row r="212">
      <c r="A212" s="39">
        <f>IF('Additional Images'!B212 = "", "", IF('Additional Images-WUO_ERR'!A212 = "", "Validated", HYPERLINK("#" &amp; ADDRESS(212, 'Additional Images-WUO_TRK'!A212),_xlfn.TEXTAFTER('Additional Images-WUO_ERR'!A212, ":"))))</f>
        <v/>
      </c>
    </row>
    <row r="213">
      <c r="A213" s="39">
        <f>IF('Additional Images'!B213 = "", "", IF('Additional Images-WUO_ERR'!A213 = "", "Validated", HYPERLINK("#" &amp; ADDRESS(213, 'Additional Images-WUO_TRK'!A213),_xlfn.TEXTAFTER('Additional Images-WUO_ERR'!A213, ":"))))</f>
        <v/>
      </c>
    </row>
    <row r="214">
      <c r="A214" s="39">
        <f>IF('Additional Images'!B214 = "", "", IF('Additional Images-WUO_ERR'!A214 = "", "Validated", HYPERLINK("#" &amp; ADDRESS(214, 'Additional Images-WUO_TRK'!A214),_xlfn.TEXTAFTER('Additional Images-WUO_ERR'!A214, ":"))))</f>
        <v/>
      </c>
    </row>
    <row r="215">
      <c r="A215" s="39">
        <f>IF('Additional Images'!B215 = "", "", IF('Additional Images-WUO_ERR'!A215 = "", "Validated", HYPERLINK("#" &amp; ADDRESS(215, 'Additional Images-WUO_TRK'!A215),_xlfn.TEXTAFTER('Additional Images-WUO_ERR'!A215, ":"))))</f>
        <v/>
      </c>
    </row>
    <row r="216">
      <c r="A216" s="39">
        <f>IF('Additional Images'!B216 = "", "", IF('Additional Images-WUO_ERR'!A216 = "", "Validated", HYPERLINK("#" &amp; ADDRESS(216, 'Additional Images-WUO_TRK'!A216),_xlfn.TEXTAFTER('Additional Images-WUO_ERR'!A216, ":"))))</f>
        <v/>
      </c>
    </row>
    <row r="217">
      <c r="A217" s="39">
        <f>IF('Additional Images'!B217 = "", "", IF('Additional Images-WUO_ERR'!A217 = "", "Validated", HYPERLINK("#" &amp; ADDRESS(217, 'Additional Images-WUO_TRK'!A217),_xlfn.TEXTAFTER('Additional Images-WUO_ERR'!A217, ":"))))</f>
        <v/>
      </c>
    </row>
    <row r="218">
      <c r="A218" s="39">
        <f>IF('Additional Images'!B218 = "", "", IF('Additional Images-WUO_ERR'!A218 = "", "Validated", HYPERLINK("#" &amp; ADDRESS(218, 'Additional Images-WUO_TRK'!A218),_xlfn.TEXTAFTER('Additional Images-WUO_ERR'!A218, ":"))))</f>
        <v/>
      </c>
    </row>
    <row r="219">
      <c r="A219" s="39">
        <f>IF('Additional Images'!B219 = "", "", IF('Additional Images-WUO_ERR'!A219 = "", "Validated", HYPERLINK("#" &amp; ADDRESS(219, 'Additional Images-WUO_TRK'!A219),_xlfn.TEXTAFTER('Additional Images-WUO_ERR'!A219, ":"))))</f>
        <v/>
      </c>
    </row>
    <row r="220">
      <c r="A220" s="39">
        <f>IF('Additional Images'!B220 = "", "", IF('Additional Images-WUO_ERR'!A220 = "", "Validated", HYPERLINK("#" &amp; ADDRESS(220, 'Additional Images-WUO_TRK'!A220),_xlfn.TEXTAFTER('Additional Images-WUO_ERR'!A220, ":"))))</f>
        <v/>
      </c>
    </row>
    <row r="221">
      <c r="A221" s="39">
        <f>IF('Additional Images'!B221 = "", "", IF('Additional Images-WUO_ERR'!A221 = "", "Validated", HYPERLINK("#" &amp; ADDRESS(221, 'Additional Images-WUO_TRK'!A221),_xlfn.TEXTAFTER('Additional Images-WUO_ERR'!A221, ":"))))</f>
        <v/>
      </c>
    </row>
    <row r="222">
      <c r="A222" s="39">
        <f>IF('Additional Images'!B222 = "", "", IF('Additional Images-WUO_ERR'!A222 = "", "Validated", HYPERLINK("#" &amp; ADDRESS(222, 'Additional Images-WUO_TRK'!A222),_xlfn.TEXTAFTER('Additional Images-WUO_ERR'!A222, ":"))))</f>
        <v/>
      </c>
    </row>
    <row r="223">
      <c r="A223" s="39">
        <f>IF('Additional Images'!B223 = "", "", IF('Additional Images-WUO_ERR'!A223 = "", "Validated", HYPERLINK("#" &amp; ADDRESS(223, 'Additional Images-WUO_TRK'!A223),_xlfn.TEXTAFTER('Additional Images-WUO_ERR'!A223, ":"))))</f>
        <v/>
      </c>
    </row>
    <row r="224">
      <c r="A224" s="39">
        <f>IF('Additional Images'!B224 = "", "", IF('Additional Images-WUO_ERR'!A224 = "", "Validated", HYPERLINK("#" &amp; ADDRESS(224, 'Additional Images-WUO_TRK'!A224),_xlfn.TEXTAFTER('Additional Images-WUO_ERR'!A224, ":"))))</f>
        <v/>
      </c>
    </row>
    <row r="225">
      <c r="A225" s="39">
        <f>IF('Additional Images'!B225 = "", "", IF('Additional Images-WUO_ERR'!A225 = "", "Validated", HYPERLINK("#" &amp; ADDRESS(225, 'Additional Images-WUO_TRK'!A225),_xlfn.TEXTAFTER('Additional Images-WUO_ERR'!A225, ":"))))</f>
        <v/>
      </c>
    </row>
    <row r="226">
      <c r="A226" s="39">
        <f>IF('Additional Images'!B226 = "", "", IF('Additional Images-WUO_ERR'!A226 = "", "Validated", HYPERLINK("#" &amp; ADDRESS(226, 'Additional Images-WUO_TRK'!A226),_xlfn.TEXTAFTER('Additional Images-WUO_ERR'!A226, ":"))))</f>
        <v/>
      </c>
    </row>
    <row r="227">
      <c r="A227" s="39">
        <f>IF('Additional Images'!B227 = "", "", IF('Additional Images-WUO_ERR'!A227 = "", "Validated", HYPERLINK("#" &amp; ADDRESS(227, 'Additional Images-WUO_TRK'!A227),_xlfn.TEXTAFTER('Additional Images-WUO_ERR'!A227, ":"))))</f>
        <v/>
      </c>
    </row>
    <row r="228">
      <c r="A228" s="39">
        <f>IF('Additional Images'!B228 = "", "", IF('Additional Images-WUO_ERR'!A228 = "", "Validated", HYPERLINK("#" &amp; ADDRESS(228, 'Additional Images-WUO_TRK'!A228),_xlfn.TEXTAFTER('Additional Images-WUO_ERR'!A228, ":"))))</f>
        <v/>
      </c>
    </row>
    <row r="229">
      <c r="A229" s="39">
        <f>IF('Additional Images'!B229 = "", "", IF('Additional Images-WUO_ERR'!A229 = "", "Validated", HYPERLINK("#" &amp; ADDRESS(229, 'Additional Images-WUO_TRK'!A229),_xlfn.TEXTAFTER('Additional Images-WUO_ERR'!A229, ":"))))</f>
        <v/>
      </c>
    </row>
    <row r="230">
      <c r="A230" s="39">
        <f>IF('Additional Images'!B230 = "", "", IF('Additional Images-WUO_ERR'!A230 = "", "Validated", HYPERLINK("#" &amp; ADDRESS(230, 'Additional Images-WUO_TRK'!A230),_xlfn.TEXTAFTER('Additional Images-WUO_ERR'!A230, ":"))))</f>
        <v/>
      </c>
    </row>
    <row r="231">
      <c r="A231" s="39">
        <f>IF('Additional Images'!B231 = "", "", IF('Additional Images-WUO_ERR'!A231 = "", "Validated", HYPERLINK("#" &amp; ADDRESS(231, 'Additional Images-WUO_TRK'!A231),_xlfn.TEXTAFTER('Additional Images-WUO_ERR'!A231, ":"))))</f>
        <v/>
      </c>
    </row>
    <row r="232">
      <c r="A232" s="39">
        <f>IF('Additional Images'!B232 = "", "", IF('Additional Images-WUO_ERR'!A232 = "", "Validated", HYPERLINK("#" &amp; ADDRESS(232, 'Additional Images-WUO_TRK'!A232),_xlfn.TEXTAFTER('Additional Images-WUO_ERR'!A232, ":"))))</f>
        <v/>
      </c>
    </row>
    <row r="233">
      <c r="A233" s="39">
        <f>IF('Additional Images'!B233 = "", "", IF('Additional Images-WUO_ERR'!A233 = "", "Validated", HYPERLINK("#" &amp; ADDRESS(233, 'Additional Images-WUO_TRK'!A233),_xlfn.TEXTAFTER('Additional Images-WUO_ERR'!A233, ":"))))</f>
        <v/>
      </c>
    </row>
    <row r="234">
      <c r="A234" s="39">
        <f>IF('Additional Images'!B234 = "", "", IF('Additional Images-WUO_ERR'!A234 = "", "Validated", HYPERLINK("#" &amp; ADDRESS(234, 'Additional Images-WUO_TRK'!A234),_xlfn.TEXTAFTER('Additional Images-WUO_ERR'!A234, ":"))))</f>
        <v/>
      </c>
    </row>
    <row r="235">
      <c r="A235" s="39">
        <f>IF('Additional Images'!B235 = "", "", IF('Additional Images-WUO_ERR'!A235 = "", "Validated", HYPERLINK("#" &amp; ADDRESS(235, 'Additional Images-WUO_TRK'!A235),_xlfn.TEXTAFTER('Additional Images-WUO_ERR'!A235, ":"))))</f>
        <v/>
      </c>
    </row>
    <row r="236">
      <c r="A236" s="39">
        <f>IF('Additional Images'!B236 = "", "", IF('Additional Images-WUO_ERR'!A236 = "", "Validated", HYPERLINK("#" &amp; ADDRESS(236, 'Additional Images-WUO_TRK'!A236),_xlfn.TEXTAFTER('Additional Images-WUO_ERR'!A236, ":"))))</f>
        <v/>
      </c>
    </row>
    <row r="237">
      <c r="A237" s="39">
        <f>IF('Additional Images'!B237 = "", "", IF('Additional Images-WUO_ERR'!A237 = "", "Validated", HYPERLINK("#" &amp; ADDRESS(237, 'Additional Images-WUO_TRK'!A237),_xlfn.TEXTAFTER('Additional Images-WUO_ERR'!A237, ":"))))</f>
        <v/>
      </c>
    </row>
    <row r="238">
      <c r="A238" s="39">
        <f>IF('Additional Images'!B238 = "", "", IF('Additional Images-WUO_ERR'!A238 = "", "Validated", HYPERLINK("#" &amp; ADDRESS(238, 'Additional Images-WUO_TRK'!A238),_xlfn.TEXTAFTER('Additional Images-WUO_ERR'!A238, ":"))))</f>
        <v/>
      </c>
    </row>
    <row r="239">
      <c r="A239" s="39">
        <f>IF('Additional Images'!B239 = "", "", IF('Additional Images-WUO_ERR'!A239 = "", "Validated", HYPERLINK("#" &amp; ADDRESS(239, 'Additional Images-WUO_TRK'!A239),_xlfn.TEXTAFTER('Additional Images-WUO_ERR'!A239, ":"))))</f>
        <v/>
      </c>
    </row>
    <row r="240">
      <c r="A240" s="39">
        <f>IF('Additional Images'!B240 = "", "", IF('Additional Images-WUO_ERR'!A240 = "", "Validated", HYPERLINK("#" &amp; ADDRESS(240, 'Additional Images-WUO_TRK'!A240),_xlfn.TEXTAFTER('Additional Images-WUO_ERR'!A240, ":"))))</f>
        <v/>
      </c>
    </row>
    <row r="241">
      <c r="A241" s="39">
        <f>IF('Additional Images'!B241 = "", "", IF('Additional Images-WUO_ERR'!A241 = "", "Validated", HYPERLINK("#" &amp; ADDRESS(241, 'Additional Images-WUO_TRK'!A241),_xlfn.TEXTAFTER('Additional Images-WUO_ERR'!A241, ":"))))</f>
        <v/>
      </c>
    </row>
    <row r="242">
      <c r="A242" s="39">
        <f>IF('Additional Images'!B242 = "", "", IF('Additional Images-WUO_ERR'!A242 = "", "Validated", HYPERLINK("#" &amp; ADDRESS(242, 'Additional Images-WUO_TRK'!A242),_xlfn.TEXTAFTER('Additional Images-WUO_ERR'!A242, ":"))))</f>
        <v/>
      </c>
    </row>
    <row r="243">
      <c r="A243" s="39">
        <f>IF('Additional Images'!B243 = "", "", IF('Additional Images-WUO_ERR'!A243 = "", "Validated", HYPERLINK("#" &amp; ADDRESS(243, 'Additional Images-WUO_TRK'!A243),_xlfn.TEXTAFTER('Additional Images-WUO_ERR'!A243, ":"))))</f>
        <v/>
      </c>
    </row>
    <row r="244">
      <c r="A244" s="39">
        <f>IF('Additional Images'!B244 = "", "", IF('Additional Images-WUO_ERR'!A244 = "", "Validated", HYPERLINK("#" &amp; ADDRESS(244, 'Additional Images-WUO_TRK'!A244),_xlfn.TEXTAFTER('Additional Images-WUO_ERR'!A244, ":"))))</f>
        <v/>
      </c>
    </row>
    <row r="245">
      <c r="A245" s="39">
        <f>IF('Additional Images'!B245 = "", "", IF('Additional Images-WUO_ERR'!A245 = "", "Validated", HYPERLINK("#" &amp; ADDRESS(245, 'Additional Images-WUO_TRK'!A245),_xlfn.TEXTAFTER('Additional Images-WUO_ERR'!A245, ":"))))</f>
        <v/>
      </c>
    </row>
    <row r="246">
      <c r="A246" s="39">
        <f>IF('Additional Images'!B246 = "", "", IF('Additional Images-WUO_ERR'!A246 = "", "Validated", HYPERLINK("#" &amp; ADDRESS(246, 'Additional Images-WUO_TRK'!A246),_xlfn.TEXTAFTER('Additional Images-WUO_ERR'!A246, ":"))))</f>
        <v/>
      </c>
    </row>
    <row r="247">
      <c r="A247" s="39">
        <f>IF('Additional Images'!B247 = "", "", IF('Additional Images-WUO_ERR'!A247 = "", "Validated", HYPERLINK("#" &amp; ADDRESS(247, 'Additional Images-WUO_TRK'!A247),_xlfn.TEXTAFTER('Additional Images-WUO_ERR'!A247, ":"))))</f>
        <v/>
      </c>
    </row>
    <row r="248">
      <c r="A248" s="39">
        <f>IF('Additional Images'!B248 = "", "", IF('Additional Images-WUO_ERR'!A248 = "", "Validated", HYPERLINK("#" &amp; ADDRESS(248, 'Additional Images-WUO_TRK'!A248),_xlfn.TEXTAFTER('Additional Images-WUO_ERR'!A248, ":"))))</f>
        <v/>
      </c>
    </row>
    <row r="249">
      <c r="A249" s="39">
        <f>IF('Additional Images'!B249 = "", "", IF('Additional Images-WUO_ERR'!A249 = "", "Validated", HYPERLINK("#" &amp; ADDRESS(249, 'Additional Images-WUO_TRK'!A249),_xlfn.TEXTAFTER('Additional Images-WUO_ERR'!A249, ":"))))</f>
        <v/>
      </c>
    </row>
    <row r="250">
      <c r="A250" s="39">
        <f>IF('Additional Images'!B250 = "", "", IF('Additional Images-WUO_ERR'!A250 = "", "Validated", HYPERLINK("#" &amp; ADDRESS(250, 'Additional Images-WUO_TRK'!A250),_xlfn.TEXTAFTER('Additional Images-WUO_ERR'!A250, ":"))))</f>
        <v/>
      </c>
    </row>
    <row r="251">
      <c r="A251" s="39">
        <f>IF('Additional Images'!B251 = "", "", IF('Additional Images-WUO_ERR'!A251 = "", "Validated", HYPERLINK("#" &amp; ADDRESS(251, 'Additional Images-WUO_TRK'!A251),_xlfn.TEXTAFTER('Additional Images-WUO_ERR'!A251, ":"))))</f>
        <v/>
      </c>
    </row>
    <row r="252">
      <c r="A252" s="39">
        <f>IF('Additional Images'!B252 = "", "", IF('Additional Images-WUO_ERR'!A252 = "", "Validated", HYPERLINK("#" &amp; ADDRESS(252, 'Additional Images-WUO_TRK'!A252),_xlfn.TEXTAFTER('Additional Images-WUO_ERR'!A252, ":"))))</f>
        <v/>
      </c>
    </row>
    <row r="253">
      <c r="A253" s="39">
        <f>IF('Additional Images'!B253 = "", "", IF('Additional Images-WUO_ERR'!A253 = "", "Validated", HYPERLINK("#" &amp; ADDRESS(253, 'Additional Images-WUO_TRK'!A253),_xlfn.TEXTAFTER('Additional Images-WUO_ERR'!A253, ":"))))</f>
        <v/>
      </c>
    </row>
    <row r="254">
      <c r="A254" s="39">
        <f>IF('Additional Images'!B254 = "", "", IF('Additional Images-WUO_ERR'!A254 = "", "Validated", HYPERLINK("#" &amp; ADDRESS(254, 'Additional Images-WUO_TRK'!A254),_xlfn.TEXTAFTER('Additional Images-WUO_ERR'!A254, ":"))))</f>
        <v/>
      </c>
    </row>
    <row r="255">
      <c r="A255" s="39">
        <f>IF('Additional Images'!B255 = "", "", IF('Additional Images-WUO_ERR'!A255 = "", "Validated", HYPERLINK("#" &amp; ADDRESS(255, 'Additional Images-WUO_TRK'!A255),_xlfn.TEXTAFTER('Additional Images-WUO_ERR'!A255, ":"))))</f>
        <v/>
      </c>
    </row>
    <row r="256">
      <c r="A256" s="39">
        <f>IF('Additional Images'!B256 = "", "", IF('Additional Images-WUO_ERR'!A256 = "", "Validated", HYPERLINK("#" &amp; ADDRESS(256, 'Additional Images-WUO_TRK'!A256),_xlfn.TEXTAFTER('Additional Images-WUO_ERR'!A256, ":"))))</f>
        <v/>
      </c>
    </row>
    <row r="257">
      <c r="A257" s="39">
        <f>IF('Additional Images'!B257 = "", "", IF('Additional Images-WUO_ERR'!A257 = "", "Validated", HYPERLINK("#" &amp; ADDRESS(257, 'Additional Images-WUO_TRK'!A257),_xlfn.TEXTAFTER('Additional Images-WUO_ERR'!A257, ":"))))</f>
        <v/>
      </c>
    </row>
    <row r="258">
      <c r="A258" s="39">
        <f>IF('Additional Images'!B258 = "", "", IF('Additional Images-WUO_ERR'!A258 = "", "Validated", HYPERLINK("#" &amp; ADDRESS(258, 'Additional Images-WUO_TRK'!A258),_xlfn.TEXTAFTER('Additional Images-WUO_ERR'!A258, ":"))))</f>
        <v/>
      </c>
    </row>
    <row r="259">
      <c r="A259" s="39">
        <f>IF('Additional Images'!B259 = "", "", IF('Additional Images-WUO_ERR'!A259 = "", "Validated", HYPERLINK("#" &amp; ADDRESS(259, 'Additional Images-WUO_TRK'!A259),_xlfn.TEXTAFTER('Additional Images-WUO_ERR'!A259, ":"))))</f>
        <v/>
      </c>
    </row>
    <row r="260">
      <c r="A260" s="39">
        <f>IF('Additional Images'!B260 = "", "", IF('Additional Images-WUO_ERR'!A260 = "", "Validated", HYPERLINK("#" &amp; ADDRESS(260, 'Additional Images-WUO_TRK'!A260),_xlfn.TEXTAFTER('Additional Images-WUO_ERR'!A260, ":"))))</f>
        <v/>
      </c>
    </row>
    <row r="261">
      <c r="A261" s="39">
        <f>IF('Additional Images'!B261 = "", "", IF('Additional Images-WUO_ERR'!A261 = "", "Validated", HYPERLINK("#" &amp; ADDRESS(261, 'Additional Images-WUO_TRK'!A261),_xlfn.TEXTAFTER('Additional Images-WUO_ERR'!A261, ":"))))</f>
        <v/>
      </c>
    </row>
    <row r="262">
      <c r="A262" s="39">
        <f>IF('Additional Images'!B262 = "", "", IF('Additional Images-WUO_ERR'!A262 = "", "Validated", HYPERLINK("#" &amp; ADDRESS(262, 'Additional Images-WUO_TRK'!A262),_xlfn.TEXTAFTER('Additional Images-WUO_ERR'!A262, ":"))))</f>
        <v/>
      </c>
    </row>
    <row r="263">
      <c r="A263" s="39">
        <f>IF('Additional Images'!B263 = "", "", IF('Additional Images-WUO_ERR'!A263 = "", "Validated", HYPERLINK("#" &amp; ADDRESS(263, 'Additional Images-WUO_TRK'!A263),_xlfn.TEXTAFTER('Additional Images-WUO_ERR'!A263, ":"))))</f>
        <v/>
      </c>
    </row>
    <row r="264">
      <c r="A264" s="39">
        <f>IF('Additional Images'!B264 = "", "", IF('Additional Images-WUO_ERR'!A264 = "", "Validated", HYPERLINK("#" &amp; ADDRESS(264, 'Additional Images-WUO_TRK'!A264),_xlfn.TEXTAFTER('Additional Images-WUO_ERR'!A264, ":"))))</f>
        <v/>
      </c>
    </row>
    <row r="265">
      <c r="A265" s="39">
        <f>IF('Additional Images'!B265 = "", "", IF('Additional Images-WUO_ERR'!A265 = "", "Validated", HYPERLINK("#" &amp; ADDRESS(265, 'Additional Images-WUO_TRK'!A265),_xlfn.TEXTAFTER('Additional Images-WUO_ERR'!A265, ":"))))</f>
        <v/>
      </c>
    </row>
    <row r="266">
      <c r="A266" s="39">
        <f>IF('Additional Images'!B266 = "", "", IF('Additional Images-WUO_ERR'!A266 = "", "Validated", HYPERLINK("#" &amp; ADDRESS(266, 'Additional Images-WUO_TRK'!A266),_xlfn.TEXTAFTER('Additional Images-WUO_ERR'!A266, ":"))))</f>
        <v/>
      </c>
    </row>
    <row r="267">
      <c r="A267" s="39">
        <f>IF('Additional Images'!B267 = "", "", IF('Additional Images-WUO_ERR'!A267 = "", "Validated", HYPERLINK("#" &amp; ADDRESS(267, 'Additional Images-WUO_TRK'!A267),_xlfn.TEXTAFTER('Additional Images-WUO_ERR'!A267, ":"))))</f>
        <v/>
      </c>
    </row>
    <row r="268">
      <c r="A268" s="39">
        <f>IF('Additional Images'!B268 = "", "", IF('Additional Images-WUO_ERR'!A268 = "", "Validated", HYPERLINK("#" &amp; ADDRESS(268, 'Additional Images-WUO_TRK'!A268),_xlfn.TEXTAFTER('Additional Images-WUO_ERR'!A268, ":"))))</f>
        <v/>
      </c>
    </row>
    <row r="269">
      <c r="A269" s="39">
        <f>IF('Additional Images'!B269 = "", "", IF('Additional Images-WUO_ERR'!A269 = "", "Validated", HYPERLINK("#" &amp; ADDRESS(269, 'Additional Images-WUO_TRK'!A269),_xlfn.TEXTAFTER('Additional Images-WUO_ERR'!A269, ":"))))</f>
        <v/>
      </c>
    </row>
    <row r="270">
      <c r="A270" s="39">
        <f>IF('Additional Images'!B270 = "", "", IF('Additional Images-WUO_ERR'!A270 = "", "Validated", HYPERLINK("#" &amp; ADDRESS(270, 'Additional Images-WUO_TRK'!A270),_xlfn.TEXTAFTER('Additional Images-WUO_ERR'!A270, ":"))))</f>
        <v/>
      </c>
    </row>
    <row r="271">
      <c r="A271" s="39">
        <f>IF('Additional Images'!B271 = "", "", IF('Additional Images-WUO_ERR'!A271 = "", "Validated", HYPERLINK("#" &amp; ADDRESS(271, 'Additional Images-WUO_TRK'!A271),_xlfn.TEXTAFTER('Additional Images-WUO_ERR'!A271, ":"))))</f>
        <v/>
      </c>
    </row>
    <row r="272">
      <c r="A272" s="39">
        <f>IF('Additional Images'!B272 = "", "", IF('Additional Images-WUO_ERR'!A272 = "", "Validated", HYPERLINK("#" &amp; ADDRESS(272, 'Additional Images-WUO_TRK'!A272),_xlfn.TEXTAFTER('Additional Images-WUO_ERR'!A272, ":"))))</f>
        <v/>
      </c>
    </row>
    <row r="273">
      <c r="A273" s="39">
        <f>IF('Additional Images'!B273 = "", "", IF('Additional Images-WUO_ERR'!A273 = "", "Validated", HYPERLINK("#" &amp; ADDRESS(273, 'Additional Images-WUO_TRK'!A273),_xlfn.TEXTAFTER('Additional Images-WUO_ERR'!A273, ":"))))</f>
        <v/>
      </c>
    </row>
    <row r="274">
      <c r="A274" s="39">
        <f>IF('Additional Images'!B274 = "", "", IF('Additional Images-WUO_ERR'!A274 = "", "Validated", HYPERLINK("#" &amp; ADDRESS(274, 'Additional Images-WUO_TRK'!A274),_xlfn.TEXTAFTER('Additional Images-WUO_ERR'!A274, ":"))))</f>
        <v/>
      </c>
    </row>
    <row r="275">
      <c r="A275" s="39">
        <f>IF('Additional Images'!B275 = "", "", IF('Additional Images-WUO_ERR'!A275 = "", "Validated", HYPERLINK("#" &amp; ADDRESS(275, 'Additional Images-WUO_TRK'!A275),_xlfn.TEXTAFTER('Additional Images-WUO_ERR'!A275, ":"))))</f>
        <v/>
      </c>
    </row>
    <row r="276">
      <c r="A276" s="39">
        <f>IF('Additional Images'!B276 = "", "", IF('Additional Images-WUO_ERR'!A276 = "", "Validated", HYPERLINK("#" &amp; ADDRESS(276, 'Additional Images-WUO_TRK'!A276),_xlfn.TEXTAFTER('Additional Images-WUO_ERR'!A276, ":"))))</f>
        <v/>
      </c>
    </row>
    <row r="277">
      <c r="A277" s="39">
        <f>IF('Additional Images'!B277 = "", "", IF('Additional Images-WUO_ERR'!A277 = "", "Validated", HYPERLINK("#" &amp; ADDRESS(277, 'Additional Images-WUO_TRK'!A277),_xlfn.TEXTAFTER('Additional Images-WUO_ERR'!A277, ":"))))</f>
        <v/>
      </c>
    </row>
    <row r="278">
      <c r="A278" s="39">
        <f>IF('Additional Images'!B278 = "", "", IF('Additional Images-WUO_ERR'!A278 = "", "Validated", HYPERLINK("#" &amp; ADDRESS(278, 'Additional Images-WUO_TRK'!A278),_xlfn.TEXTAFTER('Additional Images-WUO_ERR'!A278, ":"))))</f>
        <v/>
      </c>
    </row>
    <row r="279">
      <c r="A279" s="39">
        <f>IF('Additional Images'!B279 = "", "", IF('Additional Images-WUO_ERR'!A279 = "", "Validated", HYPERLINK("#" &amp; ADDRESS(279, 'Additional Images-WUO_TRK'!A279),_xlfn.TEXTAFTER('Additional Images-WUO_ERR'!A279, ":"))))</f>
        <v/>
      </c>
    </row>
    <row r="280">
      <c r="A280" s="39">
        <f>IF('Additional Images'!B280 = "", "", IF('Additional Images-WUO_ERR'!A280 = "", "Validated", HYPERLINK("#" &amp; ADDRESS(280, 'Additional Images-WUO_TRK'!A280),_xlfn.TEXTAFTER('Additional Images-WUO_ERR'!A280, ":"))))</f>
        <v/>
      </c>
    </row>
    <row r="281">
      <c r="A281" s="39">
        <f>IF('Additional Images'!B281 = "", "", IF('Additional Images-WUO_ERR'!A281 = "", "Validated", HYPERLINK("#" &amp; ADDRESS(281, 'Additional Images-WUO_TRK'!A281),_xlfn.TEXTAFTER('Additional Images-WUO_ERR'!A281, ":"))))</f>
        <v/>
      </c>
    </row>
    <row r="282">
      <c r="A282" s="39">
        <f>IF('Additional Images'!B282 = "", "", IF('Additional Images-WUO_ERR'!A282 = "", "Validated", HYPERLINK("#" &amp; ADDRESS(282, 'Additional Images-WUO_TRK'!A282),_xlfn.TEXTAFTER('Additional Images-WUO_ERR'!A282, ":"))))</f>
        <v/>
      </c>
    </row>
    <row r="283">
      <c r="A283" s="39">
        <f>IF('Additional Images'!B283 = "", "", IF('Additional Images-WUO_ERR'!A283 = "", "Validated", HYPERLINK("#" &amp; ADDRESS(283, 'Additional Images-WUO_TRK'!A283),_xlfn.TEXTAFTER('Additional Images-WUO_ERR'!A283, ":"))))</f>
        <v/>
      </c>
    </row>
    <row r="284">
      <c r="A284" s="39">
        <f>IF('Additional Images'!B284 = "", "", IF('Additional Images-WUO_ERR'!A284 = "", "Validated", HYPERLINK("#" &amp; ADDRESS(284, 'Additional Images-WUO_TRK'!A284),_xlfn.TEXTAFTER('Additional Images-WUO_ERR'!A284, ":"))))</f>
        <v/>
      </c>
    </row>
    <row r="285">
      <c r="A285" s="39">
        <f>IF('Additional Images'!B285 = "", "", IF('Additional Images-WUO_ERR'!A285 = "", "Validated", HYPERLINK("#" &amp; ADDRESS(285, 'Additional Images-WUO_TRK'!A285),_xlfn.TEXTAFTER('Additional Images-WUO_ERR'!A285, ":"))))</f>
        <v/>
      </c>
    </row>
    <row r="286">
      <c r="A286" s="39">
        <f>IF('Additional Images'!B286 = "", "", IF('Additional Images-WUO_ERR'!A286 = "", "Validated", HYPERLINK("#" &amp; ADDRESS(286, 'Additional Images-WUO_TRK'!A286),_xlfn.TEXTAFTER('Additional Images-WUO_ERR'!A286, ":"))))</f>
        <v/>
      </c>
    </row>
    <row r="287">
      <c r="A287" s="39">
        <f>IF('Additional Images'!B287 = "", "", IF('Additional Images-WUO_ERR'!A287 = "", "Validated", HYPERLINK("#" &amp; ADDRESS(287, 'Additional Images-WUO_TRK'!A287),_xlfn.TEXTAFTER('Additional Images-WUO_ERR'!A287, ":"))))</f>
        <v/>
      </c>
    </row>
    <row r="288">
      <c r="A288" s="39">
        <f>IF('Additional Images'!B288 = "", "", IF('Additional Images-WUO_ERR'!A288 = "", "Validated", HYPERLINK("#" &amp; ADDRESS(288, 'Additional Images-WUO_TRK'!A288),_xlfn.TEXTAFTER('Additional Images-WUO_ERR'!A288, ":"))))</f>
        <v/>
      </c>
    </row>
    <row r="289">
      <c r="A289" s="39">
        <f>IF('Additional Images'!B289 = "", "", IF('Additional Images-WUO_ERR'!A289 = "", "Validated", HYPERLINK("#" &amp; ADDRESS(289, 'Additional Images-WUO_TRK'!A289),_xlfn.TEXTAFTER('Additional Images-WUO_ERR'!A289, ":"))))</f>
        <v/>
      </c>
    </row>
    <row r="290">
      <c r="A290" s="39">
        <f>IF('Additional Images'!B290 = "", "", IF('Additional Images-WUO_ERR'!A290 = "", "Validated", HYPERLINK("#" &amp; ADDRESS(290, 'Additional Images-WUO_TRK'!A290),_xlfn.TEXTAFTER('Additional Images-WUO_ERR'!A290, ":"))))</f>
        <v/>
      </c>
    </row>
    <row r="291">
      <c r="A291" s="39">
        <f>IF('Additional Images'!B291 = "", "", IF('Additional Images-WUO_ERR'!A291 = "", "Validated", HYPERLINK("#" &amp; ADDRESS(291, 'Additional Images-WUO_TRK'!A291),_xlfn.TEXTAFTER('Additional Images-WUO_ERR'!A291, ":"))))</f>
        <v/>
      </c>
    </row>
    <row r="292">
      <c r="A292" s="39">
        <f>IF('Additional Images'!B292 = "", "", IF('Additional Images-WUO_ERR'!A292 = "", "Validated", HYPERLINK("#" &amp; ADDRESS(292, 'Additional Images-WUO_TRK'!A292),_xlfn.TEXTAFTER('Additional Images-WUO_ERR'!A292, ":"))))</f>
        <v/>
      </c>
    </row>
    <row r="293">
      <c r="A293" s="39">
        <f>IF('Additional Images'!B293 = "", "", IF('Additional Images-WUO_ERR'!A293 = "", "Validated", HYPERLINK("#" &amp; ADDRESS(293, 'Additional Images-WUO_TRK'!A293),_xlfn.TEXTAFTER('Additional Images-WUO_ERR'!A293, ":"))))</f>
        <v/>
      </c>
    </row>
    <row r="294">
      <c r="A294" s="39">
        <f>IF('Additional Images'!B294 = "", "", IF('Additional Images-WUO_ERR'!A294 = "", "Validated", HYPERLINK("#" &amp; ADDRESS(294, 'Additional Images-WUO_TRK'!A294),_xlfn.TEXTAFTER('Additional Images-WUO_ERR'!A294, ":"))))</f>
        <v/>
      </c>
    </row>
    <row r="295">
      <c r="A295" s="39">
        <f>IF('Additional Images'!B295 = "", "", IF('Additional Images-WUO_ERR'!A295 = "", "Validated", HYPERLINK("#" &amp; ADDRESS(295, 'Additional Images-WUO_TRK'!A295),_xlfn.TEXTAFTER('Additional Images-WUO_ERR'!A295, ":"))))</f>
        <v/>
      </c>
    </row>
    <row r="296">
      <c r="A296" s="39">
        <f>IF('Additional Images'!B296 = "", "", IF('Additional Images-WUO_ERR'!A296 = "", "Validated", HYPERLINK("#" &amp; ADDRESS(296, 'Additional Images-WUO_TRK'!A296),_xlfn.TEXTAFTER('Additional Images-WUO_ERR'!A296, ":"))))</f>
        <v/>
      </c>
    </row>
    <row r="297">
      <c r="A297" s="39">
        <f>IF('Additional Images'!B297 = "", "", IF('Additional Images-WUO_ERR'!A297 = "", "Validated", HYPERLINK("#" &amp; ADDRESS(297, 'Additional Images-WUO_TRK'!A297),_xlfn.TEXTAFTER('Additional Images-WUO_ERR'!A297, ":"))))</f>
        <v/>
      </c>
    </row>
    <row r="298">
      <c r="A298" s="39">
        <f>IF('Additional Images'!B298 = "", "", IF('Additional Images-WUO_ERR'!A298 = "", "Validated", HYPERLINK("#" &amp; ADDRESS(298, 'Additional Images-WUO_TRK'!A298),_xlfn.TEXTAFTER('Additional Images-WUO_ERR'!A298, ":"))))</f>
        <v/>
      </c>
    </row>
    <row r="299">
      <c r="A299" s="39">
        <f>IF('Additional Images'!B299 = "", "", IF('Additional Images-WUO_ERR'!A299 = "", "Validated", HYPERLINK("#" &amp; ADDRESS(299, 'Additional Images-WUO_TRK'!A299),_xlfn.TEXTAFTER('Additional Images-WUO_ERR'!A299, ":"))))</f>
        <v/>
      </c>
    </row>
    <row r="300">
      <c r="A300" s="39">
        <f>IF('Additional Images'!B300 = "", "", IF('Additional Images-WUO_ERR'!A300 = "", "Validated", HYPERLINK("#" &amp; ADDRESS(300, 'Additional Images-WUO_TRK'!A300),_xlfn.TEXTAFTER('Additional Images-WUO_ERR'!A300, ":"))))</f>
        <v/>
      </c>
    </row>
    <row r="301">
      <c r="A301" s="39">
        <f>IF('Additional Images'!B301 = "", "", IF('Additional Images-WUO_ERR'!A301 = "", "Validated", HYPERLINK("#" &amp; ADDRESS(301, 'Additional Images-WUO_TRK'!A301),_xlfn.TEXTAFTER('Additional Images-WUO_ERR'!A301, ":"))))</f>
        <v/>
      </c>
    </row>
    <row r="302">
      <c r="A302" s="39">
        <f>IF('Additional Images'!B302 = "", "", IF('Additional Images-WUO_ERR'!A302 = "", "Validated", HYPERLINK("#" &amp; ADDRESS(302, 'Additional Images-WUO_TRK'!A302),_xlfn.TEXTAFTER('Additional Images-WUO_ERR'!A302, ":"))))</f>
        <v/>
      </c>
    </row>
    <row r="303">
      <c r="A303" s="39">
        <f>IF('Additional Images'!B303 = "", "", IF('Additional Images-WUO_ERR'!A303 = "", "Validated", HYPERLINK("#" &amp; ADDRESS(303, 'Additional Images-WUO_TRK'!A303),_xlfn.TEXTAFTER('Additional Images-WUO_ERR'!A303, ":"))))</f>
        <v/>
      </c>
    </row>
    <row r="304">
      <c r="A304" s="39">
        <f>IF('Additional Images'!B304 = "", "", IF('Additional Images-WUO_ERR'!A304 = "", "Validated", HYPERLINK("#" &amp; ADDRESS(304, 'Additional Images-WUO_TRK'!A304),_xlfn.TEXTAFTER('Additional Images-WUO_ERR'!A304, ":"))))</f>
        <v/>
      </c>
    </row>
    <row r="305">
      <c r="A305" s="39">
        <f>IF('Additional Images'!B305 = "", "", IF('Additional Images-WUO_ERR'!A305 = "", "Validated", HYPERLINK("#" &amp; ADDRESS(305, 'Additional Images-WUO_TRK'!A305),_xlfn.TEXTAFTER('Additional Images-WUO_ERR'!A305, ":"))))</f>
        <v/>
      </c>
    </row>
    <row r="306">
      <c r="A306" s="39">
        <f>IF('Additional Images'!B306 = "", "", IF('Additional Images-WUO_ERR'!A306 = "", "Validated", HYPERLINK("#" &amp; ADDRESS(306, 'Additional Images-WUO_TRK'!A306),_xlfn.TEXTAFTER('Additional Images-WUO_ERR'!A306, ":"))))</f>
        <v/>
      </c>
    </row>
    <row r="307">
      <c r="A307" s="39">
        <f>IF('Additional Images'!B307 = "", "", IF('Additional Images-WUO_ERR'!A307 = "", "Validated", HYPERLINK("#" &amp; ADDRESS(307, 'Additional Images-WUO_TRK'!A307),_xlfn.TEXTAFTER('Additional Images-WUO_ERR'!A307, ":"))))</f>
        <v/>
      </c>
    </row>
    <row r="308">
      <c r="A308" s="39">
        <f>IF('Additional Images'!B308 = "", "", IF('Additional Images-WUO_ERR'!A308 = "", "Validated", HYPERLINK("#" &amp; ADDRESS(308, 'Additional Images-WUO_TRK'!A308),_xlfn.TEXTAFTER('Additional Images-WUO_ERR'!A308, ":"))))</f>
        <v/>
      </c>
    </row>
    <row r="309">
      <c r="A309" s="39">
        <f>IF('Additional Images'!B309 = "", "", IF('Additional Images-WUO_ERR'!A309 = "", "Validated", HYPERLINK("#" &amp; ADDRESS(309, 'Additional Images-WUO_TRK'!A309),_xlfn.TEXTAFTER('Additional Images-WUO_ERR'!A309, ":"))))</f>
        <v/>
      </c>
    </row>
    <row r="310">
      <c r="A310" s="39">
        <f>IF('Additional Images'!B310 = "", "", IF('Additional Images-WUO_ERR'!A310 = "", "Validated", HYPERLINK("#" &amp; ADDRESS(310, 'Additional Images-WUO_TRK'!A310),_xlfn.TEXTAFTER('Additional Images-WUO_ERR'!A310, ":"))))</f>
        <v/>
      </c>
    </row>
    <row r="311">
      <c r="A311" s="39">
        <f>IF('Additional Images'!B311 = "", "", IF('Additional Images-WUO_ERR'!A311 = "", "Validated", HYPERLINK("#" &amp; ADDRESS(311, 'Additional Images-WUO_TRK'!A311),_xlfn.TEXTAFTER('Additional Images-WUO_ERR'!A311, ":"))))</f>
        <v/>
      </c>
    </row>
    <row r="312">
      <c r="A312" s="39">
        <f>IF('Additional Images'!B312 = "", "", IF('Additional Images-WUO_ERR'!A312 = "", "Validated", HYPERLINK("#" &amp; ADDRESS(312, 'Additional Images-WUO_TRK'!A312),_xlfn.TEXTAFTER('Additional Images-WUO_ERR'!A312, ":"))))</f>
        <v/>
      </c>
    </row>
    <row r="313">
      <c r="A313" s="39">
        <f>IF('Additional Images'!B313 = "", "", IF('Additional Images-WUO_ERR'!A313 = "", "Validated", HYPERLINK("#" &amp; ADDRESS(313, 'Additional Images-WUO_TRK'!A313),_xlfn.TEXTAFTER('Additional Images-WUO_ERR'!A313, ":"))))</f>
        <v/>
      </c>
    </row>
    <row r="314">
      <c r="A314" s="39">
        <f>IF('Additional Images'!B314 = "", "", IF('Additional Images-WUO_ERR'!A314 = "", "Validated", HYPERLINK("#" &amp; ADDRESS(314, 'Additional Images-WUO_TRK'!A314),_xlfn.TEXTAFTER('Additional Images-WUO_ERR'!A314, ":"))))</f>
        <v/>
      </c>
    </row>
    <row r="315">
      <c r="A315" s="39">
        <f>IF('Additional Images'!B315 = "", "", IF('Additional Images-WUO_ERR'!A315 = "", "Validated", HYPERLINK("#" &amp; ADDRESS(315, 'Additional Images-WUO_TRK'!A315),_xlfn.TEXTAFTER('Additional Images-WUO_ERR'!A315, ":"))))</f>
        <v/>
      </c>
    </row>
    <row r="316">
      <c r="A316" s="39">
        <f>IF('Additional Images'!B316 = "", "", IF('Additional Images-WUO_ERR'!A316 = "", "Validated", HYPERLINK("#" &amp; ADDRESS(316, 'Additional Images-WUO_TRK'!A316),_xlfn.TEXTAFTER('Additional Images-WUO_ERR'!A316, ":"))))</f>
        <v/>
      </c>
    </row>
    <row r="317">
      <c r="A317" s="39">
        <f>IF('Additional Images'!B317 = "", "", IF('Additional Images-WUO_ERR'!A317 = "", "Validated", HYPERLINK("#" &amp; ADDRESS(317, 'Additional Images-WUO_TRK'!A317),_xlfn.TEXTAFTER('Additional Images-WUO_ERR'!A317, ":"))))</f>
        <v/>
      </c>
    </row>
    <row r="318">
      <c r="A318" s="39">
        <f>IF('Additional Images'!B318 = "", "", IF('Additional Images-WUO_ERR'!A318 = "", "Validated", HYPERLINK("#" &amp; ADDRESS(318, 'Additional Images-WUO_TRK'!A318),_xlfn.TEXTAFTER('Additional Images-WUO_ERR'!A318, ":"))))</f>
        <v/>
      </c>
    </row>
    <row r="319">
      <c r="A319" s="39">
        <f>IF('Additional Images'!B319 = "", "", IF('Additional Images-WUO_ERR'!A319 = "", "Validated", HYPERLINK("#" &amp; ADDRESS(319, 'Additional Images-WUO_TRK'!A319),_xlfn.TEXTAFTER('Additional Images-WUO_ERR'!A319, ":"))))</f>
        <v/>
      </c>
    </row>
    <row r="320">
      <c r="A320" s="39">
        <f>IF('Additional Images'!B320 = "", "", IF('Additional Images-WUO_ERR'!A320 = "", "Validated", HYPERLINK("#" &amp; ADDRESS(320, 'Additional Images-WUO_TRK'!A320),_xlfn.TEXTAFTER('Additional Images-WUO_ERR'!A320, ":"))))</f>
        <v/>
      </c>
    </row>
    <row r="321">
      <c r="A321" s="39">
        <f>IF('Additional Images'!B321 = "", "", IF('Additional Images-WUO_ERR'!A321 = "", "Validated", HYPERLINK("#" &amp; ADDRESS(321, 'Additional Images-WUO_TRK'!A321),_xlfn.TEXTAFTER('Additional Images-WUO_ERR'!A321, ":"))))</f>
        <v/>
      </c>
    </row>
    <row r="322">
      <c r="A322" s="39">
        <f>IF('Additional Images'!B322 = "", "", IF('Additional Images-WUO_ERR'!A322 = "", "Validated", HYPERLINK("#" &amp; ADDRESS(322, 'Additional Images-WUO_TRK'!A322),_xlfn.TEXTAFTER('Additional Images-WUO_ERR'!A322, ":"))))</f>
        <v/>
      </c>
    </row>
    <row r="323">
      <c r="A323" s="39">
        <f>IF('Additional Images'!B323 = "", "", IF('Additional Images-WUO_ERR'!A323 = "", "Validated", HYPERLINK("#" &amp; ADDRESS(323, 'Additional Images-WUO_TRK'!A323),_xlfn.TEXTAFTER('Additional Images-WUO_ERR'!A323, ":"))))</f>
        <v/>
      </c>
    </row>
    <row r="324">
      <c r="A324" s="39">
        <f>IF('Additional Images'!B324 = "", "", IF('Additional Images-WUO_ERR'!A324 = "", "Validated", HYPERLINK("#" &amp; ADDRESS(324, 'Additional Images-WUO_TRK'!A324),_xlfn.TEXTAFTER('Additional Images-WUO_ERR'!A324, ":"))))</f>
        <v/>
      </c>
    </row>
    <row r="325">
      <c r="A325" s="39">
        <f>IF('Additional Images'!B325 = "", "", IF('Additional Images-WUO_ERR'!A325 = "", "Validated", HYPERLINK("#" &amp; ADDRESS(325, 'Additional Images-WUO_TRK'!A325),_xlfn.TEXTAFTER('Additional Images-WUO_ERR'!A325, ":"))))</f>
        <v/>
      </c>
    </row>
    <row r="326">
      <c r="A326" s="39">
        <f>IF('Additional Images'!B326 = "", "", IF('Additional Images-WUO_ERR'!A326 = "", "Validated", HYPERLINK("#" &amp; ADDRESS(326, 'Additional Images-WUO_TRK'!A326),_xlfn.TEXTAFTER('Additional Images-WUO_ERR'!A326, ":"))))</f>
        <v/>
      </c>
    </row>
    <row r="327">
      <c r="A327" s="39">
        <f>IF('Additional Images'!B327 = "", "", IF('Additional Images-WUO_ERR'!A327 = "", "Validated", HYPERLINK("#" &amp; ADDRESS(327, 'Additional Images-WUO_TRK'!A327),_xlfn.TEXTAFTER('Additional Images-WUO_ERR'!A327, ":"))))</f>
        <v/>
      </c>
    </row>
    <row r="328">
      <c r="A328" s="39">
        <f>IF('Additional Images'!B328 = "", "", IF('Additional Images-WUO_ERR'!A328 = "", "Validated", HYPERLINK("#" &amp; ADDRESS(328, 'Additional Images-WUO_TRK'!A328),_xlfn.TEXTAFTER('Additional Images-WUO_ERR'!A328, ":"))))</f>
        <v/>
      </c>
    </row>
    <row r="329">
      <c r="A329" s="39">
        <f>IF('Additional Images'!B329 = "", "", IF('Additional Images-WUO_ERR'!A329 = "", "Validated", HYPERLINK("#" &amp; ADDRESS(329, 'Additional Images-WUO_TRK'!A329),_xlfn.TEXTAFTER('Additional Images-WUO_ERR'!A329, ":"))))</f>
        <v/>
      </c>
    </row>
    <row r="330">
      <c r="A330" s="39">
        <f>IF('Additional Images'!B330 = "", "", IF('Additional Images-WUO_ERR'!A330 = "", "Validated", HYPERLINK("#" &amp; ADDRESS(330, 'Additional Images-WUO_TRK'!A330),_xlfn.TEXTAFTER('Additional Images-WUO_ERR'!A330, ":"))))</f>
        <v/>
      </c>
    </row>
    <row r="331">
      <c r="A331" s="39">
        <f>IF('Additional Images'!B331 = "", "", IF('Additional Images-WUO_ERR'!A331 = "", "Validated", HYPERLINK("#" &amp; ADDRESS(331, 'Additional Images-WUO_TRK'!A331),_xlfn.TEXTAFTER('Additional Images-WUO_ERR'!A331, ":"))))</f>
        <v/>
      </c>
    </row>
    <row r="332">
      <c r="A332" s="39">
        <f>IF('Additional Images'!B332 = "", "", IF('Additional Images-WUO_ERR'!A332 = "", "Validated", HYPERLINK("#" &amp; ADDRESS(332, 'Additional Images-WUO_TRK'!A332),_xlfn.TEXTAFTER('Additional Images-WUO_ERR'!A332, ":"))))</f>
        <v/>
      </c>
    </row>
    <row r="333">
      <c r="A333" s="39">
        <f>IF('Additional Images'!B333 = "", "", IF('Additional Images-WUO_ERR'!A333 = "", "Validated", HYPERLINK("#" &amp; ADDRESS(333, 'Additional Images-WUO_TRK'!A333),_xlfn.TEXTAFTER('Additional Images-WUO_ERR'!A333, ":"))))</f>
        <v/>
      </c>
    </row>
    <row r="334">
      <c r="A334" s="39">
        <f>IF('Additional Images'!B334 = "", "", IF('Additional Images-WUO_ERR'!A334 = "", "Validated", HYPERLINK("#" &amp; ADDRESS(334, 'Additional Images-WUO_TRK'!A334),_xlfn.TEXTAFTER('Additional Images-WUO_ERR'!A334, ":"))))</f>
        <v/>
      </c>
    </row>
    <row r="335">
      <c r="A335" s="39">
        <f>IF('Additional Images'!B335 = "", "", IF('Additional Images-WUO_ERR'!A335 = "", "Validated", HYPERLINK("#" &amp; ADDRESS(335, 'Additional Images-WUO_TRK'!A335),_xlfn.TEXTAFTER('Additional Images-WUO_ERR'!A335, ":"))))</f>
        <v/>
      </c>
    </row>
    <row r="336">
      <c r="A336" s="39">
        <f>IF('Additional Images'!B336 = "", "", IF('Additional Images-WUO_ERR'!A336 = "", "Validated", HYPERLINK("#" &amp; ADDRESS(336, 'Additional Images-WUO_TRK'!A336),_xlfn.TEXTAFTER('Additional Images-WUO_ERR'!A336, ":"))))</f>
        <v/>
      </c>
    </row>
    <row r="337">
      <c r="A337" s="39">
        <f>IF('Additional Images'!B337 = "", "", IF('Additional Images-WUO_ERR'!A337 = "", "Validated", HYPERLINK("#" &amp; ADDRESS(337, 'Additional Images-WUO_TRK'!A337),_xlfn.TEXTAFTER('Additional Images-WUO_ERR'!A337, ":"))))</f>
        <v/>
      </c>
    </row>
    <row r="338">
      <c r="A338" s="39">
        <f>IF('Additional Images'!B338 = "", "", IF('Additional Images-WUO_ERR'!A338 = "", "Validated", HYPERLINK("#" &amp; ADDRESS(338, 'Additional Images-WUO_TRK'!A338),_xlfn.TEXTAFTER('Additional Images-WUO_ERR'!A338, ":"))))</f>
        <v/>
      </c>
    </row>
    <row r="339">
      <c r="A339" s="39">
        <f>IF('Additional Images'!B339 = "", "", IF('Additional Images-WUO_ERR'!A339 = "", "Validated", HYPERLINK("#" &amp; ADDRESS(339, 'Additional Images-WUO_TRK'!A339),_xlfn.TEXTAFTER('Additional Images-WUO_ERR'!A339, ":"))))</f>
        <v/>
      </c>
    </row>
    <row r="340">
      <c r="A340" s="39">
        <f>IF('Additional Images'!B340 = "", "", IF('Additional Images-WUO_ERR'!A340 = "", "Validated", HYPERLINK("#" &amp; ADDRESS(340, 'Additional Images-WUO_TRK'!A340),_xlfn.TEXTAFTER('Additional Images-WUO_ERR'!A340, ":"))))</f>
        <v/>
      </c>
    </row>
    <row r="341">
      <c r="A341" s="39">
        <f>IF('Additional Images'!B341 = "", "", IF('Additional Images-WUO_ERR'!A341 = "", "Validated", HYPERLINK("#" &amp; ADDRESS(341, 'Additional Images-WUO_TRK'!A341),_xlfn.TEXTAFTER('Additional Images-WUO_ERR'!A341, ":"))))</f>
        <v/>
      </c>
    </row>
    <row r="342">
      <c r="A342" s="39">
        <f>IF('Additional Images'!B342 = "", "", IF('Additional Images-WUO_ERR'!A342 = "", "Validated", HYPERLINK("#" &amp; ADDRESS(342, 'Additional Images-WUO_TRK'!A342),_xlfn.TEXTAFTER('Additional Images-WUO_ERR'!A342, ":"))))</f>
        <v/>
      </c>
    </row>
    <row r="343">
      <c r="A343" s="39">
        <f>IF('Additional Images'!B343 = "", "", IF('Additional Images-WUO_ERR'!A343 = "", "Validated", HYPERLINK("#" &amp; ADDRESS(343, 'Additional Images-WUO_TRK'!A343),_xlfn.TEXTAFTER('Additional Images-WUO_ERR'!A343, ":"))))</f>
        <v/>
      </c>
    </row>
    <row r="344">
      <c r="A344" s="39">
        <f>IF('Additional Images'!B344 = "", "", IF('Additional Images-WUO_ERR'!A344 = "", "Validated", HYPERLINK("#" &amp; ADDRESS(344, 'Additional Images-WUO_TRK'!A344),_xlfn.TEXTAFTER('Additional Images-WUO_ERR'!A344, ":"))))</f>
        <v/>
      </c>
    </row>
    <row r="345">
      <c r="A345" s="39">
        <f>IF('Additional Images'!B345 = "", "", IF('Additional Images-WUO_ERR'!A345 = "", "Validated", HYPERLINK("#" &amp; ADDRESS(345, 'Additional Images-WUO_TRK'!A345),_xlfn.TEXTAFTER('Additional Images-WUO_ERR'!A345, ":"))))</f>
        <v/>
      </c>
    </row>
    <row r="346">
      <c r="A346" s="39">
        <f>IF('Additional Images'!B346 = "", "", IF('Additional Images-WUO_ERR'!A346 = "", "Validated", HYPERLINK("#" &amp; ADDRESS(346, 'Additional Images-WUO_TRK'!A346),_xlfn.TEXTAFTER('Additional Images-WUO_ERR'!A346, ":"))))</f>
        <v/>
      </c>
    </row>
    <row r="347">
      <c r="A347" s="39">
        <f>IF('Additional Images'!B347 = "", "", IF('Additional Images-WUO_ERR'!A347 = "", "Validated", HYPERLINK("#" &amp; ADDRESS(347, 'Additional Images-WUO_TRK'!A347),_xlfn.TEXTAFTER('Additional Images-WUO_ERR'!A347, ":"))))</f>
        <v/>
      </c>
    </row>
    <row r="348">
      <c r="A348" s="39">
        <f>IF('Additional Images'!B348 = "", "", IF('Additional Images-WUO_ERR'!A348 = "", "Validated", HYPERLINK("#" &amp; ADDRESS(348, 'Additional Images-WUO_TRK'!A348),_xlfn.TEXTAFTER('Additional Images-WUO_ERR'!A348, ":"))))</f>
        <v/>
      </c>
    </row>
    <row r="349">
      <c r="A349" s="39">
        <f>IF('Additional Images'!B349 = "", "", IF('Additional Images-WUO_ERR'!A349 = "", "Validated", HYPERLINK("#" &amp; ADDRESS(349, 'Additional Images-WUO_TRK'!A349),_xlfn.TEXTAFTER('Additional Images-WUO_ERR'!A349, ":"))))</f>
        <v/>
      </c>
    </row>
    <row r="350">
      <c r="A350" s="39">
        <f>IF('Additional Images'!B350 = "", "", IF('Additional Images-WUO_ERR'!A350 = "", "Validated", HYPERLINK("#" &amp; ADDRESS(350, 'Additional Images-WUO_TRK'!A350),_xlfn.TEXTAFTER('Additional Images-WUO_ERR'!A350, ":"))))</f>
        <v/>
      </c>
    </row>
    <row r="351">
      <c r="A351" s="39">
        <f>IF('Additional Images'!B351 = "", "", IF('Additional Images-WUO_ERR'!A351 = "", "Validated", HYPERLINK("#" &amp; ADDRESS(351, 'Additional Images-WUO_TRK'!A351),_xlfn.TEXTAFTER('Additional Images-WUO_ERR'!A351, ":"))))</f>
        <v/>
      </c>
    </row>
    <row r="352">
      <c r="A352" s="39">
        <f>IF('Additional Images'!B352 = "", "", IF('Additional Images-WUO_ERR'!A352 = "", "Validated", HYPERLINK("#" &amp; ADDRESS(352, 'Additional Images-WUO_TRK'!A352),_xlfn.TEXTAFTER('Additional Images-WUO_ERR'!A352, ":"))))</f>
        <v/>
      </c>
    </row>
    <row r="353">
      <c r="A353" s="39">
        <f>IF('Additional Images'!B353 = "", "", IF('Additional Images-WUO_ERR'!A353 = "", "Validated", HYPERLINK("#" &amp; ADDRESS(353, 'Additional Images-WUO_TRK'!A353),_xlfn.TEXTAFTER('Additional Images-WUO_ERR'!A353, ":"))))</f>
        <v/>
      </c>
    </row>
    <row r="354">
      <c r="A354" s="39">
        <f>IF('Additional Images'!B354 = "", "", IF('Additional Images-WUO_ERR'!A354 = "", "Validated", HYPERLINK("#" &amp; ADDRESS(354, 'Additional Images-WUO_TRK'!A354),_xlfn.TEXTAFTER('Additional Images-WUO_ERR'!A354, ":"))))</f>
        <v/>
      </c>
    </row>
    <row r="355">
      <c r="A355" s="39">
        <f>IF('Additional Images'!B355 = "", "", IF('Additional Images-WUO_ERR'!A355 = "", "Validated", HYPERLINK("#" &amp; ADDRESS(355, 'Additional Images-WUO_TRK'!A355),_xlfn.TEXTAFTER('Additional Images-WUO_ERR'!A355, ":"))))</f>
        <v/>
      </c>
    </row>
    <row r="356">
      <c r="A356" s="39">
        <f>IF('Additional Images'!B356 = "", "", IF('Additional Images-WUO_ERR'!A356 = "", "Validated", HYPERLINK("#" &amp; ADDRESS(356, 'Additional Images-WUO_TRK'!A356),_xlfn.TEXTAFTER('Additional Images-WUO_ERR'!A356, ":"))))</f>
        <v/>
      </c>
    </row>
    <row r="357">
      <c r="A357" s="39">
        <f>IF('Additional Images'!B357 = "", "", IF('Additional Images-WUO_ERR'!A357 = "", "Validated", HYPERLINK("#" &amp; ADDRESS(357, 'Additional Images-WUO_TRK'!A357),_xlfn.TEXTAFTER('Additional Images-WUO_ERR'!A357, ":"))))</f>
        <v/>
      </c>
    </row>
    <row r="358">
      <c r="A358" s="39">
        <f>IF('Additional Images'!B358 = "", "", IF('Additional Images-WUO_ERR'!A358 = "", "Validated", HYPERLINK("#" &amp; ADDRESS(358, 'Additional Images-WUO_TRK'!A358),_xlfn.TEXTAFTER('Additional Images-WUO_ERR'!A358, ":"))))</f>
        <v/>
      </c>
    </row>
    <row r="359">
      <c r="A359" s="39">
        <f>IF('Additional Images'!B359 = "", "", IF('Additional Images-WUO_ERR'!A359 = "", "Validated", HYPERLINK("#" &amp; ADDRESS(359, 'Additional Images-WUO_TRK'!A359),_xlfn.TEXTAFTER('Additional Images-WUO_ERR'!A359, ":"))))</f>
        <v/>
      </c>
    </row>
    <row r="360">
      <c r="A360" s="39">
        <f>IF('Additional Images'!B360 = "", "", IF('Additional Images-WUO_ERR'!A360 = "", "Validated", HYPERLINK("#" &amp; ADDRESS(360, 'Additional Images-WUO_TRK'!A360),_xlfn.TEXTAFTER('Additional Images-WUO_ERR'!A360, ":"))))</f>
        <v/>
      </c>
    </row>
    <row r="361">
      <c r="A361" s="39">
        <f>IF('Additional Images'!B361 = "", "", IF('Additional Images-WUO_ERR'!A361 = "", "Validated", HYPERLINK("#" &amp; ADDRESS(361, 'Additional Images-WUO_TRK'!A361),_xlfn.TEXTAFTER('Additional Images-WUO_ERR'!A361, ":"))))</f>
        <v/>
      </c>
    </row>
    <row r="362">
      <c r="A362" s="39">
        <f>IF('Additional Images'!B362 = "", "", IF('Additional Images-WUO_ERR'!A362 = "", "Validated", HYPERLINK("#" &amp; ADDRESS(362, 'Additional Images-WUO_TRK'!A362),_xlfn.TEXTAFTER('Additional Images-WUO_ERR'!A362, ":"))))</f>
        <v/>
      </c>
    </row>
    <row r="363">
      <c r="A363" s="39">
        <f>IF('Additional Images'!B363 = "", "", IF('Additional Images-WUO_ERR'!A363 = "", "Validated", HYPERLINK("#" &amp; ADDRESS(363, 'Additional Images-WUO_TRK'!A363),_xlfn.TEXTAFTER('Additional Images-WUO_ERR'!A363, ":"))))</f>
        <v/>
      </c>
    </row>
    <row r="364">
      <c r="A364" s="39">
        <f>IF('Additional Images'!B364 = "", "", IF('Additional Images-WUO_ERR'!A364 = "", "Validated", HYPERLINK("#" &amp; ADDRESS(364, 'Additional Images-WUO_TRK'!A364),_xlfn.TEXTAFTER('Additional Images-WUO_ERR'!A364, ":"))))</f>
        <v/>
      </c>
    </row>
    <row r="365">
      <c r="A365" s="39">
        <f>IF('Additional Images'!B365 = "", "", IF('Additional Images-WUO_ERR'!A365 = "", "Validated", HYPERLINK("#" &amp; ADDRESS(365, 'Additional Images-WUO_TRK'!A365),_xlfn.TEXTAFTER('Additional Images-WUO_ERR'!A365, ":"))))</f>
        <v/>
      </c>
    </row>
    <row r="366">
      <c r="A366" s="39">
        <f>IF('Additional Images'!B366 = "", "", IF('Additional Images-WUO_ERR'!A366 = "", "Validated", HYPERLINK("#" &amp; ADDRESS(366, 'Additional Images-WUO_TRK'!A366),_xlfn.TEXTAFTER('Additional Images-WUO_ERR'!A366, ":"))))</f>
        <v/>
      </c>
    </row>
    <row r="367">
      <c r="A367" s="39">
        <f>IF('Additional Images'!B367 = "", "", IF('Additional Images-WUO_ERR'!A367 = "", "Validated", HYPERLINK("#" &amp; ADDRESS(367, 'Additional Images-WUO_TRK'!A367),_xlfn.TEXTAFTER('Additional Images-WUO_ERR'!A367, ":"))))</f>
        <v/>
      </c>
    </row>
    <row r="368">
      <c r="A368" s="39">
        <f>IF('Additional Images'!B368 = "", "", IF('Additional Images-WUO_ERR'!A368 = "", "Validated", HYPERLINK("#" &amp; ADDRESS(368, 'Additional Images-WUO_TRK'!A368),_xlfn.TEXTAFTER('Additional Images-WUO_ERR'!A368, ":"))))</f>
        <v/>
      </c>
    </row>
    <row r="369">
      <c r="A369" s="39">
        <f>IF('Additional Images'!B369 = "", "", IF('Additional Images-WUO_ERR'!A369 = "", "Validated", HYPERLINK("#" &amp; ADDRESS(369, 'Additional Images-WUO_TRK'!A369),_xlfn.TEXTAFTER('Additional Images-WUO_ERR'!A369, ":"))))</f>
        <v/>
      </c>
    </row>
    <row r="370">
      <c r="A370" s="39">
        <f>IF('Additional Images'!B370 = "", "", IF('Additional Images-WUO_ERR'!A370 = "", "Validated", HYPERLINK("#" &amp; ADDRESS(370, 'Additional Images-WUO_TRK'!A370),_xlfn.TEXTAFTER('Additional Images-WUO_ERR'!A370, ":"))))</f>
        <v/>
      </c>
    </row>
    <row r="371">
      <c r="A371" s="39">
        <f>IF('Additional Images'!B371 = "", "", IF('Additional Images-WUO_ERR'!A371 = "", "Validated", HYPERLINK("#" &amp; ADDRESS(371, 'Additional Images-WUO_TRK'!A371),_xlfn.TEXTAFTER('Additional Images-WUO_ERR'!A371, ":"))))</f>
        <v/>
      </c>
    </row>
    <row r="372">
      <c r="A372" s="39">
        <f>IF('Additional Images'!B372 = "", "", IF('Additional Images-WUO_ERR'!A372 = "", "Validated", HYPERLINK("#" &amp; ADDRESS(372, 'Additional Images-WUO_TRK'!A372),_xlfn.TEXTAFTER('Additional Images-WUO_ERR'!A372, ":"))))</f>
        <v/>
      </c>
    </row>
    <row r="373">
      <c r="A373" s="39">
        <f>IF('Additional Images'!B373 = "", "", IF('Additional Images-WUO_ERR'!A373 = "", "Validated", HYPERLINK("#" &amp; ADDRESS(373, 'Additional Images-WUO_TRK'!A373),_xlfn.TEXTAFTER('Additional Images-WUO_ERR'!A373, ":"))))</f>
        <v/>
      </c>
    </row>
    <row r="374">
      <c r="A374" s="39">
        <f>IF('Additional Images'!B374 = "", "", IF('Additional Images-WUO_ERR'!A374 = "", "Validated", HYPERLINK("#" &amp; ADDRESS(374, 'Additional Images-WUO_TRK'!A374),_xlfn.TEXTAFTER('Additional Images-WUO_ERR'!A374, ":"))))</f>
        <v/>
      </c>
    </row>
    <row r="375">
      <c r="A375" s="39">
        <f>IF('Additional Images'!B375 = "", "", IF('Additional Images-WUO_ERR'!A375 = "", "Validated", HYPERLINK("#" &amp; ADDRESS(375, 'Additional Images-WUO_TRK'!A375),_xlfn.TEXTAFTER('Additional Images-WUO_ERR'!A375, ":"))))</f>
        <v/>
      </c>
    </row>
    <row r="376">
      <c r="A376" s="39">
        <f>IF('Additional Images'!B376 = "", "", IF('Additional Images-WUO_ERR'!A376 = "", "Validated", HYPERLINK("#" &amp; ADDRESS(376, 'Additional Images-WUO_TRK'!A376),_xlfn.TEXTAFTER('Additional Images-WUO_ERR'!A376, ":"))))</f>
        <v/>
      </c>
    </row>
    <row r="377">
      <c r="A377" s="39">
        <f>IF('Additional Images'!B377 = "", "", IF('Additional Images-WUO_ERR'!A377 = "", "Validated", HYPERLINK("#" &amp; ADDRESS(377, 'Additional Images-WUO_TRK'!A377),_xlfn.TEXTAFTER('Additional Images-WUO_ERR'!A377, ":"))))</f>
        <v/>
      </c>
    </row>
    <row r="378">
      <c r="A378" s="39">
        <f>IF('Additional Images'!B378 = "", "", IF('Additional Images-WUO_ERR'!A378 = "", "Validated", HYPERLINK("#" &amp; ADDRESS(378, 'Additional Images-WUO_TRK'!A378),_xlfn.TEXTAFTER('Additional Images-WUO_ERR'!A378, ":"))))</f>
        <v/>
      </c>
    </row>
    <row r="379">
      <c r="A379" s="39">
        <f>IF('Additional Images'!B379 = "", "", IF('Additional Images-WUO_ERR'!A379 = "", "Validated", HYPERLINK("#" &amp; ADDRESS(379, 'Additional Images-WUO_TRK'!A379),_xlfn.TEXTAFTER('Additional Images-WUO_ERR'!A379, ":"))))</f>
        <v/>
      </c>
    </row>
    <row r="380">
      <c r="A380" s="39">
        <f>IF('Additional Images'!B380 = "", "", IF('Additional Images-WUO_ERR'!A380 = "", "Validated", HYPERLINK("#" &amp; ADDRESS(380, 'Additional Images-WUO_TRK'!A380),_xlfn.TEXTAFTER('Additional Images-WUO_ERR'!A380, ":"))))</f>
        <v/>
      </c>
    </row>
    <row r="381">
      <c r="A381" s="39">
        <f>IF('Additional Images'!B381 = "", "", IF('Additional Images-WUO_ERR'!A381 = "", "Validated", HYPERLINK("#" &amp; ADDRESS(381, 'Additional Images-WUO_TRK'!A381),_xlfn.TEXTAFTER('Additional Images-WUO_ERR'!A381, ":"))))</f>
        <v/>
      </c>
    </row>
    <row r="382">
      <c r="A382" s="39">
        <f>IF('Additional Images'!B382 = "", "", IF('Additional Images-WUO_ERR'!A382 = "", "Validated", HYPERLINK("#" &amp; ADDRESS(382, 'Additional Images-WUO_TRK'!A382),_xlfn.TEXTAFTER('Additional Images-WUO_ERR'!A382, ":"))))</f>
        <v/>
      </c>
    </row>
    <row r="383">
      <c r="A383" s="39">
        <f>IF('Additional Images'!B383 = "", "", IF('Additional Images-WUO_ERR'!A383 = "", "Validated", HYPERLINK("#" &amp; ADDRESS(383, 'Additional Images-WUO_TRK'!A383),_xlfn.TEXTAFTER('Additional Images-WUO_ERR'!A383, ":"))))</f>
        <v/>
      </c>
    </row>
    <row r="384">
      <c r="A384" s="39">
        <f>IF('Additional Images'!B384 = "", "", IF('Additional Images-WUO_ERR'!A384 = "", "Validated", HYPERLINK("#" &amp; ADDRESS(384, 'Additional Images-WUO_TRK'!A384),_xlfn.TEXTAFTER('Additional Images-WUO_ERR'!A384, ":"))))</f>
        <v/>
      </c>
    </row>
    <row r="385">
      <c r="A385" s="39">
        <f>IF('Additional Images'!B385 = "", "", IF('Additional Images-WUO_ERR'!A385 = "", "Validated", HYPERLINK("#" &amp; ADDRESS(385, 'Additional Images-WUO_TRK'!A385),_xlfn.TEXTAFTER('Additional Images-WUO_ERR'!A385, ":"))))</f>
        <v/>
      </c>
    </row>
    <row r="386">
      <c r="A386" s="39">
        <f>IF('Additional Images'!B386 = "", "", IF('Additional Images-WUO_ERR'!A386 = "", "Validated", HYPERLINK("#" &amp; ADDRESS(386, 'Additional Images-WUO_TRK'!A386),_xlfn.TEXTAFTER('Additional Images-WUO_ERR'!A386, ":"))))</f>
        <v/>
      </c>
    </row>
    <row r="387">
      <c r="A387" s="39">
        <f>IF('Additional Images'!B387 = "", "", IF('Additional Images-WUO_ERR'!A387 = "", "Validated", HYPERLINK("#" &amp; ADDRESS(387, 'Additional Images-WUO_TRK'!A387),_xlfn.TEXTAFTER('Additional Images-WUO_ERR'!A387, ":"))))</f>
        <v/>
      </c>
    </row>
    <row r="388">
      <c r="A388" s="39">
        <f>IF('Additional Images'!B388 = "", "", IF('Additional Images-WUO_ERR'!A388 = "", "Validated", HYPERLINK("#" &amp; ADDRESS(388, 'Additional Images-WUO_TRK'!A388),_xlfn.TEXTAFTER('Additional Images-WUO_ERR'!A388, ":"))))</f>
        <v/>
      </c>
    </row>
    <row r="389">
      <c r="A389" s="39">
        <f>IF('Additional Images'!B389 = "", "", IF('Additional Images-WUO_ERR'!A389 = "", "Validated", HYPERLINK("#" &amp; ADDRESS(389, 'Additional Images-WUO_TRK'!A389),_xlfn.TEXTAFTER('Additional Images-WUO_ERR'!A389, ":"))))</f>
        <v/>
      </c>
    </row>
    <row r="390">
      <c r="A390" s="39">
        <f>IF('Additional Images'!B390 = "", "", IF('Additional Images-WUO_ERR'!A390 = "", "Validated", HYPERLINK("#" &amp; ADDRESS(390, 'Additional Images-WUO_TRK'!A390),_xlfn.TEXTAFTER('Additional Images-WUO_ERR'!A390, ":"))))</f>
        <v/>
      </c>
    </row>
    <row r="391">
      <c r="A391" s="39">
        <f>IF('Additional Images'!B391 = "", "", IF('Additional Images-WUO_ERR'!A391 = "", "Validated", HYPERLINK("#" &amp; ADDRESS(391, 'Additional Images-WUO_TRK'!A391),_xlfn.TEXTAFTER('Additional Images-WUO_ERR'!A391, ":"))))</f>
        <v/>
      </c>
    </row>
    <row r="392">
      <c r="A392" s="39">
        <f>IF('Additional Images'!B392 = "", "", IF('Additional Images-WUO_ERR'!A392 = "", "Validated", HYPERLINK("#" &amp; ADDRESS(392, 'Additional Images-WUO_TRK'!A392),_xlfn.TEXTAFTER('Additional Images-WUO_ERR'!A392, ":"))))</f>
        <v/>
      </c>
    </row>
    <row r="393">
      <c r="A393" s="39">
        <f>IF('Additional Images'!B393 = "", "", IF('Additional Images-WUO_ERR'!A393 = "", "Validated", HYPERLINK("#" &amp; ADDRESS(393, 'Additional Images-WUO_TRK'!A393),_xlfn.TEXTAFTER('Additional Images-WUO_ERR'!A393, ":"))))</f>
        <v/>
      </c>
    </row>
    <row r="394">
      <c r="A394" s="39">
        <f>IF('Additional Images'!B394 = "", "", IF('Additional Images-WUO_ERR'!A394 = "", "Validated", HYPERLINK("#" &amp; ADDRESS(394, 'Additional Images-WUO_TRK'!A394),_xlfn.TEXTAFTER('Additional Images-WUO_ERR'!A394, ":"))))</f>
        <v/>
      </c>
    </row>
    <row r="395">
      <c r="A395" s="39">
        <f>IF('Additional Images'!B395 = "", "", IF('Additional Images-WUO_ERR'!A395 = "", "Validated", HYPERLINK("#" &amp; ADDRESS(395, 'Additional Images-WUO_TRK'!A395),_xlfn.TEXTAFTER('Additional Images-WUO_ERR'!A395, ":"))))</f>
        <v/>
      </c>
    </row>
    <row r="396">
      <c r="A396" s="39">
        <f>IF('Additional Images'!B396 = "", "", IF('Additional Images-WUO_ERR'!A396 = "", "Validated", HYPERLINK("#" &amp; ADDRESS(396, 'Additional Images-WUO_TRK'!A396),_xlfn.TEXTAFTER('Additional Images-WUO_ERR'!A396, ":"))))</f>
        <v/>
      </c>
    </row>
    <row r="397">
      <c r="A397" s="39">
        <f>IF('Additional Images'!B397 = "", "", IF('Additional Images-WUO_ERR'!A397 = "", "Validated", HYPERLINK("#" &amp; ADDRESS(397, 'Additional Images-WUO_TRK'!A397),_xlfn.TEXTAFTER('Additional Images-WUO_ERR'!A397, ":"))))</f>
        <v/>
      </c>
    </row>
    <row r="398">
      <c r="A398" s="39">
        <f>IF('Additional Images'!B398 = "", "", IF('Additional Images-WUO_ERR'!A398 = "", "Validated", HYPERLINK("#" &amp; ADDRESS(398, 'Additional Images-WUO_TRK'!A398),_xlfn.TEXTAFTER('Additional Images-WUO_ERR'!A398, ":"))))</f>
        <v/>
      </c>
    </row>
    <row r="399">
      <c r="A399" s="39">
        <f>IF('Additional Images'!B399 = "", "", IF('Additional Images-WUO_ERR'!A399 = "", "Validated", HYPERLINK("#" &amp; ADDRESS(399, 'Additional Images-WUO_TRK'!A399),_xlfn.TEXTAFTER('Additional Images-WUO_ERR'!A399, ":"))))</f>
        <v/>
      </c>
    </row>
    <row r="400">
      <c r="A400" s="39">
        <f>IF('Additional Images'!B400 = "", "", IF('Additional Images-WUO_ERR'!A400 = "", "Validated", HYPERLINK("#" &amp; ADDRESS(400, 'Additional Images-WUO_TRK'!A400),_xlfn.TEXTAFTER('Additional Images-WUO_ERR'!A400, ":"))))</f>
        <v/>
      </c>
    </row>
    <row r="401">
      <c r="A401" s="39">
        <f>IF('Additional Images'!B401 = "", "", IF('Additional Images-WUO_ERR'!A401 = "", "Validated", HYPERLINK("#" &amp; ADDRESS(401, 'Additional Images-WUO_TRK'!A401),_xlfn.TEXTAFTER('Additional Images-WUO_ERR'!A401, ":"))))</f>
        <v/>
      </c>
    </row>
    <row r="402">
      <c r="A402" s="39">
        <f>IF('Additional Images'!B402 = "", "", IF('Additional Images-WUO_ERR'!A402 = "", "Validated", HYPERLINK("#" &amp; ADDRESS(402, 'Additional Images-WUO_TRK'!A402),_xlfn.TEXTAFTER('Additional Images-WUO_ERR'!A402, ":"))))</f>
        <v/>
      </c>
    </row>
    <row r="403">
      <c r="A403" s="39">
        <f>IF('Additional Images'!B403 = "", "", IF('Additional Images-WUO_ERR'!A403 = "", "Validated", HYPERLINK("#" &amp; ADDRESS(403, 'Additional Images-WUO_TRK'!A403),_xlfn.TEXTAFTER('Additional Images-WUO_ERR'!A403, ":"))))</f>
        <v/>
      </c>
    </row>
    <row r="404">
      <c r="A404" s="39">
        <f>IF('Additional Images'!B404 = "", "", IF('Additional Images-WUO_ERR'!A404 = "", "Validated", HYPERLINK("#" &amp; ADDRESS(404, 'Additional Images-WUO_TRK'!A404),_xlfn.TEXTAFTER('Additional Images-WUO_ERR'!A404, ":"))))</f>
        <v/>
      </c>
    </row>
    <row r="405">
      <c r="A405" s="39">
        <f>IF('Additional Images'!B405 = "", "", IF('Additional Images-WUO_ERR'!A405 = "", "Validated", HYPERLINK("#" &amp; ADDRESS(405, 'Additional Images-WUO_TRK'!A405),_xlfn.TEXTAFTER('Additional Images-WUO_ERR'!A405, ":"))))</f>
        <v/>
      </c>
    </row>
    <row r="406">
      <c r="A406" s="39">
        <f>IF('Additional Images'!B406 = "", "", IF('Additional Images-WUO_ERR'!A406 = "", "Validated", HYPERLINK("#" &amp; ADDRESS(406, 'Additional Images-WUO_TRK'!A406),_xlfn.TEXTAFTER('Additional Images-WUO_ERR'!A406, ":"))))</f>
        <v/>
      </c>
    </row>
    <row r="407">
      <c r="A407" s="39">
        <f>IF('Additional Images'!B407 = "", "", IF('Additional Images-WUO_ERR'!A407 = "", "Validated", HYPERLINK("#" &amp; ADDRESS(407, 'Additional Images-WUO_TRK'!A407),_xlfn.TEXTAFTER('Additional Images-WUO_ERR'!A407, ":"))))</f>
        <v/>
      </c>
    </row>
    <row r="408">
      <c r="A408" s="39">
        <f>IF('Additional Images'!B408 = "", "", IF('Additional Images-WUO_ERR'!A408 = "", "Validated", HYPERLINK("#" &amp; ADDRESS(408, 'Additional Images-WUO_TRK'!A408),_xlfn.TEXTAFTER('Additional Images-WUO_ERR'!A408, ":"))))</f>
        <v/>
      </c>
    </row>
    <row r="409">
      <c r="A409" s="39">
        <f>IF('Additional Images'!B409 = "", "", IF('Additional Images-WUO_ERR'!A409 = "", "Validated", HYPERLINK("#" &amp; ADDRESS(409, 'Additional Images-WUO_TRK'!A409),_xlfn.TEXTAFTER('Additional Images-WUO_ERR'!A409, ":"))))</f>
        <v/>
      </c>
    </row>
    <row r="410">
      <c r="A410" s="39">
        <f>IF('Additional Images'!B410 = "", "", IF('Additional Images-WUO_ERR'!A410 = "", "Validated", HYPERLINK("#" &amp; ADDRESS(410, 'Additional Images-WUO_TRK'!A410),_xlfn.TEXTAFTER('Additional Images-WUO_ERR'!A410, ":"))))</f>
        <v/>
      </c>
    </row>
    <row r="411">
      <c r="A411" s="39">
        <f>IF('Additional Images'!B411 = "", "", IF('Additional Images-WUO_ERR'!A411 = "", "Validated", HYPERLINK("#" &amp; ADDRESS(411, 'Additional Images-WUO_TRK'!A411),_xlfn.TEXTAFTER('Additional Images-WUO_ERR'!A411, ":"))))</f>
        <v/>
      </c>
    </row>
    <row r="412">
      <c r="A412" s="39">
        <f>IF('Additional Images'!B412 = "", "", IF('Additional Images-WUO_ERR'!A412 = "", "Validated", HYPERLINK("#" &amp; ADDRESS(412, 'Additional Images-WUO_TRK'!A412),_xlfn.TEXTAFTER('Additional Images-WUO_ERR'!A412, ":"))))</f>
        <v/>
      </c>
    </row>
    <row r="413">
      <c r="A413" s="39">
        <f>IF('Additional Images'!B413 = "", "", IF('Additional Images-WUO_ERR'!A413 = "", "Validated", HYPERLINK("#" &amp; ADDRESS(413, 'Additional Images-WUO_TRK'!A413),_xlfn.TEXTAFTER('Additional Images-WUO_ERR'!A413, ":"))))</f>
        <v/>
      </c>
    </row>
    <row r="414">
      <c r="A414" s="39">
        <f>IF('Additional Images'!B414 = "", "", IF('Additional Images-WUO_ERR'!A414 = "", "Validated", HYPERLINK("#" &amp; ADDRESS(414, 'Additional Images-WUO_TRK'!A414),_xlfn.TEXTAFTER('Additional Images-WUO_ERR'!A414, ":"))))</f>
        <v/>
      </c>
    </row>
    <row r="415">
      <c r="A415" s="39">
        <f>IF('Additional Images'!B415 = "", "", IF('Additional Images-WUO_ERR'!A415 = "", "Validated", HYPERLINK("#" &amp; ADDRESS(415, 'Additional Images-WUO_TRK'!A415),_xlfn.TEXTAFTER('Additional Images-WUO_ERR'!A415, ":"))))</f>
        <v/>
      </c>
    </row>
    <row r="416">
      <c r="A416" s="39">
        <f>IF('Additional Images'!B416 = "", "", IF('Additional Images-WUO_ERR'!A416 = "", "Validated", HYPERLINK("#" &amp; ADDRESS(416, 'Additional Images-WUO_TRK'!A416),_xlfn.TEXTAFTER('Additional Images-WUO_ERR'!A416, ":"))))</f>
        <v/>
      </c>
    </row>
    <row r="417">
      <c r="A417" s="39">
        <f>IF('Additional Images'!B417 = "", "", IF('Additional Images-WUO_ERR'!A417 = "", "Validated", HYPERLINK("#" &amp; ADDRESS(417, 'Additional Images-WUO_TRK'!A417),_xlfn.TEXTAFTER('Additional Images-WUO_ERR'!A417, ":"))))</f>
        <v/>
      </c>
    </row>
    <row r="418">
      <c r="A418" s="39">
        <f>IF('Additional Images'!B418 = "", "", IF('Additional Images-WUO_ERR'!A418 = "", "Validated", HYPERLINK("#" &amp; ADDRESS(418, 'Additional Images-WUO_TRK'!A418),_xlfn.TEXTAFTER('Additional Images-WUO_ERR'!A418, ":"))))</f>
        <v/>
      </c>
    </row>
    <row r="419">
      <c r="A419" s="39">
        <f>IF('Additional Images'!B419 = "", "", IF('Additional Images-WUO_ERR'!A419 = "", "Validated", HYPERLINK("#" &amp; ADDRESS(419, 'Additional Images-WUO_TRK'!A419),_xlfn.TEXTAFTER('Additional Images-WUO_ERR'!A419, ":"))))</f>
        <v/>
      </c>
    </row>
    <row r="420">
      <c r="A420" s="39">
        <f>IF('Additional Images'!B420 = "", "", IF('Additional Images-WUO_ERR'!A420 = "", "Validated", HYPERLINK("#" &amp; ADDRESS(420, 'Additional Images-WUO_TRK'!A420),_xlfn.TEXTAFTER('Additional Images-WUO_ERR'!A420, ":"))))</f>
        <v/>
      </c>
    </row>
    <row r="421">
      <c r="A421" s="39">
        <f>IF('Additional Images'!B421 = "", "", IF('Additional Images-WUO_ERR'!A421 = "", "Validated", HYPERLINK("#" &amp; ADDRESS(421, 'Additional Images-WUO_TRK'!A421),_xlfn.TEXTAFTER('Additional Images-WUO_ERR'!A421, ":"))))</f>
        <v/>
      </c>
    </row>
    <row r="422">
      <c r="A422" s="39">
        <f>IF('Additional Images'!B422 = "", "", IF('Additional Images-WUO_ERR'!A422 = "", "Validated", HYPERLINK("#" &amp; ADDRESS(422, 'Additional Images-WUO_TRK'!A422),_xlfn.TEXTAFTER('Additional Images-WUO_ERR'!A422, ":"))))</f>
        <v/>
      </c>
    </row>
    <row r="423">
      <c r="A423" s="39">
        <f>IF('Additional Images'!B423 = "", "", IF('Additional Images-WUO_ERR'!A423 = "", "Validated", HYPERLINK("#" &amp; ADDRESS(423, 'Additional Images-WUO_TRK'!A423),_xlfn.TEXTAFTER('Additional Images-WUO_ERR'!A423, ":"))))</f>
        <v/>
      </c>
    </row>
    <row r="424">
      <c r="A424" s="39">
        <f>IF('Additional Images'!B424 = "", "", IF('Additional Images-WUO_ERR'!A424 = "", "Validated", HYPERLINK("#" &amp; ADDRESS(424, 'Additional Images-WUO_TRK'!A424),_xlfn.TEXTAFTER('Additional Images-WUO_ERR'!A424, ":"))))</f>
        <v/>
      </c>
    </row>
    <row r="425">
      <c r="A425" s="39">
        <f>IF('Additional Images'!B425 = "", "", IF('Additional Images-WUO_ERR'!A425 = "", "Validated", HYPERLINK("#" &amp; ADDRESS(425, 'Additional Images-WUO_TRK'!A425),_xlfn.TEXTAFTER('Additional Images-WUO_ERR'!A425, ":"))))</f>
        <v/>
      </c>
    </row>
    <row r="426">
      <c r="A426" s="39">
        <f>IF('Additional Images'!B426 = "", "", IF('Additional Images-WUO_ERR'!A426 = "", "Validated", HYPERLINK("#" &amp; ADDRESS(426, 'Additional Images-WUO_TRK'!A426),_xlfn.TEXTAFTER('Additional Images-WUO_ERR'!A426, ":"))))</f>
        <v/>
      </c>
    </row>
    <row r="427">
      <c r="A427" s="39">
        <f>IF('Additional Images'!B427 = "", "", IF('Additional Images-WUO_ERR'!A427 = "", "Validated", HYPERLINK("#" &amp; ADDRESS(427, 'Additional Images-WUO_TRK'!A427),_xlfn.TEXTAFTER('Additional Images-WUO_ERR'!A427, ":"))))</f>
        <v/>
      </c>
    </row>
    <row r="428">
      <c r="A428" s="39">
        <f>IF('Additional Images'!B428 = "", "", IF('Additional Images-WUO_ERR'!A428 = "", "Validated", HYPERLINK("#" &amp; ADDRESS(428, 'Additional Images-WUO_TRK'!A428),_xlfn.TEXTAFTER('Additional Images-WUO_ERR'!A428, ":"))))</f>
        <v/>
      </c>
    </row>
    <row r="429">
      <c r="A429" s="39">
        <f>IF('Additional Images'!B429 = "", "", IF('Additional Images-WUO_ERR'!A429 = "", "Validated", HYPERLINK("#" &amp; ADDRESS(429, 'Additional Images-WUO_TRK'!A429),_xlfn.TEXTAFTER('Additional Images-WUO_ERR'!A429, ":"))))</f>
        <v/>
      </c>
    </row>
    <row r="430">
      <c r="A430" s="39">
        <f>IF('Additional Images'!B430 = "", "", IF('Additional Images-WUO_ERR'!A430 = "", "Validated", HYPERLINK("#" &amp; ADDRESS(430, 'Additional Images-WUO_TRK'!A430),_xlfn.TEXTAFTER('Additional Images-WUO_ERR'!A430, ":"))))</f>
        <v/>
      </c>
    </row>
    <row r="431">
      <c r="A431" s="39">
        <f>IF('Additional Images'!B431 = "", "", IF('Additional Images-WUO_ERR'!A431 = "", "Validated", HYPERLINK("#" &amp; ADDRESS(431, 'Additional Images-WUO_TRK'!A431),_xlfn.TEXTAFTER('Additional Images-WUO_ERR'!A431, ":"))))</f>
        <v/>
      </c>
    </row>
    <row r="432">
      <c r="A432" s="39">
        <f>IF('Additional Images'!B432 = "", "", IF('Additional Images-WUO_ERR'!A432 = "", "Validated", HYPERLINK("#" &amp; ADDRESS(432, 'Additional Images-WUO_TRK'!A432),_xlfn.TEXTAFTER('Additional Images-WUO_ERR'!A432, ":"))))</f>
        <v/>
      </c>
    </row>
    <row r="433">
      <c r="A433" s="39">
        <f>IF('Additional Images'!B433 = "", "", IF('Additional Images-WUO_ERR'!A433 = "", "Validated", HYPERLINK("#" &amp; ADDRESS(433, 'Additional Images-WUO_TRK'!A433),_xlfn.TEXTAFTER('Additional Images-WUO_ERR'!A433, ":"))))</f>
        <v/>
      </c>
    </row>
    <row r="434">
      <c r="A434" s="39">
        <f>IF('Additional Images'!B434 = "", "", IF('Additional Images-WUO_ERR'!A434 = "", "Validated", HYPERLINK("#" &amp; ADDRESS(434, 'Additional Images-WUO_TRK'!A434),_xlfn.TEXTAFTER('Additional Images-WUO_ERR'!A434, ":"))))</f>
        <v/>
      </c>
    </row>
    <row r="435">
      <c r="A435" s="39">
        <f>IF('Additional Images'!B435 = "", "", IF('Additional Images-WUO_ERR'!A435 = "", "Validated", HYPERLINK("#" &amp; ADDRESS(435, 'Additional Images-WUO_TRK'!A435),_xlfn.TEXTAFTER('Additional Images-WUO_ERR'!A435, ":"))))</f>
        <v/>
      </c>
    </row>
    <row r="436">
      <c r="A436" s="39">
        <f>IF('Additional Images'!B436 = "", "", IF('Additional Images-WUO_ERR'!A436 = "", "Validated", HYPERLINK("#" &amp; ADDRESS(436, 'Additional Images-WUO_TRK'!A436),_xlfn.TEXTAFTER('Additional Images-WUO_ERR'!A436, ":"))))</f>
        <v/>
      </c>
    </row>
    <row r="437">
      <c r="A437" s="39">
        <f>IF('Additional Images'!B437 = "", "", IF('Additional Images-WUO_ERR'!A437 = "", "Validated", HYPERLINK("#" &amp; ADDRESS(437, 'Additional Images-WUO_TRK'!A437),_xlfn.TEXTAFTER('Additional Images-WUO_ERR'!A437, ":"))))</f>
        <v/>
      </c>
    </row>
    <row r="438">
      <c r="A438" s="39">
        <f>IF('Additional Images'!B438 = "", "", IF('Additional Images-WUO_ERR'!A438 = "", "Validated", HYPERLINK("#" &amp; ADDRESS(438, 'Additional Images-WUO_TRK'!A438),_xlfn.TEXTAFTER('Additional Images-WUO_ERR'!A438, ":"))))</f>
        <v/>
      </c>
    </row>
    <row r="439">
      <c r="A439" s="39">
        <f>IF('Additional Images'!B439 = "", "", IF('Additional Images-WUO_ERR'!A439 = "", "Validated", HYPERLINK("#" &amp; ADDRESS(439, 'Additional Images-WUO_TRK'!A439),_xlfn.TEXTAFTER('Additional Images-WUO_ERR'!A439, ":"))))</f>
        <v/>
      </c>
    </row>
    <row r="440">
      <c r="A440" s="39">
        <f>IF('Additional Images'!B440 = "", "", IF('Additional Images-WUO_ERR'!A440 = "", "Validated", HYPERLINK("#" &amp; ADDRESS(440, 'Additional Images-WUO_TRK'!A440),_xlfn.TEXTAFTER('Additional Images-WUO_ERR'!A440, ":"))))</f>
        <v/>
      </c>
    </row>
    <row r="441">
      <c r="A441" s="39">
        <f>IF('Additional Images'!B441 = "", "", IF('Additional Images-WUO_ERR'!A441 = "", "Validated", HYPERLINK("#" &amp; ADDRESS(441, 'Additional Images-WUO_TRK'!A441),_xlfn.TEXTAFTER('Additional Images-WUO_ERR'!A441, ":"))))</f>
        <v/>
      </c>
    </row>
    <row r="442">
      <c r="A442" s="39">
        <f>IF('Additional Images'!B442 = "", "", IF('Additional Images-WUO_ERR'!A442 = "", "Validated", HYPERLINK("#" &amp; ADDRESS(442, 'Additional Images-WUO_TRK'!A442),_xlfn.TEXTAFTER('Additional Images-WUO_ERR'!A442, ":"))))</f>
        <v/>
      </c>
    </row>
    <row r="443">
      <c r="A443" s="39">
        <f>IF('Additional Images'!B443 = "", "", IF('Additional Images-WUO_ERR'!A443 = "", "Validated", HYPERLINK("#" &amp; ADDRESS(443, 'Additional Images-WUO_TRK'!A443),_xlfn.TEXTAFTER('Additional Images-WUO_ERR'!A443, ":"))))</f>
        <v/>
      </c>
    </row>
    <row r="444">
      <c r="A444" s="39">
        <f>IF('Additional Images'!B444 = "", "", IF('Additional Images-WUO_ERR'!A444 = "", "Validated", HYPERLINK("#" &amp; ADDRESS(444, 'Additional Images-WUO_TRK'!A444),_xlfn.TEXTAFTER('Additional Images-WUO_ERR'!A444, ":"))))</f>
        <v/>
      </c>
    </row>
    <row r="445">
      <c r="A445" s="39">
        <f>IF('Additional Images'!B445 = "", "", IF('Additional Images-WUO_ERR'!A445 = "", "Validated", HYPERLINK("#" &amp; ADDRESS(445, 'Additional Images-WUO_TRK'!A445),_xlfn.TEXTAFTER('Additional Images-WUO_ERR'!A445, ":"))))</f>
        <v/>
      </c>
    </row>
    <row r="446">
      <c r="A446" s="39">
        <f>IF('Additional Images'!B446 = "", "", IF('Additional Images-WUO_ERR'!A446 = "", "Validated", HYPERLINK("#" &amp; ADDRESS(446, 'Additional Images-WUO_TRK'!A446),_xlfn.TEXTAFTER('Additional Images-WUO_ERR'!A446, ":"))))</f>
        <v/>
      </c>
    </row>
    <row r="447">
      <c r="A447" s="39">
        <f>IF('Additional Images'!B447 = "", "", IF('Additional Images-WUO_ERR'!A447 = "", "Validated", HYPERLINK("#" &amp; ADDRESS(447, 'Additional Images-WUO_TRK'!A447),_xlfn.TEXTAFTER('Additional Images-WUO_ERR'!A447, ":"))))</f>
        <v/>
      </c>
    </row>
    <row r="448">
      <c r="A448" s="39">
        <f>IF('Additional Images'!B448 = "", "", IF('Additional Images-WUO_ERR'!A448 = "", "Validated", HYPERLINK("#" &amp; ADDRESS(448, 'Additional Images-WUO_TRK'!A448),_xlfn.TEXTAFTER('Additional Images-WUO_ERR'!A448, ":"))))</f>
        <v/>
      </c>
    </row>
    <row r="449">
      <c r="A449" s="39">
        <f>IF('Additional Images'!B449 = "", "", IF('Additional Images-WUO_ERR'!A449 = "", "Validated", HYPERLINK("#" &amp; ADDRESS(449, 'Additional Images-WUO_TRK'!A449),_xlfn.TEXTAFTER('Additional Images-WUO_ERR'!A449, ":"))))</f>
        <v/>
      </c>
    </row>
    <row r="450">
      <c r="A450" s="39">
        <f>IF('Additional Images'!B450 = "", "", IF('Additional Images-WUO_ERR'!A450 = "", "Validated", HYPERLINK("#" &amp; ADDRESS(450, 'Additional Images-WUO_TRK'!A450),_xlfn.TEXTAFTER('Additional Images-WUO_ERR'!A450, ":"))))</f>
        <v/>
      </c>
    </row>
    <row r="451">
      <c r="A451" s="39">
        <f>IF('Additional Images'!B451 = "", "", IF('Additional Images-WUO_ERR'!A451 = "", "Validated", HYPERLINK("#" &amp; ADDRESS(451, 'Additional Images-WUO_TRK'!A451),_xlfn.TEXTAFTER('Additional Images-WUO_ERR'!A451, ":"))))</f>
        <v/>
      </c>
    </row>
    <row r="452">
      <c r="A452" s="39">
        <f>IF('Additional Images'!B452 = "", "", IF('Additional Images-WUO_ERR'!A452 = "", "Validated", HYPERLINK("#" &amp; ADDRESS(452, 'Additional Images-WUO_TRK'!A452),_xlfn.TEXTAFTER('Additional Images-WUO_ERR'!A452, ":"))))</f>
        <v/>
      </c>
    </row>
    <row r="453">
      <c r="A453" s="39">
        <f>IF('Additional Images'!B453 = "", "", IF('Additional Images-WUO_ERR'!A453 = "", "Validated", HYPERLINK("#" &amp; ADDRESS(453, 'Additional Images-WUO_TRK'!A453),_xlfn.TEXTAFTER('Additional Images-WUO_ERR'!A453, ":"))))</f>
        <v/>
      </c>
    </row>
    <row r="454">
      <c r="A454" s="39">
        <f>IF('Additional Images'!B454 = "", "", IF('Additional Images-WUO_ERR'!A454 = "", "Validated", HYPERLINK("#" &amp; ADDRESS(454, 'Additional Images-WUO_TRK'!A454),_xlfn.TEXTAFTER('Additional Images-WUO_ERR'!A454, ":"))))</f>
        <v/>
      </c>
    </row>
    <row r="455">
      <c r="A455" s="39">
        <f>IF('Additional Images'!B455 = "", "", IF('Additional Images-WUO_ERR'!A455 = "", "Validated", HYPERLINK("#" &amp; ADDRESS(455, 'Additional Images-WUO_TRK'!A455),_xlfn.TEXTAFTER('Additional Images-WUO_ERR'!A455, ":"))))</f>
        <v/>
      </c>
    </row>
    <row r="456">
      <c r="A456" s="39">
        <f>IF('Additional Images'!B456 = "", "", IF('Additional Images-WUO_ERR'!A456 = "", "Validated", HYPERLINK("#" &amp; ADDRESS(456, 'Additional Images-WUO_TRK'!A456),_xlfn.TEXTAFTER('Additional Images-WUO_ERR'!A456, ":"))))</f>
        <v/>
      </c>
    </row>
    <row r="457">
      <c r="A457" s="39">
        <f>IF('Additional Images'!B457 = "", "", IF('Additional Images-WUO_ERR'!A457 = "", "Validated", HYPERLINK("#" &amp; ADDRESS(457, 'Additional Images-WUO_TRK'!A457),_xlfn.TEXTAFTER('Additional Images-WUO_ERR'!A457, ":"))))</f>
        <v/>
      </c>
    </row>
    <row r="458">
      <c r="A458" s="39">
        <f>IF('Additional Images'!B458 = "", "", IF('Additional Images-WUO_ERR'!A458 = "", "Validated", HYPERLINK("#" &amp; ADDRESS(458, 'Additional Images-WUO_TRK'!A458),_xlfn.TEXTAFTER('Additional Images-WUO_ERR'!A458, ":"))))</f>
        <v/>
      </c>
    </row>
    <row r="459">
      <c r="A459" s="39">
        <f>IF('Additional Images'!B459 = "", "", IF('Additional Images-WUO_ERR'!A459 = "", "Validated", HYPERLINK("#" &amp; ADDRESS(459, 'Additional Images-WUO_TRK'!A459),_xlfn.TEXTAFTER('Additional Images-WUO_ERR'!A459, ":"))))</f>
        <v/>
      </c>
    </row>
    <row r="460">
      <c r="A460" s="39">
        <f>IF('Additional Images'!B460 = "", "", IF('Additional Images-WUO_ERR'!A460 = "", "Validated", HYPERLINK("#" &amp; ADDRESS(460, 'Additional Images-WUO_TRK'!A460),_xlfn.TEXTAFTER('Additional Images-WUO_ERR'!A460, ":"))))</f>
        <v/>
      </c>
    </row>
    <row r="461">
      <c r="A461" s="39">
        <f>IF('Additional Images'!B461 = "", "", IF('Additional Images-WUO_ERR'!A461 = "", "Validated", HYPERLINK("#" &amp; ADDRESS(461, 'Additional Images-WUO_TRK'!A461),_xlfn.TEXTAFTER('Additional Images-WUO_ERR'!A461, ":"))))</f>
        <v/>
      </c>
    </row>
    <row r="462">
      <c r="A462" s="39">
        <f>IF('Additional Images'!B462 = "", "", IF('Additional Images-WUO_ERR'!A462 = "", "Validated", HYPERLINK("#" &amp; ADDRESS(462, 'Additional Images-WUO_TRK'!A462),_xlfn.TEXTAFTER('Additional Images-WUO_ERR'!A462, ":"))))</f>
        <v/>
      </c>
    </row>
    <row r="463">
      <c r="A463" s="39">
        <f>IF('Additional Images'!B463 = "", "", IF('Additional Images-WUO_ERR'!A463 = "", "Validated", HYPERLINK("#" &amp; ADDRESS(463, 'Additional Images-WUO_TRK'!A463),_xlfn.TEXTAFTER('Additional Images-WUO_ERR'!A463, ":"))))</f>
        <v/>
      </c>
    </row>
    <row r="464">
      <c r="A464" s="39">
        <f>IF('Additional Images'!B464 = "", "", IF('Additional Images-WUO_ERR'!A464 = "", "Validated", HYPERLINK("#" &amp; ADDRESS(464, 'Additional Images-WUO_TRK'!A464),_xlfn.TEXTAFTER('Additional Images-WUO_ERR'!A464, ":"))))</f>
        <v/>
      </c>
    </row>
    <row r="465">
      <c r="A465" s="39">
        <f>IF('Additional Images'!B465 = "", "", IF('Additional Images-WUO_ERR'!A465 = "", "Validated", HYPERLINK("#" &amp; ADDRESS(465, 'Additional Images-WUO_TRK'!A465),_xlfn.TEXTAFTER('Additional Images-WUO_ERR'!A465, ":"))))</f>
        <v/>
      </c>
    </row>
    <row r="466">
      <c r="A466" s="39">
        <f>IF('Additional Images'!B466 = "", "", IF('Additional Images-WUO_ERR'!A466 = "", "Validated", HYPERLINK("#" &amp; ADDRESS(466, 'Additional Images-WUO_TRK'!A466),_xlfn.TEXTAFTER('Additional Images-WUO_ERR'!A466, ":"))))</f>
        <v/>
      </c>
    </row>
    <row r="467">
      <c r="A467" s="39">
        <f>IF('Additional Images'!B467 = "", "", IF('Additional Images-WUO_ERR'!A467 = "", "Validated", HYPERLINK("#" &amp; ADDRESS(467, 'Additional Images-WUO_TRK'!A467),_xlfn.TEXTAFTER('Additional Images-WUO_ERR'!A467, ":"))))</f>
        <v/>
      </c>
    </row>
    <row r="468">
      <c r="A468" s="39">
        <f>IF('Additional Images'!B468 = "", "", IF('Additional Images-WUO_ERR'!A468 = "", "Validated", HYPERLINK("#" &amp; ADDRESS(468, 'Additional Images-WUO_TRK'!A468),_xlfn.TEXTAFTER('Additional Images-WUO_ERR'!A468, ":"))))</f>
        <v/>
      </c>
    </row>
    <row r="469">
      <c r="A469" s="39">
        <f>IF('Additional Images'!B469 = "", "", IF('Additional Images-WUO_ERR'!A469 = "", "Validated", HYPERLINK("#" &amp; ADDRESS(469, 'Additional Images-WUO_TRK'!A469),_xlfn.TEXTAFTER('Additional Images-WUO_ERR'!A469, ":"))))</f>
        <v/>
      </c>
    </row>
    <row r="470">
      <c r="A470" s="39">
        <f>IF('Additional Images'!B470 = "", "", IF('Additional Images-WUO_ERR'!A470 = "", "Validated", HYPERLINK("#" &amp; ADDRESS(470, 'Additional Images-WUO_TRK'!A470),_xlfn.TEXTAFTER('Additional Images-WUO_ERR'!A470, ":"))))</f>
        <v/>
      </c>
    </row>
    <row r="471">
      <c r="A471" s="39">
        <f>IF('Additional Images'!B471 = "", "", IF('Additional Images-WUO_ERR'!A471 = "", "Validated", HYPERLINK("#" &amp; ADDRESS(471, 'Additional Images-WUO_TRK'!A471),_xlfn.TEXTAFTER('Additional Images-WUO_ERR'!A471, ":"))))</f>
        <v/>
      </c>
    </row>
    <row r="472">
      <c r="A472" s="39">
        <f>IF('Additional Images'!B472 = "", "", IF('Additional Images-WUO_ERR'!A472 = "", "Validated", HYPERLINK("#" &amp; ADDRESS(472, 'Additional Images-WUO_TRK'!A472),_xlfn.TEXTAFTER('Additional Images-WUO_ERR'!A472, ":"))))</f>
        <v/>
      </c>
    </row>
    <row r="473">
      <c r="A473" s="39">
        <f>IF('Additional Images'!B473 = "", "", IF('Additional Images-WUO_ERR'!A473 = "", "Validated", HYPERLINK("#" &amp; ADDRESS(473, 'Additional Images-WUO_TRK'!A473),_xlfn.TEXTAFTER('Additional Images-WUO_ERR'!A473, ":"))))</f>
        <v/>
      </c>
    </row>
    <row r="474">
      <c r="A474" s="39">
        <f>IF('Additional Images'!B474 = "", "", IF('Additional Images-WUO_ERR'!A474 = "", "Validated", HYPERLINK("#" &amp; ADDRESS(474, 'Additional Images-WUO_TRK'!A474),_xlfn.TEXTAFTER('Additional Images-WUO_ERR'!A474, ":"))))</f>
        <v/>
      </c>
    </row>
    <row r="475">
      <c r="A475" s="39">
        <f>IF('Additional Images'!B475 = "", "", IF('Additional Images-WUO_ERR'!A475 = "", "Validated", HYPERLINK("#" &amp; ADDRESS(475, 'Additional Images-WUO_TRK'!A475),_xlfn.TEXTAFTER('Additional Images-WUO_ERR'!A475, ":"))))</f>
        <v/>
      </c>
    </row>
    <row r="476">
      <c r="A476" s="39">
        <f>IF('Additional Images'!B476 = "", "", IF('Additional Images-WUO_ERR'!A476 = "", "Validated", HYPERLINK("#" &amp; ADDRESS(476, 'Additional Images-WUO_TRK'!A476),_xlfn.TEXTAFTER('Additional Images-WUO_ERR'!A476, ":"))))</f>
        <v/>
      </c>
    </row>
    <row r="477">
      <c r="A477" s="39">
        <f>IF('Additional Images'!B477 = "", "", IF('Additional Images-WUO_ERR'!A477 = "", "Validated", HYPERLINK("#" &amp; ADDRESS(477, 'Additional Images-WUO_TRK'!A477),_xlfn.TEXTAFTER('Additional Images-WUO_ERR'!A477, ":"))))</f>
        <v/>
      </c>
    </row>
    <row r="478">
      <c r="A478" s="39">
        <f>IF('Additional Images'!B478 = "", "", IF('Additional Images-WUO_ERR'!A478 = "", "Validated", HYPERLINK("#" &amp; ADDRESS(478, 'Additional Images-WUO_TRK'!A478),_xlfn.TEXTAFTER('Additional Images-WUO_ERR'!A478, ":"))))</f>
        <v/>
      </c>
    </row>
    <row r="479">
      <c r="A479" s="39">
        <f>IF('Additional Images'!B479 = "", "", IF('Additional Images-WUO_ERR'!A479 = "", "Validated", HYPERLINK("#" &amp; ADDRESS(479, 'Additional Images-WUO_TRK'!A479),_xlfn.TEXTAFTER('Additional Images-WUO_ERR'!A479, ":"))))</f>
        <v/>
      </c>
    </row>
    <row r="480">
      <c r="A480" s="39">
        <f>IF('Additional Images'!B480 = "", "", IF('Additional Images-WUO_ERR'!A480 = "", "Validated", HYPERLINK("#" &amp; ADDRESS(480, 'Additional Images-WUO_TRK'!A480),_xlfn.TEXTAFTER('Additional Images-WUO_ERR'!A480, ":"))))</f>
        <v/>
      </c>
    </row>
    <row r="481">
      <c r="A481" s="39">
        <f>IF('Additional Images'!B481 = "", "", IF('Additional Images-WUO_ERR'!A481 = "", "Validated", HYPERLINK("#" &amp; ADDRESS(481, 'Additional Images-WUO_TRK'!A481),_xlfn.TEXTAFTER('Additional Images-WUO_ERR'!A481, ":"))))</f>
        <v/>
      </c>
    </row>
    <row r="482">
      <c r="A482" s="39">
        <f>IF('Additional Images'!B482 = "", "", IF('Additional Images-WUO_ERR'!A482 = "", "Validated", HYPERLINK("#" &amp; ADDRESS(482, 'Additional Images-WUO_TRK'!A482),_xlfn.TEXTAFTER('Additional Images-WUO_ERR'!A482, ":"))))</f>
        <v/>
      </c>
    </row>
    <row r="483">
      <c r="A483" s="39">
        <f>IF('Additional Images'!B483 = "", "", IF('Additional Images-WUO_ERR'!A483 = "", "Validated", HYPERLINK("#" &amp; ADDRESS(483, 'Additional Images-WUO_TRK'!A483),_xlfn.TEXTAFTER('Additional Images-WUO_ERR'!A483, ":"))))</f>
        <v/>
      </c>
    </row>
    <row r="484">
      <c r="A484" s="39">
        <f>IF('Additional Images'!B484 = "", "", IF('Additional Images-WUO_ERR'!A484 = "", "Validated", HYPERLINK("#" &amp; ADDRESS(484, 'Additional Images-WUO_TRK'!A484),_xlfn.TEXTAFTER('Additional Images-WUO_ERR'!A484, ":"))))</f>
        <v/>
      </c>
    </row>
    <row r="485">
      <c r="A485" s="39">
        <f>IF('Additional Images'!B485 = "", "", IF('Additional Images-WUO_ERR'!A485 = "", "Validated", HYPERLINK("#" &amp; ADDRESS(485, 'Additional Images-WUO_TRK'!A485),_xlfn.TEXTAFTER('Additional Images-WUO_ERR'!A485, ":"))))</f>
        <v/>
      </c>
    </row>
    <row r="486">
      <c r="A486" s="39">
        <f>IF('Additional Images'!B486 = "", "", IF('Additional Images-WUO_ERR'!A486 = "", "Validated", HYPERLINK("#" &amp; ADDRESS(486, 'Additional Images-WUO_TRK'!A486),_xlfn.TEXTAFTER('Additional Images-WUO_ERR'!A486, ":"))))</f>
        <v/>
      </c>
    </row>
    <row r="487">
      <c r="A487" s="39">
        <f>IF('Additional Images'!B487 = "", "", IF('Additional Images-WUO_ERR'!A487 = "", "Validated", HYPERLINK("#" &amp; ADDRESS(487, 'Additional Images-WUO_TRK'!A487),_xlfn.TEXTAFTER('Additional Images-WUO_ERR'!A487, ":"))))</f>
        <v/>
      </c>
    </row>
    <row r="488">
      <c r="A488" s="39">
        <f>IF('Additional Images'!B488 = "", "", IF('Additional Images-WUO_ERR'!A488 = "", "Validated", HYPERLINK("#" &amp; ADDRESS(488, 'Additional Images-WUO_TRK'!A488),_xlfn.TEXTAFTER('Additional Images-WUO_ERR'!A488, ":"))))</f>
        <v/>
      </c>
    </row>
    <row r="489">
      <c r="A489" s="39">
        <f>IF('Additional Images'!B489 = "", "", IF('Additional Images-WUO_ERR'!A489 = "", "Validated", HYPERLINK("#" &amp; ADDRESS(489, 'Additional Images-WUO_TRK'!A489),_xlfn.TEXTAFTER('Additional Images-WUO_ERR'!A489, ":"))))</f>
        <v/>
      </c>
    </row>
    <row r="490">
      <c r="A490" s="39">
        <f>IF('Additional Images'!B490 = "", "", IF('Additional Images-WUO_ERR'!A490 = "", "Validated", HYPERLINK("#" &amp; ADDRESS(490, 'Additional Images-WUO_TRK'!A490),_xlfn.TEXTAFTER('Additional Images-WUO_ERR'!A490, ":"))))</f>
        <v/>
      </c>
    </row>
    <row r="491">
      <c r="A491" s="39">
        <f>IF('Additional Images'!B491 = "", "", IF('Additional Images-WUO_ERR'!A491 = "", "Validated", HYPERLINK("#" &amp; ADDRESS(491, 'Additional Images-WUO_TRK'!A491),_xlfn.TEXTAFTER('Additional Images-WUO_ERR'!A491, ":"))))</f>
        <v/>
      </c>
    </row>
    <row r="492">
      <c r="A492" s="39">
        <f>IF('Additional Images'!B492 = "", "", IF('Additional Images-WUO_ERR'!A492 = "", "Validated", HYPERLINK("#" &amp; ADDRESS(492, 'Additional Images-WUO_TRK'!A492),_xlfn.TEXTAFTER('Additional Images-WUO_ERR'!A492, ":"))))</f>
        <v/>
      </c>
    </row>
    <row r="493">
      <c r="A493" s="39">
        <f>IF('Additional Images'!B493 = "", "", IF('Additional Images-WUO_ERR'!A493 = "", "Validated", HYPERLINK("#" &amp; ADDRESS(493, 'Additional Images-WUO_TRK'!A493),_xlfn.TEXTAFTER('Additional Images-WUO_ERR'!A493, ":"))))</f>
        <v/>
      </c>
    </row>
    <row r="494">
      <c r="A494" s="39">
        <f>IF('Additional Images'!B494 = "", "", IF('Additional Images-WUO_ERR'!A494 = "", "Validated", HYPERLINK("#" &amp; ADDRESS(494, 'Additional Images-WUO_TRK'!A494),_xlfn.TEXTAFTER('Additional Images-WUO_ERR'!A494, ":"))))</f>
        <v/>
      </c>
    </row>
    <row r="495">
      <c r="A495" s="39">
        <f>IF('Additional Images'!B495 = "", "", IF('Additional Images-WUO_ERR'!A495 = "", "Validated", HYPERLINK("#" &amp; ADDRESS(495, 'Additional Images-WUO_TRK'!A495),_xlfn.TEXTAFTER('Additional Images-WUO_ERR'!A495, ":"))))</f>
        <v/>
      </c>
    </row>
    <row r="496">
      <c r="A496" s="39">
        <f>IF('Additional Images'!B496 = "", "", IF('Additional Images-WUO_ERR'!A496 = "", "Validated", HYPERLINK("#" &amp; ADDRESS(496, 'Additional Images-WUO_TRK'!A496),_xlfn.TEXTAFTER('Additional Images-WUO_ERR'!A496, ":"))))</f>
        <v/>
      </c>
    </row>
    <row r="497">
      <c r="A497" s="39">
        <f>IF('Additional Images'!B497 = "", "", IF('Additional Images-WUO_ERR'!A497 = "", "Validated", HYPERLINK("#" &amp; ADDRESS(497, 'Additional Images-WUO_TRK'!A497),_xlfn.TEXTAFTER('Additional Images-WUO_ERR'!A497, ":"))))</f>
        <v/>
      </c>
    </row>
    <row r="498">
      <c r="A498" s="39">
        <f>IF('Additional Images'!B498 = "", "", IF('Additional Images-WUO_ERR'!A498 = "", "Validated", HYPERLINK("#" &amp; ADDRESS(498, 'Additional Images-WUO_TRK'!A498),_xlfn.TEXTAFTER('Additional Images-WUO_ERR'!A498, ":"))))</f>
        <v/>
      </c>
    </row>
    <row r="499">
      <c r="A499" s="39">
        <f>IF('Additional Images'!B499 = "", "", IF('Additional Images-WUO_ERR'!A499 = "", "Validated", HYPERLINK("#" &amp; ADDRESS(499, 'Additional Images-WUO_TRK'!A499),_xlfn.TEXTAFTER('Additional Images-WUO_ERR'!A499, ":"))))</f>
        <v/>
      </c>
    </row>
    <row r="500">
      <c r="A500" s="39">
        <f>IF('Additional Images'!B500 = "", "", IF('Additional Images-WUO_ERR'!A500 = "", "Validated", HYPERLINK("#" &amp; ADDRESS(500, 'Additional Images-WUO_TRK'!A500),_xlfn.TEXTAFTER('Additional Images-WUO_ERR'!A500, ":"))))</f>
        <v/>
      </c>
    </row>
    <row r="501">
      <c r="A501" s="39">
        <f>IF('Additional Images'!B501 = "", "", IF('Additional Images-WUO_ERR'!A501 = "", "Validated", HYPERLINK("#" &amp; ADDRESS(501, 'Additional Images-WUO_TRK'!A501),_xlfn.TEXTAFTER('Additional Images-WUO_ERR'!A501, ":"))))</f>
        <v/>
      </c>
    </row>
    <row r="502">
      <c r="A502" s="39">
        <f>IF('Additional Images'!B502 = "", "", IF('Additional Images-WUO_ERR'!A502 = "", "Validated", HYPERLINK("#" &amp; ADDRESS(502, 'Additional Images-WUO_TRK'!A502),_xlfn.TEXTAFTER('Additional Images-WUO_ERR'!A502, ":"))))</f>
        <v/>
      </c>
    </row>
    <row r="503">
      <c r="A503" s="39">
        <f>IF('Additional Images'!B503 = "", "", IF('Additional Images-WUO_ERR'!A503 = "", "Validated", HYPERLINK("#" &amp; ADDRESS(503, 'Additional Images-WUO_TRK'!A503),_xlfn.TEXTAFTER('Additional Images-WUO_ERR'!A503, ":"))))</f>
        <v/>
      </c>
    </row>
    <row r="504">
      <c r="A504" s="39">
        <f>IF('Additional Images'!B504 = "", "", IF('Additional Images-WUO_ERR'!A504 = "", "Validated", HYPERLINK("#" &amp; ADDRESS(504, 'Additional Images-WUO_TRK'!A504),_xlfn.TEXTAFTER('Additional Images-WUO_ERR'!A504, ":"))))</f>
        <v/>
      </c>
    </row>
    <row r="505">
      <c r="A505" s="39">
        <f>IF('Additional Images'!B505 = "", "", IF('Additional Images-WUO_ERR'!A505 = "", "Validated", HYPERLINK("#" &amp; ADDRESS(505, 'Additional Images-WUO_TRK'!A505),_xlfn.TEXTAFTER('Additional Images-WUO_ERR'!A505, ":"))))</f>
        <v/>
      </c>
    </row>
    <row r="506">
      <c r="A506" s="39">
        <f>IF('Additional Images'!B506 = "", "", IF('Additional Images-WUO_ERR'!A506 = "", "Validated", HYPERLINK("#" &amp; ADDRESS(506, 'Additional Images-WUO_TRK'!A506),_xlfn.TEXTAFTER('Additional Images-WUO_ERR'!A506, ":"))))</f>
        <v/>
      </c>
    </row>
    <row r="507">
      <c r="A507" s="39">
        <f>IF('Additional Images'!B507 = "", "", IF('Additional Images-WUO_ERR'!A507 = "", "Validated", HYPERLINK("#" &amp; ADDRESS(507, 'Additional Images-WUO_TRK'!A507),_xlfn.TEXTAFTER('Additional Images-WUO_ERR'!A507, ":"))))</f>
        <v/>
      </c>
    </row>
  </sheetData>
  <sheetProtection selectLockedCells="0" selectUnlockedCells="0" sheet="1" objects="1" insertRows="1" insertHyperlinks="1" autoFilter="1" scenarios="1" formatColumns="0" deleteColumns="1" insertColumns="1" pivotTables="1" deleteRows="1" formatCells="1" formatRows="0" sort="1" password="84FB"/>
  <conditionalFormatting sqref="A7:A50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50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dataValidations count="1">
    <dataValidation sqref="C7:C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2" t="inlineStr">
        <is>
          <t>Required</t>
        </is>
      </c>
      <c r="C3" s="32" t="inlineStr">
        <is>
          <t>Additional</t>
        </is>
      </c>
    </row>
    <row r="4" ht="50" customHeight="1">
      <c r="B4" s="19" t="inlineStr">
        <is>
          <t>Supplier Part Number</t>
        </is>
      </c>
      <c r="C4" s="19" t="inlineStr">
        <is>
          <t>Image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5" t="inlineStr">
        <is>
          <t>Text</t>
        </is>
      </c>
      <c r="C6" s="35"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Images'!B7:B507, 'Additional Images'!B7:B507,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Images'!B7:B507, 'Additional Images'!C7:C507,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2" t="inlineStr">
        <is>
          <t>Required</t>
        </is>
      </c>
      <c r="C3" s="32" t="inlineStr">
        <is>
          <t>Additional</t>
        </is>
      </c>
    </row>
    <row r="4" ht="50" customHeight="1">
      <c r="B4" s="19" t="inlineStr">
        <is>
          <t>Supplier Part Number</t>
        </is>
      </c>
      <c r="C4" s="19" t="inlineStr">
        <is>
          <t>Image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5" t="inlineStr">
        <is>
          <t>Text</t>
        </is>
      </c>
      <c r="C6" s="35"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Images'!B7:B507, 'Additional Images'!B7:B507, 'Additional Images-WUO_ERR'!B7:B507, _xlfn.LAMBDA(_xlpm.part, _xlpm.val, _xlpm.error, IF(_xlpm.part = "", "", IF(LEN(_xlpm.error), _xlfn.SWITCH(IFERROR(_xlfn.TEXTBEFORE(_xlpm.error,":"), ""), "1", "Error", "2", "Disabled", "3", "Required", "4", "Warning", "Valid"), "Valid"))))</f>
        <v/>
      </c>
      <c r="C7" s="22">
        <f t="array" ref="C7">_xlfn.MAP('Additional Images'!B7:B507, 'Additional Images'!C7:C507, 'Additional Images-WUO_ERR'!C7:C507,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width="13" customWidth="1" min="26" max="26"/>
  </cols>
  <sheetData>
    <row r="1" hidden="1">
      <c r="B1" s="22" t="inlineStr">
        <is>
          <t>core::supplierPartNumber</t>
        </is>
      </c>
      <c r="C1" s="22" t="inlineStr">
        <is>
          <t>media::videoValue</t>
        </is>
      </c>
    </row>
    <row r="2">
      <c r="B2" s="23" t="inlineStr">
        <is>
          <t>Basic Information</t>
        </is>
      </c>
      <c r="C2" s="30" t="inlineStr">
        <is>
          <t>Media</t>
        </is>
      </c>
    </row>
    <row r="3">
      <c r="B3" s="32" t="inlineStr">
        <is>
          <t>Required</t>
        </is>
      </c>
      <c r="C3" s="32" t="inlineStr">
        <is>
          <t>Additional</t>
        </is>
      </c>
    </row>
    <row r="4" ht="50" customHeight="1">
      <c r="A4" s="19" t="inlineStr">
        <is>
          <t>Errors</t>
        </is>
      </c>
      <c r="B4" s="19" t="inlineStr">
        <is>
          <t>Supplier Part Number</t>
        </is>
      </c>
      <c r="C4" s="19" t="inlineStr">
        <is>
          <t>Video File Name or URL</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A6" s="35" t="inlineStr">
        <is>
          <t>Read-Only</t>
        </is>
      </c>
      <c r="B6" s="35" t="inlineStr">
        <is>
          <t>Text</t>
        </is>
      </c>
      <c r="C6" s="35" t="inlineStr">
        <is>
          <t>Text</t>
        </is>
      </c>
    </row>
    <row r="7">
      <c r="A7" s="39">
        <f>IF('Additional Videos'!B7 = "", "", IF('Additional Videos-WUO_ERR'!A7 = "", "Validated", HYPERLINK("#" &amp; ADDRESS(7, 'Additional Videos-WUO_TRK'!A7),_xlfn.TEXTAFTER('Additional Videos-WUO_ERR'!A7,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Videos'!B8 = "", "", IF('Additional Videos-WUO_ERR'!A8 = "", "Validated", HYPERLINK("#" &amp; ADDRESS(8, 'Additional Videos-WUO_TRK'!A8),_xlfn.TEXTAFTER('Additional Videos-WUO_ERR'!A8, ":"))))</f>
        <v/>
      </c>
    </row>
    <row r="9">
      <c r="A9" s="39">
        <f>IF('Additional Videos'!B9 = "", "", IF('Additional Videos-WUO_ERR'!A9 = "", "Validated", HYPERLINK("#" &amp; ADDRESS(9, 'Additional Videos-WUO_TRK'!A9),_xlfn.TEXTAFTER('Additional Videos-WUO_ERR'!A9, ":"))))</f>
        <v/>
      </c>
    </row>
    <row r="10">
      <c r="A10" s="39">
        <f>IF('Additional Videos'!B10 = "", "", IF('Additional Videos-WUO_ERR'!A10 = "", "Validated", HYPERLINK("#" &amp; ADDRESS(10, 'Additional Videos-WUO_TRK'!A10),_xlfn.TEXTAFTER('Additional Videos-WUO_ERR'!A10, ":"))))</f>
        <v/>
      </c>
    </row>
    <row r="11">
      <c r="A11" s="39">
        <f>IF('Additional Videos'!B11 = "", "", IF('Additional Videos-WUO_ERR'!A11 = "", "Validated", HYPERLINK("#" &amp; ADDRESS(11, 'Additional Videos-WUO_TRK'!A11),_xlfn.TEXTAFTER('Additional Videos-WUO_ERR'!A11, ":"))))</f>
        <v/>
      </c>
    </row>
    <row r="12">
      <c r="A12" s="39">
        <f>IF('Additional Videos'!B12 = "", "", IF('Additional Videos-WUO_ERR'!A12 = "", "Validated", HYPERLINK("#" &amp; ADDRESS(12, 'Additional Videos-WUO_TRK'!A12),_xlfn.TEXTAFTER('Additional Videos-WUO_ERR'!A12, ":"))))</f>
        <v/>
      </c>
    </row>
    <row r="13">
      <c r="A13" s="39">
        <f>IF('Additional Videos'!B13 = "", "", IF('Additional Videos-WUO_ERR'!A13 = "", "Validated", HYPERLINK("#" &amp; ADDRESS(13, 'Additional Videos-WUO_TRK'!A13),_xlfn.TEXTAFTER('Additional Videos-WUO_ERR'!A13, ":"))))</f>
        <v/>
      </c>
    </row>
    <row r="14">
      <c r="A14" s="39">
        <f>IF('Additional Videos'!B14 = "", "", IF('Additional Videos-WUO_ERR'!A14 = "", "Validated", HYPERLINK("#" &amp; ADDRESS(14, 'Additional Videos-WUO_TRK'!A14),_xlfn.TEXTAFTER('Additional Videos-WUO_ERR'!A14, ":"))))</f>
        <v/>
      </c>
    </row>
    <row r="15">
      <c r="A15" s="39">
        <f>IF('Additional Videos'!B15 = "", "", IF('Additional Videos-WUO_ERR'!A15 = "", "Validated", HYPERLINK("#" &amp; ADDRESS(15, 'Additional Videos-WUO_TRK'!A15),_xlfn.TEXTAFTER('Additional Videos-WUO_ERR'!A15, ":"))))</f>
        <v/>
      </c>
    </row>
    <row r="16">
      <c r="A16" s="39">
        <f>IF('Additional Videos'!B16 = "", "", IF('Additional Videos-WUO_ERR'!A16 = "", "Validated", HYPERLINK("#" &amp; ADDRESS(16, 'Additional Videos-WUO_TRK'!A16),_xlfn.TEXTAFTER('Additional Videos-WUO_ERR'!A16, ":"))))</f>
        <v/>
      </c>
    </row>
    <row r="17">
      <c r="A17" s="39">
        <f>IF('Additional Videos'!B17 = "", "", IF('Additional Videos-WUO_ERR'!A17 = "", "Validated", HYPERLINK("#" &amp; ADDRESS(17, 'Additional Videos-WUO_TRK'!A17),_xlfn.TEXTAFTER('Additional Videos-WUO_ERR'!A17, ":"))))</f>
        <v/>
      </c>
    </row>
    <row r="18">
      <c r="A18" s="39">
        <f>IF('Additional Videos'!B18 = "", "", IF('Additional Videos-WUO_ERR'!A18 = "", "Validated", HYPERLINK("#" &amp; ADDRESS(18, 'Additional Videos-WUO_TRK'!A18),_xlfn.TEXTAFTER('Additional Videos-WUO_ERR'!A18, ":"))))</f>
        <v/>
      </c>
    </row>
    <row r="19">
      <c r="A19" s="39">
        <f>IF('Additional Videos'!B19 = "", "", IF('Additional Videos-WUO_ERR'!A19 = "", "Validated", HYPERLINK("#" &amp; ADDRESS(19, 'Additional Videos-WUO_TRK'!A19),_xlfn.TEXTAFTER('Additional Videos-WUO_ERR'!A19, ":"))))</f>
        <v/>
      </c>
    </row>
    <row r="20">
      <c r="A20" s="39">
        <f>IF('Additional Videos'!B20 = "", "", IF('Additional Videos-WUO_ERR'!A20 = "", "Validated", HYPERLINK("#" &amp; ADDRESS(20, 'Additional Videos-WUO_TRK'!A20),_xlfn.TEXTAFTER('Additional Videos-WUO_ERR'!A20, ":"))))</f>
        <v/>
      </c>
    </row>
    <row r="21">
      <c r="A21" s="39">
        <f>IF('Additional Videos'!B21 = "", "", IF('Additional Videos-WUO_ERR'!A21 = "", "Validated", HYPERLINK("#" &amp; ADDRESS(21, 'Additional Videos-WUO_TRK'!A21),_xlfn.TEXTAFTER('Additional Videos-WUO_ERR'!A21, ":"))))</f>
        <v/>
      </c>
    </row>
    <row r="22">
      <c r="A22" s="39">
        <f>IF('Additional Videos'!B22 = "", "", IF('Additional Videos-WUO_ERR'!A22 = "", "Validated", HYPERLINK("#" &amp; ADDRESS(22, 'Additional Videos-WUO_TRK'!A22),_xlfn.TEXTAFTER('Additional Videos-WUO_ERR'!A22, ":"))))</f>
        <v/>
      </c>
    </row>
    <row r="23">
      <c r="A23" s="39">
        <f>IF('Additional Videos'!B23 = "", "", IF('Additional Videos-WUO_ERR'!A23 = "", "Validated", HYPERLINK("#" &amp; ADDRESS(23, 'Additional Videos-WUO_TRK'!A23),_xlfn.TEXTAFTER('Additional Videos-WUO_ERR'!A23, ":"))))</f>
        <v/>
      </c>
    </row>
    <row r="24">
      <c r="A24" s="39">
        <f>IF('Additional Videos'!B24 = "", "", IF('Additional Videos-WUO_ERR'!A24 = "", "Validated", HYPERLINK("#" &amp; ADDRESS(24, 'Additional Videos-WUO_TRK'!A24),_xlfn.TEXTAFTER('Additional Videos-WUO_ERR'!A24, ":"))))</f>
        <v/>
      </c>
    </row>
    <row r="25">
      <c r="A25" s="39">
        <f>IF('Additional Videos'!B25 = "", "", IF('Additional Videos-WUO_ERR'!A25 = "", "Validated", HYPERLINK("#" &amp; ADDRESS(25, 'Additional Videos-WUO_TRK'!A25),_xlfn.TEXTAFTER('Additional Videos-WUO_ERR'!A25, ":"))))</f>
        <v/>
      </c>
    </row>
    <row r="26">
      <c r="A26" s="39">
        <f>IF('Additional Videos'!B26 = "", "", IF('Additional Videos-WUO_ERR'!A26 = "", "Validated", HYPERLINK("#" &amp; ADDRESS(26, 'Additional Videos-WUO_TRK'!A26),_xlfn.TEXTAFTER('Additional Videos-WUO_ERR'!A26, ":"))))</f>
        <v/>
      </c>
    </row>
    <row r="27">
      <c r="A27" s="39">
        <f>IF('Additional Videos'!B27 = "", "", IF('Additional Videos-WUO_ERR'!A27 = "", "Validated", HYPERLINK("#" &amp; ADDRESS(27, 'Additional Videos-WUO_TRK'!A27),_xlfn.TEXTAFTER('Additional Videos-WUO_ERR'!A27, ":"))))</f>
        <v/>
      </c>
    </row>
    <row r="28">
      <c r="A28" s="39">
        <f>IF('Additional Videos'!B28 = "", "", IF('Additional Videos-WUO_ERR'!A28 = "", "Validated", HYPERLINK("#" &amp; ADDRESS(28, 'Additional Videos-WUO_TRK'!A28),_xlfn.TEXTAFTER('Additional Videos-WUO_ERR'!A28, ":"))))</f>
        <v/>
      </c>
    </row>
    <row r="29">
      <c r="A29" s="39">
        <f>IF('Additional Videos'!B29 = "", "", IF('Additional Videos-WUO_ERR'!A29 = "", "Validated", HYPERLINK("#" &amp; ADDRESS(29, 'Additional Videos-WUO_TRK'!A29),_xlfn.TEXTAFTER('Additional Videos-WUO_ERR'!A29, ":"))))</f>
        <v/>
      </c>
    </row>
    <row r="30">
      <c r="A30" s="39">
        <f>IF('Additional Videos'!B30 = "", "", IF('Additional Videos-WUO_ERR'!A30 = "", "Validated", HYPERLINK("#" &amp; ADDRESS(30, 'Additional Videos-WUO_TRK'!A30),_xlfn.TEXTAFTER('Additional Videos-WUO_ERR'!A30, ":"))))</f>
        <v/>
      </c>
    </row>
    <row r="31">
      <c r="A31" s="39">
        <f>IF('Additional Videos'!B31 = "", "", IF('Additional Videos-WUO_ERR'!A31 = "", "Validated", HYPERLINK("#" &amp; ADDRESS(31, 'Additional Videos-WUO_TRK'!A31),_xlfn.TEXTAFTER('Additional Videos-WUO_ERR'!A31, ":"))))</f>
        <v/>
      </c>
    </row>
    <row r="32">
      <c r="A32" s="39">
        <f>IF('Additional Videos'!B32 = "", "", IF('Additional Videos-WUO_ERR'!A32 = "", "Validated", HYPERLINK("#" &amp; ADDRESS(32, 'Additional Videos-WUO_TRK'!A32),_xlfn.TEXTAFTER('Additional Videos-WUO_ERR'!A32, ":"))))</f>
        <v/>
      </c>
    </row>
    <row r="33">
      <c r="A33" s="39">
        <f>IF('Additional Videos'!B33 = "", "", IF('Additional Videos-WUO_ERR'!A33 = "", "Validated", HYPERLINK("#" &amp; ADDRESS(33, 'Additional Videos-WUO_TRK'!A33),_xlfn.TEXTAFTER('Additional Videos-WUO_ERR'!A33, ":"))))</f>
        <v/>
      </c>
    </row>
    <row r="34">
      <c r="A34" s="39">
        <f>IF('Additional Videos'!B34 = "", "", IF('Additional Videos-WUO_ERR'!A34 = "", "Validated", HYPERLINK("#" &amp; ADDRESS(34, 'Additional Videos-WUO_TRK'!A34),_xlfn.TEXTAFTER('Additional Videos-WUO_ERR'!A34, ":"))))</f>
        <v/>
      </c>
    </row>
    <row r="35">
      <c r="A35" s="39">
        <f>IF('Additional Videos'!B35 = "", "", IF('Additional Videos-WUO_ERR'!A35 = "", "Validated", HYPERLINK("#" &amp; ADDRESS(35, 'Additional Videos-WUO_TRK'!A35),_xlfn.TEXTAFTER('Additional Videos-WUO_ERR'!A35, ":"))))</f>
        <v/>
      </c>
    </row>
    <row r="36">
      <c r="A36" s="39">
        <f>IF('Additional Videos'!B36 = "", "", IF('Additional Videos-WUO_ERR'!A36 = "", "Validated", HYPERLINK("#" &amp; ADDRESS(36, 'Additional Videos-WUO_TRK'!A36),_xlfn.TEXTAFTER('Additional Videos-WUO_ERR'!A36, ":"))))</f>
        <v/>
      </c>
    </row>
    <row r="37">
      <c r="A37" s="39">
        <f>IF('Additional Videos'!B37 = "", "", IF('Additional Videos-WUO_ERR'!A37 = "", "Validated", HYPERLINK("#" &amp; ADDRESS(37, 'Additional Videos-WUO_TRK'!A37),_xlfn.TEXTAFTER('Additional Videos-WUO_ERR'!A37, ":"))))</f>
        <v/>
      </c>
    </row>
    <row r="38">
      <c r="A38" s="39">
        <f>IF('Additional Videos'!B38 = "", "", IF('Additional Videos-WUO_ERR'!A38 = "", "Validated", HYPERLINK("#" &amp; ADDRESS(38, 'Additional Videos-WUO_TRK'!A38),_xlfn.TEXTAFTER('Additional Videos-WUO_ERR'!A38, ":"))))</f>
        <v/>
      </c>
    </row>
    <row r="39">
      <c r="A39" s="39">
        <f>IF('Additional Videos'!B39 = "", "", IF('Additional Videos-WUO_ERR'!A39 = "", "Validated", HYPERLINK("#" &amp; ADDRESS(39, 'Additional Videos-WUO_TRK'!A39),_xlfn.TEXTAFTER('Additional Videos-WUO_ERR'!A39, ":"))))</f>
        <v/>
      </c>
    </row>
    <row r="40">
      <c r="A40" s="39">
        <f>IF('Additional Videos'!B40 = "", "", IF('Additional Videos-WUO_ERR'!A40 = "", "Validated", HYPERLINK("#" &amp; ADDRESS(40, 'Additional Videos-WUO_TRK'!A40),_xlfn.TEXTAFTER('Additional Videos-WUO_ERR'!A40, ":"))))</f>
        <v/>
      </c>
    </row>
    <row r="41">
      <c r="A41" s="39">
        <f>IF('Additional Videos'!B41 = "", "", IF('Additional Videos-WUO_ERR'!A41 = "", "Validated", HYPERLINK("#" &amp; ADDRESS(41, 'Additional Videos-WUO_TRK'!A41),_xlfn.TEXTAFTER('Additional Videos-WUO_ERR'!A41, ":"))))</f>
        <v/>
      </c>
    </row>
    <row r="42">
      <c r="A42" s="39">
        <f>IF('Additional Videos'!B42 = "", "", IF('Additional Videos-WUO_ERR'!A42 = "", "Validated", HYPERLINK("#" &amp; ADDRESS(42, 'Additional Videos-WUO_TRK'!A42),_xlfn.TEXTAFTER('Additional Videos-WUO_ERR'!A42, ":"))))</f>
        <v/>
      </c>
    </row>
    <row r="43">
      <c r="A43" s="39">
        <f>IF('Additional Videos'!B43 = "", "", IF('Additional Videos-WUO_ERR'!A43 = "", "Validated", HYPERLINK("#" &amp; ADDRESS(43, 'Additional Videos-WUO_TRK'!A43),_xlfn.TEXTAFTER('Additional Videos-WUO_ERR'!A43, ":"))))</f>
        <v/>
      </c>
    </row>
    <row r="44">
      <c r="A44" s="39">
        <f>IF('Additional Videos'!B44 = "", "", IF('Additional Videos-WUO_ERR'!A44 = "", "Validated", HYPERLINK("#" &amp; ADDRESS(44, 'Additional Videos-WUO_TRK'!A44),_xlfn.TEXTAFTER('Additional Videos-WUO_ERR'!A44, ":"))))</f>
        <v/>
      </c>
    </row>
    <row r="45">
      <c r="A45" s="39">
        <f>IF('Additional Videos'!B45 = "", "", IF('Additional Videos-WUO_ERR'!A45 = "", "Validated", HYPERLINK("#" &amp; ADDRESS(45, 'Additional Videos-WUO_TRK'!A45),_xlfn.TEXTAFTER('Additional Videos-WUO_ERR'!A45, ":"))))</f>
        <v/>
      </c>
    </row>
    <row r="46">
      <c r="A46" s="39">
        <f>IF('Additional Videos'!B46 = "", "", IF('Additional Videos-WUO_ERR'!A46 = "", "Validated", HYPERLINK("#" &amp; ADDRESS(46, 'Additional Videos-WUO_TRK'!A46),_xlfn.TEXTAFTER('Additional Videos-WUO_ERR'!A46, ":"))))</f>
        <v/>
      </c>
    </row>
    <row r="47">
      <c r="A47" s="39">
        <f>IF('Additional Videos'!B47 = "", "", IF('Additional Videos-WUO_ERR'!A47 = "", "Validated", HYPERLINK("#" &amp; ADDRESS(47, 'Additional Videos-WUO_TRK'!A47),_xlfn.TEXTAFTER('Additional Videos-WUO_ERR'!A47, ":"))))</f>
        <v/>
      </c>
    </row>
    <row r="48">
      <c r="A48" s="39">
        <f>IF('Additional Videos'!B48 = "", "", IF('Additional Videos-WUO_ERR'!A48 = "", "Validated", HYPERLINK("#" &amp; ADDRESS(48, 'Additional Videos-WUO_TRK'!A48),_xlfn.TEXTAFTER('Additional Videos-WUO_ERR'!A48, ":"))))</f>
        <v/>
      </c>
    </row>
    <row r="49">
      <c r="A49" s="39">
        <f>IF('Additional Videos'!B49 = "", "", IF('Additional Videos-WUO_ERR'!A49 = "", "Validated", HYPERLINK("#" &amp; ADDRESS(49, 'Additional Videos-WUO_TRK'!A49),_xlfn.TEXTAFTER('Additional Videos-WUO_ERR'!A49, ":"))))</f>
        <v/>
      </c>
    </row>
    <row r="50">
      <c r="A50" s="39">
        <f>IF('Additional Videos'!B50 = "", "", IF('Additional Videos-WUO_ERR'!A50 = "", "Validated", HYPERLINK("#" &amp; ADDRESS(50, 'Additional Videos-WUO_TRK'!A50),_xlfn.TEXTAFTER('Additional Videos-WUO_ERR'!A50, ":"))))</f>
        <v/>
      </c>
    </row>
    <row r="51">
      <c r="A51" s="39">
        <f>IF('Additional Videos'!B51 = "", "", IF('Additional Videos-WUO_ERR'!A51 = "", "Validated", HYPERLINK("#" &amp; ADDRESS(51, 'Additional Videos-WUO_TRK'!A51),_xlfn.TEXTAFTER('Additional Videos-WUO_ERR'!A51, ":"))))</f>
        <v/>
      </c>
    </row>
    <row r="52">
      <c r="A52" s="39">
        <f>IF('Additional Videos'!B52 = "", "", IF('Additional Videos-WUO_ERR'!A52 = "", "Validated", HYPERLINK("#" &amp; ADDRESS(52, 'Additional Videos-WUO_TRK'!A52),_xlfn.TEXTAFTER('Additional Videos-WUO_ERR'!A52, ":"))))</f>
        <v/>
      </c>
    </row>
    <row r="53">
      <c r="A53" s="39">
        <f>IF('Additional Videos'!B53 = "", "", IF('Additional Videos-WUO_ERR'!A53 = "", "Validated", HYPERLINK("#" &amp; ADDRESS(53, 'Additional Videos-WUO_TRK'!A53),_xlfn.TEXTAFTER('Additional Videos-WUO_ERR'!A53, ":"))))</f>
        <v/>
      </c>
    </row>
    <row r="54">
      <c r="A54" s="39">
        <f>IF('Additional Videos'!B54 = "", "", IF('Additional Videos-WUO_ERR'!A54 = "", "Validated", HYPERLINK("#" &amp; ADDRESS(54, 'Additional Videos-WUO_TRK'!A54),_xlfn.TEXTAFTER('Additional Videos-WUO_ERR'!A54, ":"))))</f>
        <v/>
      </c>
    </row>
    <row r="55">
      <c r="A55" s="39">
        <f>IF('Additional Videos'!B55 = "", "", IF('Additional Videos-WUO_ERR'!A55 = "", "Validated", HYPERLINK("#" &amp; ADDRESS(55, 'Additional Videos-WUO_TRK'!A55),_xlfn.TEXTAFTER('Additional Videos-WUO_ERR'!A55, ":"))))</f>
        <v/>
      </c>
    </row>
    <row r="56">
      <c r="A56" s="39">
        <f>IF('Additional Videos'!B56 = "", "", IF('Additional Videos-WUO_ERR'!A56 = "", "Validated", HYPERLINK("#" &amp; ADDRESS(56, 'Additional Videos-WUO_TRK'!A56),_xlfn.TEXTAFTER('Additional Videos-WUO_ERR'!A56, ":"))))</f>
        <v/>
      </c>
    </row>
    <row r="57">
      <c r="A57" s="39">
        <f>IF('Additional Videos'!B57 = "", "", IF('Additional Videos-WUO_ERR'!A57 = "", "Validated", HYPERLINK("#" &amp; ADDRESS(57, 'Additional Videos-WUO_TRK'!A57),_xlfn.TEXTAFTER('Additional Videos-WUO_ERR'!A57, ":"))))</f>
        <v/>
      </c>
    </row>
    <row r="58">
      <c r="A58" s="39">
        <f>IF('Additional Videos'!B58 = "", "", IF('Additional Videos-WUO_ERR'!A58 = "", "Validated", HYPERLINK("#" &amp; ADDRESS(58, 'Additional Videos-WUO_TRK'!A58),_xlfn.TEXTAFTER('Additional Videos-WUO_ERR'!A58, ":"))))</f>
        <v/>
      </c>
    </row>
    <row r="59">
      <c r="A59" s="39">
        <f>IF('Additional Videos'!B59 = "", "", IF('Additional Videos-WUO_ERR'!A59 = "", "Validated", HYPERLINK("#" &amp; ADDRESS(59, 'Additional Videos-WUO_TRK'!A59),_xlfn.TEXTAFTER('Additional Videos-WUO_ERR'!A59, ":"))))</f>
        <v/>
      </c>
    </row>
    <row r="60">
      <c r="A60" s="39">
        <f>IF('Additional Videos'!B60 = "", "", IF('Additional Videos-WUO_ERR'!A60 = "", "Validated", HYPERLINK("#" &amp; ADDRESS(60, 'Additional Videos-WUO_TRK'!A60),_xlfn.TEXTAFTER('Additional Videos-WUO_ERR'!A60, ":"))))</f>
        <v/>
      </c>
    </row>
    <row r="61">
      <c r="A61" s="39">
        <f>IF('Additional Videos'!B61 = "", "", IF('Additional Videos-WUO_ERR'!A61 = "", "Validated", HYPERLINK("#" &amp; ADDRESS(61, 'Additional Videos-WUO_TRK'!A61),_xlfn.TEXTAFTER('Additional Videos-WUO_ERR'!A61, ":"))))</f>
        <v/>
      </c>
    </row>
    <row r="62">
      <c r="A62" s="39">
        <f>IF('Additional Videos'!B62 = "", "", IF('Additional Videos-WUO_ERR'!A62 = "", "Validated", HYPERLINK("#" &amp; ADDRESS(62, 'Additional Videos-WUO_TRK'!A62),_xlfn.TEXTAFTER('Additional Videos-WUO_ERR'!A62, ":"))))</f>
        <v/>
      </c>
    </row>
    <row r="63">
      <c r="A63" s="39">
        <f>IF('Additional Videos'!B63 = "", "", IF('Additional Videos-WUO_ERR'!A63 = "", "Validated", HYPERLINK("#" &amp; ADDRESS(63, 'Additional Videos-WUO_TRK'!A63),_xlfn.TEXTAFTER('Additional Videos-WUO_ERR'!A63, ":"))))</f>
        <v/>
      </c>
    </row>
    <row r="64">
      <c r="A64" s="39">
        <f>IF('Additional Videos'!B64 = "", "", IF('Additional Videos-WUO_ERR'!A64 = "", "Validated", HYPERLINK("#" &amp; ADDRESS(64, 'Additional Videos-WUO_TRK'!A64),_xlfn.TEXTAFTER('Additional Videos-WUO_ERR'!A64, ":"))))</f>
        <v/>
      </c>
    </row>
    <row r="65">
      <c r="A65" s="39">
        <f>IF('Additional Videos'!B65 = "", "", IF('Additional Videos-WUO_ERR'!A65 = "", "Validated", HYPERLINK("#" &amp; ADDRESS(65, 'Additional Videos-WUO_TRK'!A65),_xlfn.TEXTAFTER('Additional Videos-WUO_ERR'!A65, ":"))))</f>
        <v/>
      </c>
    </row>
    <row r="66">
      <c r="A66" s="39">
        <f>IF('Additional Videos'!B66 = "", "", IF('Additional Videos-WUO_ERR'!A66 = "", "Validated", HYPERLINK("#" &amp; ADDRESS(66, 'Additional Videos-WUO_TRK'!A66),_xlfn.TEXTAFTER('Additional Videos-WUO_ERR'!A66, ":"))))</f>
        <v/>
      </c>
    </row>
    <row r="67">
      <c r="A67" s="39">
        <f>IF('Additional Videos'!B67 = "", "", IF('Additional Videos-WUO_ERR'!A67 = "", "Validated", HYPERLINK("#" &amp; ADDRESS(67, 'Additional Videos-WUO_TRK'!A67),_xlfn.TEXTAFTER('Additional Videos-WUO_ERR'!A67, ":"))))</f>
        <v/>
      </c>
    </row>
    <row r="68">
      <c r="A68" s="39">
        <f>IF('Additional Videos'!B68 = "", "", IF('Additional Videos-WUO_ERR'!A68 = "", "Validated", HYPERLINK("#" &amp; ADDRESS(68, 'Additional Videos-WUO_TRK'!A68),_xlfn.TEXTAFTER('Additional Videos-WUO_ERR'!A68, ":"))))</f>
        <v/>
      </c>
    </row>
    <row r="69">
      <c r="A69" s="39">
        <f>IF('Additional Videos'!B69 = "", "", IF('Additional Videos-WUO_ERR'!A69 = "", "Validated", HYPERLINK("#" &amp; ADDRESS(69, 'Additional Videos-WUO_TRK'!A69),_xlfn.TEXTAFTER('Additional Videos-WUO_ERR'!A69, ":"))))</f>
        <v/>
      </c>
    </row>
    <row r="70">
      <c r="A70" s="39">
        <f>IF('Additional Videos'!B70 = "", "", IF('Additional Videos-WUO_ERR'!A70 = "", "Validated", HYPERLINK("#" &amp; ADDRESS(70, 'Additional Videos-WUO_TRK'!A70),_xlfn.TEXTAFTER('Additional Videos-WUO_ERR'!A70, ":"))))</f>
        <v/>
      </c>
    </row>
    <row r="71">
      <c r="A71" s="39">
        <f>IF('Additional Videos'!B71 = "", "", IF('Additional Videos-WUO_ERR'!A71 = "", "Validated", HYPERLINK("#" &amp; ADDRESS(71, 'Additional Videos-WUO_TRK'!A71),_xlfn.TEXTAFTER('Additional Videos-WUO_ERR'!A71, ":"))))</f>
        <v/>
      </c>
    </row>
    <row r="72">
      <c r="A72" s="39">
        <f>IF('Additional Videos'!B72 = "", "", IF('Additional Videos-WUO_ERR'!A72 = "", "Validated", HYPERLINK("#" &amp; ADDRESS(72, 'Additional Videos-WUO_TRK'!A72),_xlfn.TEXTAFTER('Additional Videos-WUO_ERR'!A72, ":"))))</f>
        <v/>
      </c>
    </row>
    <row r="73">
      <c r="A73" s="39">
        <f>IF('Additional Videos'!B73 = "", "", IF('Additional Videos-WUO_ERR'!A73 = "", "Validated", HYPERLINK("#" &amp; ADDRESS(73, 'Additional Videos-WUO_TRK'!A73),_xlfn.TEXTAFTER('Additional Videos-WUO_ERR'!A73, ":"))))</f>
        <v/>
      </c>
    </row>
    <row r="74">
      <c r="A74" s="39">
        <f>IF('Additional Videos'!B74 = "", "", IF('Additional Videos-WUO_ERR'!A74 = "", "Validated", HYPERLINK("#" &amp; ADDRESS(74, 'Additional Videos-WUO_TRK'!A74),_xlfn.TEXTAFTER('Additional Videos-WUO_ERR'!A74, ":"))))</f>
        <v/>
      </c>
    </row>
    <row r="75">
      <c r="A75" s="39">
        <f>IF('Additional Videos'!B75 = "", "", IF('Additional Videos-WUO_ERR'!A75 = "", "Validated", HYPERLINK("#" &amp; ADDRESS(75, 'Additional Videos-WUO_TRK'!A75),_xlfn.TEXTAFTER('Additional Videos-WUO_ERR'!A75, ":"))))</f>
        <v/>
      </c>
    </row>
    <row r="76">
      <c r="A76" s="39">
        <f>IF('Additional Videos'!B76 = "", "", IF('Additional Videos-WUO_ERR'!A76 = "", "Validated", HYPERLINK("#" &amp; ADDRESS(76, 'Additional Videos-WUO_TRK'!A76),_xlfn.TEXTAFTER('Additional Videos-WUO_ERR'!A76, ":"))))</f>
        <v/>
      </c>
    </row>
    <row r="77">
      <c r="A77" s="39">
        <f>IF('Additional Videos'!B77 = "", "", IF('Additional Videos-WUO_ERR'!A77 = "", "Validated", HYPERLINK("#" &amp; ADDRESS(77, 'Additional Videos-WUO_TRK'!A77),_xlfn.TEXTAFTER('Additional Videos-WUO_ERR'!A77, ":"))))</f>
        <v/>
      </c>
    </row>
    <row r="78">
      <c r="A78" s="39">
        <f>IF('Additional Videos'!B78 = "", "", IF('Additional Videos-WUO_ERR'!A78 = "", "Validated", HYPERLINK("#" &amp; ADDRESS(78, 'Additional Videos-WUO_TRK'!A78),_xlfn.TEXTAFTER('Additional Videos-WUO_ERR'!A78, ":"))))</f>
        <v/>
      </c>
    </row>
    <row r="79">
      <c r="A79" s="39">
        <f>IF('Additional Videos'!B79 = "", "", IF('Additional Videos-WUO_ERR'!A79 = "", "Validated", HYPERLINK("#" &amp; ADDRESS(79, 'Additional Videos-WUO_TRK'!A79),_xlfn.TEXTAFTER('Additional Videos-WUO_ERR'!A79, ":"))))</f>
        <v/>
      </c>
    </row>
    <row r="80">
      <c r="A80" s="39">
        <f>IF('Additional Videos'!B80 = "", "", IF('Additional Videos-WUO_ERR'!A80 = "", "Validated", HYPERLINK("#" &amp; ADDRESS(80, 'Additional Videos-WUO_TRK'!A80),_xlfn.TEXTAFTER('Additional Videos-WUO_ERR'!A80, ":"))))</f>
        <v/>
      </c>
    </row>
    <row r="81">
      <c r="A81" s="39">
        <f>IF('Additional Videos'!B81 = "", "", IF('Additional Videos-WUO_ERR'!A81 = "", "Validated", HYPERLINK("#" &amp; ADDRESS(81, 'Additional Videos-WUO_TRK'!A81),_xlfn.TEXTAFTER('Additional Videos-WUO_ERR'!A81, ":"))))</f>
        <v/>
      </c>
    </row>
    <row r="82">
      <c r="A82" s="39">
        <f>IF('Additional Videos'!B82 = "", "", IF('Additional Videos-WUO_ERR'!A82 = "", "Validated", HYPERLINK("#" &amp; ADDRESS(82, 'Additional Videos-WUO_TRK'!A82),_xlfn.TEXTAFTER('Additional Videos-WUO_ERR'!A82, ":"))))</f>
        <v/>
      </c>
    </row>
    <row r="83">
      <c r="A83" s="39">
        <f>IF('Additional Videos'!B83 = "", "", IF('Additional Videos-WUO_ERR'!A83 = "", "Validated", HYPERLINK("#" &amp; ADDRESS(83, 'Additional Videos-WUO_TRK'!A83),_xlfn.TEXTAFTER('Additional Videos-WUO_ERR'!A83, ":"))))</f>
        <v/>
      </c>
    </row>
    <row r="84">
      <c r="A84" s="39">
        <f>IF('Additional Videos'!B84 = "", "", IF('Additional Videos-WUO_ERR'!A84 = "", "Validated", HYPERLINK("#" &amp; ADDRESS(84, 'Additional Videos-WUO_TRK'!A84),_xlfn.TEXTAFTER('Additional Videos-WUO_ERR'!A84, ":"))))</f>
        <v/>
      </c>
    </row>
    <row r="85">
      <c r="A85" s="39">
        <f>IF('Additional Videos'!B85 = "", "", IF('Additional Videos-WUO_ERR'!A85 = "", "Validated", HYPERLINK("#" &amp; ADDRESS(85, 'Additional Videos-WUO_TRK'!A85),_xlfn.TEXTAFTER('Additional Videos-WUO_ERR'!A85, ":"))))</f>
        <v/>
      </c>
    </row>
    <row r="86">
      <c r="A86" s="39">
        <f>IF('Additional Videos'!B86 = "", "", IF('Additional Videos-WUO_ERR'!A86 = "", "Validated", HYPERLINK("#" &amp; ADDRESS(86, 'Additional Videos-WUO_TRK'!A86),_xlfn.TEXTAFTER('Additional Videos-WUO_ERR'!A86, ":"))))</f>
        <v/>
      </c>
    </row>
    <row r="87">
      <c r="A87" s="39">
        <f>IF('Additional Videos'!B87 = "", "", IF('Additional Videos-WUO_ERR'!A87 = "", "Validated", HYPERLINK("#" &amp; ADDRESS(87, 'Additional Videos-WUO_TRK'!A87),_xlfn.TEXTAFTER('Additional Videos-WUO_ERR'!A87, ":"))))</f>
        <v/>
      </c>
    </row>
    <row r="88">
      <c r="A88" s="39">
        <f>IF('Additional Videos'!B88 = "", "", IF('Additional Videos-WUO_ERR'!A88 = "", "Validated", HYPERLINK("#" &amp; ADDRESS(88, 'Additional Videos-WUO_TRK'!A88),_xlfn.TEXTAFTER('Additional Videos-WUO_ERR'!A88, ":"))))</f>
        <v/>
      </c>
    </row>
    <row r="89">
      <c r="A89" s="39">
        <f>IF('Additional Videos'!B89 = "", "", IF('Additional Videos-WUO_ERR'!A89 = "", "Validated", HYPERLINK("#" &amp; ADDRESS(89, 'Additional Videos-WUO_TRK'!A89),_xlfn.TEXTAFTER('Additional Videos-WUO_ERR'!A89, ":"))))</f>
        <v/>
      </c>
    </row>
    <row r="90">
      <c r="A90" s="39">
        <f>IF('Additional Videos'!B90 = "", "", IF('Additional Videos-WUO_ERR'!A90 = "", "Validated", HYPERLINK("#" &amp; ADDRESS(90, 'Additional Videos-WUO_TRK'!A90),_xlfn.TEXTAFTER('Additional Videos-WUO_ERR'!A90, ":"))))</f>
        <v/>
      </c>
    </row>
    <row r="91">
      <c r="A91" s="39">
        <f>IF('Additional Videos'!B91 = "", "", IF('Additional Videos-WUO_ERR'!A91 = "", "Validated", HYPERLINK("#" &amp; ADDRESS(91, 'Additional Videos-WUO_TRK'!A91),_xlfn.TEXTAFTER('Additional Videos-WUO_ERR'!A91, ":"))))</f>
        <v/>
      </c>
    </row>
    <row r="92">
      <c r="A92" s="39">
        <f>IF('Additional Videos'!B92 = "", "", IF('Additional Videos-WUO_ERR'!A92 = "", "Validated", HYPERLINK("#" &amp; ADDRESS(92, 'Additional Videos-WUO_TRK'!A92),_xlfn.TEXTAFTER('Additional Videos-WUO_ERR'!A92, ":"))))</f>
        <v/>
      </c>
    </row>
    <row r="93">
      <c r="A93" s="39">
        <f>IF('Additional Videos'!B93 = "", "", IF('Additional Videos-WUO_ERR'!A93 = "", "Validated", HYPERLINK("#" &amp; ADDRESS(93, 'Additional Videos-WUO_TRK'!A93),_xlfn.TEXTAFTER('Additional Videos-WUO_ERR'!A93, ":"))))</f>
        <v/>
      </c>
    </row>
    <row r="94">
      <c r="A94" s="39">
        <f>IF('Additional Videos'!B94 = "", "", IF('Additional Videos-WUO_ERR'!A94 = "", "Validated", HYPERLINK("#" &amp; ADDRESS(94, 'Additional Videos-WUO_TRK'!A94),_xlfn.TEXTAFTER('Additional Videos-WUO_ERR'!A94, ":"))))</f>
        <v/>
      </c>
    </row>
    <row r="95">
      <c r="A95" s="39">
        <f>IF('Additional Videos'!B95 = "", "", IF('Additional Videos-WUO_ERR'!A95 = "", "Validated", HYPERLINK("#" &amp; ADDRESS(95, 'Additional Videos-WUO_TRK'!A95),_xlfn.TEXTAFTER('Additional Videos-WUO_ERR'!A95, ":"))))</f>
        <v/>
      </c>
    </row>
    <row r="96">
      <c r="A96" s="39">
        <f>IF('Additional Videos'!B96 = "", "", IF('Additional Videos-WUO_ERR'!A96 = "", "Validated", HYPERLINK("#" &amp; ADDRESS(96, 'Additional Videos-WUO_TRK'!A96),_xlfn.TEXTAFTER('Additional Videos-WUO_ERR'!A96, ":"))))</f>
        <v/>
      </c>
    </row>
    <row r="97">
      <c r="A97" s="39">
        <f>IF('Additional Videos'!B97 = "", "", IF('Additional Videos-WUO_ERR'!A97 = "", "Validated", HYPERLINK("#" &amp; ADDRESS(97, 'Additional Videos-WUO_TRK'!A97),_xlfn.TEXTAFTER('Additional Videos-WUO_ERR'!A97, ":"))))</f>
        <v/>
      </c>
    </row>
    <row r="98">
      <c r="A98" s="39">
        <f>IF('Additional Videos'!B98 = "", "", IF('Additional Videos-WUO_ERR'!A98 = "", "Validated", HYPERLINK("#" &amp; ADDRESS(98, 'Additional Videos-WUO_TRK'!A98),_xlfn.TEXTAFTER('Additional Videos-WUO_ERR'!A98, ":"))))</f>
        <v/>
      </c>
    </row>
    <row r="99">
      <c r="A99" s="39">
        <f>IF('Additional Videos'!B99 = "", "", IF('Additional Videos-WUO_ERR'!A99 = "", "Validated", HYPERLINK("#" &amp; ADDRESS(99, 'Additional Videos-WUO_TRK'!A99),_xlfn.TEXTAFTER('Additional Videos-WUO_ERR'!A99, ":"))))</f>
        <v/>
      </c>
    </row>
    <row r="100">
      <c r="A100" s="39">
        <f>IF('Additional Videos'!B100 = "", "", IF('Additional Videos-WUO_ERR'!A100 = "", "Validated", HYPERLINK("#" &amp; ADDRESS(100, 'Additional Videos-WUO_TRK'!A100),_xlfn.TEXTAFTER('Additional Videos-WUO_ERR'!A100, ":"))))</f>
        <v/>
      </c>
    </row>
    <row r="101">
      <c r="A101" s="39">
        <f>IF('Additional Videos'!B101 = "", "", IF('Additional Videos-WUO_ERR'!A101 = "", "Validated", HYPERLINK("#" &amp; ADDRESS(101, 'Additional Videos-WUO_TRK'!A101),_xlfn.TEXTAFTER('Additional Videos-WUO_ERR'!A101, ":"))))</f>
        <v/>
      </c>
    </row>
    <row r="102">
      <c r="A102" s="39">
        <f>IF('Additional Videos'!B102 = "", "", IF('Additional Videos-WUO_ERR'!A102 = "", "Validated", HYPERLINK("#" &amp; ADDRESS(102, 'Additional Videos-WUO_TRK'!A102),_xlfn.TEXTAFTER('Additional Videos-WUO_ERR'!A102, ":"))))</f>
        <v/>
      </c>
    </row>
    <row r="103">
      <c r="A103" s="39">
        <f>IF('Additional Videos'!B103 = "", "", IF('Additional Videos-WUO_ERR'!A103 = "", "Validated", HYPERLINK("#" &amp; ADDRESS(103, 'Additional Videos-WUO_TRK'!A103),_xlfn.TEXTAFTER('Additional Videos-WUO_ERR'!A103, ":"))))</f>
        <v/>
      </c>
    </row>
    <row r="104">
      <c r="A104" s="39">
        <f>IF('Additional Videos'!B104 = "", "", IF('Additional Videos-WUO_ERR'!A104 = "", "Validated", HYPERLINK("#" &amp; ADDRESS(104, 'Additional Videos-WUO_TRK'!A104),_xlfn.TEXTAFTER('Additional Videos-WUO_ERR'!A104, ":"))))</f>
        <v/>
      </c>
    </row>
    <row r="105">
      <c r="A105" s="39">
        <f>IF('Additional Videos'!B105 = "", "", IF('Additional Videos-WUO_ERR'!A105 = "", "Validated", HYPERLINK("#" &amp; ADDRESS(105, 'Additional Videos-WUO_TRK'!A105),_xlfn.TEXTAFTER('Additional Videos-WUO_ERR'!A105, ":"))))</f>
        <v/>
      </c>
    </row>
    <row r="106">
      <c r="A106" s="39">
        <f>IF('Additional Videos'!B106 = "", "", IF('Additional Videos-WUO_ERR'!A106 = "", "Validated", HYPERLINK("#" &amp; ADDRESS(106, 'Additional Videos-WUO_TRK'!A106),_xlfn.TEXTAFTER('Additional Videos-WUO_ERR'!A106, ":"))))</f>
        <v/>
      </c>
    </row>
    <row r="107">
      <c r="A107" s="39">
        <f>IF('Additional Videos'!B107 = "", "", IF('Additional Videos-WUO_ERR'!A107 = "", "Validated", HYPERLINK("#" &amp; ADDRESS(107, 'Additional Videos-WUO_TRK'!A107),_xlfn.TEXTAFTER('Additional Videos-WUO_ERR'!A107, ":"))))</f>
        <v/>
      </c>
    </row>
    <row r="108">
      <c r="A108" s="39">
        <f>IF('Additional Videos'!B108 = "", "", IF('Additional Videos-WUO_ERR'!A108 = "", "Validated", HYPERLINK("#" &amp; ADDRESS(108, 'Additional Videos-WUO_TRK'!A108),_xlfn.TEXTAFTER('Additional Videos-WUO_ERR'!A108, ":"))))</f>
        <v/>
      </c>
    </row>
    <row r="109">
      <c r="A109" s="39">
        <f>IF('Additional Videos'!B109 = "", "", IF('Additional Videos-WUO_ERR'!A109 = "", "Validated", HYPERLINK("#" &amp; ADDRESS(109, 'Additional Videos-WUO_TRK'!A109),_xlfn.TEXTAFTER('Additional Videos-WUO_ERR'!A109, ":"))))</f>
        <v/>
      </c>
    </row>
    <row r="110">
      <c r="A110" s="39">
        <f>IF('Additional Videos'!B110 = "", "", IF('Additional Videos-WUO_ERR'!A110 = "", "Validated", HYPERLINK("#" &amp; ADDRESS(110, 'Additional Videos-WUO_TRK'!A110),_xlfn.TEXTAFTER('Additional Videos-WUO_ERR'!A110, ":"))))</f>
        <v/>
      </c>
    </row>
    <row r="111">
      <c r="A111" s="39">
        <f>IF('Additional Videos'!B111 = "", "", IF('Additional Videos-WUO_ERR'!A111 = "", "Validated", HYPERLINK("#" &amp; ADDRESS(111, 'Additional Videos-WUO_TRK'!A111),_xlfn.TEXTAFTER('Additional Videos-WUO_ERR'!A111, ":"))))</f>
        <v/>
      </c>
    </row>
    <row r="112">
      <c r="A112" s="39">
        <f>IF('Additional Videos'!B112 = "", "", IF('Additional Videos-WUO_ERR'!A112 = "", "Validated", HYPERLINK("#" &amp; ADDRESS(112, 'Additional Videos-WUO_TRK'!A112),_xlfn.TEXTAFTER('Additional Videos-WUO_ERR'!A112, ":"))))</f>
        <v/>
      </c>
    </row>
    <row r="113">
      <c r="A113" s="39">
        <f>IF('Additional Videos'!B113 = "", "", IF('Additional Videos-WUO_ERR'!A113 = "", "Validated", HYPERLINK("#" &amp; ADDRESS(113, 'Additional Videos-WUO_TRK'!A113),_xlfn.TEXTAFTER('Additional Videos-WUO_ERR'!A113, ":"))))</f>
        <v/>
      </c>
    </row>
    <row r="114">
      <c r="A114" s="39">
        <f>IF('Additional Videos'!B114 = "", "", IF('Additional Videos-WUO_ERR'!A114 = "", "Validated", HYPERLINK("#" &amp; ADDRESS(114, 'Additional Videos-WUO_TRK'!A114),_xlfn.TEXTAFTER('Additional Videos-WUO_ERR'!A114, ":"))))</f>
        <v/>
      </c>
    </row>
    <row r="115">
      <c r="A115" s="39">
        <f>IF('Additional Videos'!B115 = "", "", IF('Additional Videos-WUO_ERR'!A115 = "", "Validated", HYPERLINK("#" &amp; ADDRESS(115, 'Additional Videos-WUO_TRK'!A115),_xlfn.TEXTAFTER('Additional Videos-WUO_ERR'!A115, ":"))))</f>
        <v/>
      </c>
    </row>
    <row r="116">
      <c r="A116" s="39">
        <f>IF('Additional Videos'!B116 = "", "", IF('Additional Videos-WUO_ERR'!A116 = "", "Validated", HYPERLINK("#" &amp; ADDRESS(116, 'Additional Videos-WUO_TRK'!A116),_xlfn.TEXTAFTER('Additional Videos-WUO_ERR'!A116, ":"))))</f>
        <v/>
      </c>
    </row>
    <row r="117">
      <c r="A117" s="39">
        <f>IF('Additional Videos'!B117 = "", "", IF('Additional Videos-WUO_ERR'!A117 = "", "Validated", HYPERLINK("#" &amp; ADDRESS(117, 'Additional Videos-WUO_TRK'!A117),_xlfn.TEXTAFTER('Additional Videos-WUO_ERR'!A117, ":"))))</f>
        <v/>
      </c>
    </row>
    <row r="118">
      <c r="A118" s="39">
        <f>IF('Additional Videos'!B118 = "", "", IF('Additional Videos-WUO_ERR'!A118 = "", "Validated", HYPERLINK("#" &amp; ADDRESS(118, 'Additional Videos-WUO_TRK'!A118),_xlfn.TEXTAFTER('Additional Videos-WUO_ERR'!A118, ":"))))</f>
        <v/>
      </c>
    </row>
    <row r="119">
      <c r="A119" s="39">
        <f>IF('Additional Videos'!B119 = "", "", IF('Additional Videos-WUO_ERR'!A119 = "", "Validated", HYPERLINK("#" &amp; ADDRESS(119, 'Additional Videos-WUO_TRK'!A119),_xlfn.TEXTAFTER('Additional Videos-WUO_ERR'!A119, ":"))))</f>
        <v/>
      </c>
    </row>
    <row r="120">
      <c r="A120" s="39">
        <f>IF('Additional Videos'!B120 = "", "", IF('Additional Videos-WUO_ERR'!A120 = "", "Validated", HYPERLINK("#" &amp; ADDRESS(120, 'Additional Videos-WUO_TRK'!A120),_xlfn.TEXTAFTER('Additional Videos-WUO_ERR'!A120, ":"))))</f>
        <v/>
      </c>
    </row>
    <row r="121">
      <c r="A121" s="39">
        <f>IF('Additional Videos'!B121 = "", "", IF('Additional Videos-WUO_ERR'!A121 = "", "Validated", HYPERLINK("#" &amp; ADDRESS(121, 'Additional Videos-WUO_TRK'!A121),_xlfn.TEXTAFTER('Additional Videos-WUO_ERR'!A121, ":"))))</f>
        <v/>
      </c>
    </row>
    <row r="122">
      <c r="A122" s="39">
        <f>IF('Additional Videos'!B122 = "", "", IF('Additional Videos-WUO_ERR'!A122 = "", "Validated", HYPERLINK("#" &amp; ADDRESS(122, 'Additional Videos-WUO_TRK'!A122),_xlfn.TEXTAFTER('Additional Videos-WUO_ERR'!A122, ":"))))</f>
        <v/>
      </c>
    </row>
    <row r="123">
      <c r="A123" s="39">
        <f>IF('Additional Videos'!B123 = "", "", IF('Additional Videos-WUO_ERR'!A123 = "", "Validated", HYPERLINK("#" &amp; ADDRESS(123, 'Additional Videos-WUO_TRK'!A123),_xlfn.TEXTAFTER('Additional Videos-WUO_ERR'!A123, ":"))))</f>
        <v/>
      </c>
    </row>
    <row r="124">
      <c r="A124" s="39">
        <f>IF('Additional Videos'!B124 = "", "", IF('Additional Videos-WUO_ERR'!A124 = "", "Validated", HYPERLINK("#" &amp; ADDRESS(124, 'Additional Videos-WUO_TRK'!A124),_xlfn.TEXTAFTER('Additional Videos-WUO_ERR'!A124, ":"))))</f>
        <v/>
      </c>
    </row>
    <row r="125">
      <c r="A125" s="39">
        <f>IF('Additional Videos'!B125 = "", "", IF('Additional Videos-WUO_ERR'!A125 = "", "Validated", HYPERLINK("#" &amp; ADDRESS(125, 'Additional Videos-WUO_TRK'!A125),_xlfn.TEXTAFTER('Additional Videos-WUO_ERR'!A125, ":"))))</f>
        <v/>
      </c>
    </row>
    <row r="126">
      <c r="A126" s="39">
        <f>IF('Additional Videos'!B126 = "", "", IF('Additional Videos-WUO_ERR'!A126 = "", "Validated", HYPERLINK("#" &amp; ADDRESS(126, 'Additional Videos-WUO_TRK'!A126),_xlfn.TEXTAFTER('Additional Videos-WUO_ERR'!A126, ":"))))</f>
        <v/>
      </c>
    </row>
    <row r="127">
      <c r="A127" s="39">
        <f>IF('Additional Videos'!B127 = "", "", IF('Additional Videos-WUO_ERR'!A127 = "", "Validated", HYPERLINK("#" &amp; ADDRESS(127, 'Additional Videos-WUO_TRK'!A127),_xlfn.TEXTAFTER('Additional Videos-WUO_ERR'!A127, ":"))))</f>
        <v/>
      </c>
    </row>
    <row r="128">
      <c r="A128" s="39">
        <f>IF('Additional Videos'!B128 = "", "", IF('Additional Videos-WUO_ERR'!A128 = "", "Validated", HYPERLINK("#" &amp; ADDRESS(128, 'Additional Videos-WUO_TRK'!A128),_xlfn.TEXTAFTER('Additional Videos-WUO_ERR'!A128, ":"))))</f>
        <v/>
      </c>
    </row>
    <row r="129">
      <c r="A129" s="39">
        <f>IF('Additional Videos'!B129 = "", "", IF('Additional Videos-WUO_ERR'!A129 = "", "Validated", HYPERLINK("#" &amp; ADDRESS(129, 'Additional Videos-WUO_TRK'!A129),_xlfn.TEXTAFTER('Additional Videos-WUO_ERR'!A129, ":"))))</f>
        <v/>
      </c>
    </row>
    <row r="130">
      <c r="A130" s="39">
        <f>IF('Additional Videos'!B130 = "", "", IF('Additional Videos-WUO_ERR'!A130 = "", "Validated", HYPERLINK("#" &amp; ADDRESS(130, 'Additional Videos-WUO_TRK'!A130),_xlfn.TEXTAFTER('Additional Videos-WUO_ERR'!A130, ":"))))</f>
        <v/>
      </c>
    </row>
    <row r="131">
      <c r="A131" s="39">
        <f>IF('Additional Videos'!B131 = "", "", IF('Additional Videos-WUO_ERR'!A131 = "", "Validated", HYPERLINK("#" &amp; ADDRESS(131, 'Additional Videos-WUO_TRK'!A131),_xlfn.TEXTAFTER('Additional Videos-WUO_ERR'!A131, ":"))))</f>
        <v/>
      </c>
    </row>
    <row r="132">
      <c r="A132" s="39">
        <f>IF('Additional Videos'!B132 = "", "", IF('Additional Videos-WUO_ERR'!A132 = "", "Validated", HYPERLINK("#" &amp; ADDRESS(132, 'Additional Videos-WUO_TRK'!A132),_xlfn.TEXTAFTER('Additional Videos-WUO_ERR'!A132, ":"))))</f>
        <v/>
      </c>
    </row>
    <row r="133">
      <c r="A133" s="39">
        <f>IF('Additional Videos'!B133 = "", "", IF('Additional Videos-WUO_ERR'!A133 = "", "Validated", HYPERLINK("#" &amp; ADDRESS(133, 'Additional Videos-WUO_TRK'!A133),_xlfn.TEXTAFTER('Additional Videos-WUO_ERR'!A133, ":"))))</f>
        <v/>
      </c>
    </row>
    <row r="134">
      <c r="A134" s="39">
        <f>IF('Additional Videos'!B134 = "", "", IF('Additional Videos-WUO_ERR'!A134 = "", "Validated", HYPERLINK("#" &amp; ADDRESS(134, 'Additional Videos-WUO_TRK'!A134),_xlfn.TEXTAFTER('Additional Videos-WUO_ERR'!A134, ":"))))</f>
        <v/>
      </c>
    </row>
    <row r="135">
      <c r="A135" s="39">
        <f>IF('Additional Videos'!B135 = "", "", IF('Additional Videos-WUO_ERR'!A135 = "", "Validated", HYPERLINK("#" &amp; ADDRESS(135, 'Additional Videos-WUO_TRK'!A135),_xlfn.TEXTAFTER('Additional Videos-WUO_ERR'!A135, ":"))))</f>
        <v/>
      </c>
    </row>
    <row r="136">
      <c r="A136" s="39">
        <f>IF('Additional Videos'!B136 = "", "", IF('Additional Videos-WUO_ERR'!A136 = "", "Validated", HYPERLINK("#" &amp; ADDRESS(136, 'Additional Videos-WUO_TRK'!A136),_xlfn.TEXTAFTER('Additional Videos-WUO_ERR'!A136, ":"))))</f>
        <v/>
      </c>
    </row>
    <row r="137">
      <c r="A137" s="39">
        <f>IF('Additional Videos'!B137 = "", "", IF('Additional Videos-WUO_ERR'!A137 = "", "Validated", HYPERLINK("#" &amp; ADDRESS(137, 'Additional Videos-WUO_TRK'!A137),_xlfn.TEXTAFTER('Additional Videos-WUO_ERR'!A137, ":"))))</f>
        <v/>
      </c>
    </row>
    <row r="138">
      <c r="A138" s="39">
        <f>IF('Additional Videos'!B138 = "", "", IF('Additional Videos-WUO_ERR'!A138 = "", "Validated", HYPERLINK("#" &amp; ADDRESS(138, 'Additional Videos-WUO_TRK'!A138),_xlfn.TEXTAFTER('Additional Videos-WUO_ERR'!A138, ":"))))</f>
        <v/>
      </c>
    </row>
    <row r="139">
      <c r="A139" s="39">
        <f>IF('Additional Videos'!B139 = "", "", IF('Additional Videos-WUO_ERR'!A139 = "", "Validated", HYPERLINK("#" &amp; ADDRESS(139, 'Additional Videos-WUO_TRK'!A139),_xlfn.TEXTAFTER('Additional Videos-WUO_ERR'!A139, ":"))))</f>
        <v/>
      </c>
    </row>
    <row r="140">
      <c r="A140" s="39">
        <f>IF('Additional Videos'!B140 = "", "", IF('Additional Videos-WUO_ERR'!A140 = "", "Validated", HYPERLINK("#" &amp; ADDRESS(140, 'Additional Videos-WUO_TRK'!A140),_xlfn.TEXTAFTER('Additional Videos-WUO_ERR'!A140, ":"))))</f>
        <v/>
      </c>
    </row>
    <row r="141">
      <c r="A141" s="39">
        <f>IF('Additional Videos'!B141 = "", "", IF('Additional Videos-WUO_ERR'!A141 = "", "Validated", HYPERLINK("#" &amp; ADDRESS(141, 'Additional Videos-WUO_TRK'!A141),_xlfn.TEXTAFTER('Additional Videos-WUO_ERR'!A141, ":"))))</f>
        <v/>
      </c>
    </row>
    <row r="142">
      <c r="A142" s="39">
        <f>IF('Additional Videos'!B142 = "", "", IF('Additional Videos-WUO_ERR'!A142 = "", "Validated", HYPERLINK("#" &amp; ADDRESS(142, 'Additional Videos-WUO_TRK'!A142),_xlfn.TEXTAFTER('Additional Videos-WUO_ERR'!A142, ":"))))</f>
        <v/>
      </c>
    </row>
    <row r="143">
      <c r="A143" s="39">
        <f>IF('Additional Videos'!B143 = "", "", IF('Additional Videos-WUO_ERR'!A143 = "", "Validated", HYPERLINK("#" &amp; ADDRESS(143, 'Additional Videos-WUO_TRK'!A143),_xlfn.TEXTAFTER('Additional Videos-WUO_ERR'!A143, ":"))))</f>
        <v/>
      </c>
    </row>
    <row r="144">
      <c r="A144" s="39">
        <f>IF('Additional Videos'!B144 = "", "", IF('Additional Videos-WUO_ERR'!A144 = "", "Validated", HYPERLINK("#" &amp; ADDRESS(144, 'Additional Videos-WUO_TRK'!A144),_xlfn.TEXTAFTER('Additional Videos-WUO_ERR'!A144, ":"))))</f>
        <v/>
      </c>
    </row>
    <row r="145">
      <c r="A145" s="39">
        <f>IF('Additional Videos'!B145 = "", "", IF('Additional Videos-WUO_ERR'!A145 = "", "Validated", HYPERLINK("#" &amp; ADDRESS(145, 'Additional Videos-WUO_TRK'!A145),_xlfn.TEXTAFTER('Additional Videos-WUO_ERR'!A145, ":"))))</f>
        <v/>
      </c>
    </row>
    <row r="146">
      <c r="A146" s="39">
        <f>IF('Additional Videos'!B146 = "", "", IF('Additional Videos-WUO_ERR'!A146 = "", "Validated", HYPERLINK("#" &amp; ADDRESS(146, 'Additional Videos-WUO_TRK'!A146),_xlfn.TEXTAFTER('Additional Videos-WUO_ERR'!A146, ":"))))</f>
        <v/>
      </c>
    </row>
    <row r="147">
      <c r="A147" s="39">
        <f>IF('Additional Videos'!B147 = "", "", IF('Additional Videos-WUO_ERR'!A147 = "", "Validated", HYPERLINK("#" &amp; ADDRESS(147, 'Additional Videos-WUO_TRK'!A147),_xlfn.TEXTAFTER('Additional Videos-WUO_ERR'!A147, ":"))))</f>
        <v/>
      </c>
    </row>
    <row r="148">
      <c r="A148" s="39">
        <f>IF('Additional Videos'!B148 = "", "", IF('Additional Videos-WUO_ERR'!A148 = "", "Validated", HYPERLINK("#" &amp; ADDRESS(148, 'Additional Videos-WUO_TRK'!A148),_xlfn.TEXTAFTER('Additional Videos-WUO_ERR'!A148, ":"))))</f>
        <v/>
      </c>
    </row>
    <row r="149">
      <c r="A149" s="39">
        <f>IF('Additional Videos'!B149 = "", "", IF('Additional Videos-WUO_ERR'!A149 = "", "Validated", HYPERLINK("#" &amp; ADDRESS(149, 'Additional Videos-WUO_TRK'!A149),_xlfn.TEXTAFTER('Additional Videos-WUO_ERR'!A149, ":"))))</f>
        <v/>
      </c>
    </row>
    <row r="150">
      <c r="A150" s="39">
        <f>IF('Additional Videos'!B150 = "", "", IF('Additional Videos-WUO_ERR'!A150 = "", "Validated", HYPERLINK("#" &amp; ADDRESS(150, 'Additional Videos-WUO_TRK'!A150),_xlfn.TEXTAFTER('Additional Videos-WUO_ERR'!A150, ":"))))</f>
        <v/>
      </c>
    </row>
    <row r="151">
      <c r="A151" s="39">
        <f>IF('Additional Videos'!B151 = "", "", IF('Additional Videos-WUO_ERR'!A151 = "", "Validated", HYPERLINK("#" &amp; ADDRESS(151, 'Additional Videos-WUO_TRK'!A151),_xlfn.TEXTAFTER('Additional Videos-WUO_ERR'!A151, ":"))))</f>
        <v/>
      </c>
    </row>
    <row r="152">
      <c r="A152" s="39">
        <f>IF('Additional Videos'!B152 = "", "", IF('Additional Videos-WUO_ERR'!A152 = "", "Validated", HYPERLINK("#" &amp; ADDRESS(152, 'Additional Videos-WUO_TRK'!A152),_xlfn.TEXTAFTER('Additional Videos-WUO_ERR'!A152, ":"))))</f>
        <v/>
      </c>
    </row>
    <row r="153">
      <c r="A153" s="39">
        <f>IF('Additional Videos'!B153 = "", "", IF('Additional Videos-WUO_ERR'!A153 = "", "Validated", HYPERLINK("#" &amp; ADDRESS(153, 'Additional Videos-WUO_TRK'!A153),_xlfn.TEXTAFTER('Additional Videos-WUO_ERR'!A153, ":"))))</f>
        <v/>
      </c>
    </row>
    <row r="154">
      <c r="A154" s="39">
        <f>IF('Additional Videos'!B154 = "", "", IF('Additional Videos-WUO_ERR'!A154 = "", "Validated", HYPERLINK("#" &amp; ADDRESS(154, 'Additional Videos-WUO_TRK'!A154),_xlfn.TEXTAFTER('Additional Videos-WUO_ERR'!A154, ":"))))</f>
        <v/>
      </c>
    </row>
    <row r="155">
      <c r="A155" s="39">
        <f>IF('Additional Videos'!B155 = "", "", IF('Additional Videos-WUO_ERR'!A155 = "", "Validated", HYPERLINK("#" &amp; ADDRESS(155, 'Additional Videos-WUO_TRK'!A155),_xlfn.TEXTAFTER('Additional Videos-WUO_ERR'!A155, ":"))))</f>
        <v/>
      </c>
    </row>
    <row r="156">
      <c r="A156" s="39">
        <f>IF('Additional Videos'!B156 = "", "", IF('Additional Videos-WUO_ERR'!A156 = "", "Validated", HYPERLINK("#" &amp; ADDRESS(156, 'Additional Videos-WUO_TRK'!A156),_xlfn.TEXTAFTER('Additional Videos-WUO_ERR'!A156, ":"))))</f>
        <v/>
      </c>
    </row>
    <row r="157">
      <c r="A157" s="39">
        <f>IF('Additional Videos'!B157 = "", "", IF('Additional Videos-WUO_ERR'!A157 = "", "Validated", HYPERLINK("#" &amp; ADDRESS(157, 'Additional Videos-WUO_TRK'!A157),_xlfn.TEXTAFTER('Additional Videos-WUO_ERR'!A157, ":"))))</f>
        <v/>
      </c>
    </row>
    <row r="158">
      <c r="A158" s="39">
        <f>IF('Additional Videos'!B158 = "", "", IF('Additional Videos-WUO_ERR'!A158 = "", "Validated", HYPERLINK("#" &amp; ADDRESS(158, 'Additional Videos-WUO_TRK'!A158),_xlfn.TEXTAFTER('Additional Videos-WUO_ERR'!A158, ":"))))</f>
        <v/>
      </c>
    </row>
    <row r="159">
      <c r="A159" s="39">
        <f>IF('Additional Videos'!B159 = "", "", IF('Additional Videos-WUO_ERR'!A159 = "", "Validated", HYPERLINK("#" &amp; ADDRESS(159, 'Additional Videos-WUO_TRK'!A159),_xlfn.TEXTAFTER('Additional Videos-WUO_ERR'!A159, ":"))))</f>
        <v/>
      </c>
    </row>
    <row r="160">
      <c r="A160" s="39">
        <f>IF('Additional Videos'!B160 = "", "", IF('Additional Videos-WUO_ERR'!A160 = "", "Validated", HYPERLINK("#" &amp; ADDRESS(160, 'Additional Videos-WUO_TRK'!A160),_xlfn.TEXTAFTER('Additional Videos-WUO_ERR'!A160, ":"))))</f>
        <v/>
      </c>
    </row>
    <row r="161">
      <c r="A161" s="39">
        <f>IF('Additional Videos'!B161 = "", "", IF('Additional Videos-WUO_ERR'!A161 = "", "Validated", HYPERLINK("#" &amp; ADDRESS(161, 'Additional Videos-WUO_TRK'!A161),_xlfn.TEXTAFTER('Additional Videos-WUO_ERR'!A161, ":"))))</f>
        <v/>
      </c>
    </row>
    <row r="162">
      <c r="A162" s="39">
        <f>IF('Additional Videos'!B162 = "", "", IF('Additional Videos-WUO_ERR'!A162 = "", "Validated", HYPERLINK("#" &amp; ADDRESS(162, 'Additional Videos-WUO_TRK'!A162),_xlfn.TEXTAFTER('Additional Videos-WUO_ERR'!A162, ":"))))</f>
        <v/>
      </c>
    </row>
    <row r="163">
      <c r="A163" s="39">
        <f>IF('Additional Videos'!B163 = "", "", IF('Additional Videos-WUO_ERR'!A163 = "", "Validated", HYPERLINK("#" &amp; ADDRESS(163, 'Additional Videos-WUO_TRK'!A163),_xlfn.TEXTAFTER('Additional Videos-WUO_ERR'!A163, ":"))))</f>
        <v/>
      </c>
    </row>
    <row r="164">
      <c r="A164" s="39">
        <f>IF('Additional Videos'!B164 = "", "", IF('Additional Videos-WUO_ERR'!A164 = "", "Validated", HYPERLINK("#" &amp; ADDRESS(164, 'Additional Videos-WUO_TRK'!A164),_xlfn.TEXTAFTER('Additional Videos-WUO_ERR'!A164, ":"))))</f>
        <v/>
      </c>
    </row>
    <row r="165">
      <c r="A165" s="39">
        <f>IF('Additional Videos'!B165 = "", "", IF('Additional Videos-WUO_ERR'!A165 = "", "Validated", HYPERLINK("#" &amp; ADDRESS(165, 'Additional Videos-WUO_TRK'!A165),_xlfn.TEXTAFTER('Additional Videos-WUO_ERR'!A165, ":"))))</f>
        <v/>
      </c>
    </row>
    <row r="166">
      <c r="A166" s="39">
        <f>IF('Additional Videos'!B166 = "", "", IF('Additional Videos-WUO_ERR'!A166 = "", "Validated", HYPERLINK("#" &amp; ADDRESS(166, 'Additional Videos-WUO_TRK'!A166),_xlfn.TEXTAFTER('Additional Videos-WUO_ERR'!A166, ":"))))</f>
        <v/>
      </c>
    </row>
    <row r="167">
      <c r="A167" s="39">
        <f>IF('Additional Videos'!B167 = "", "", IF('Additional Videos-WUO_ERR'!A167 = "", "Validated", HYPERLINK("#" &amp; ADDRESS(167, 'Additional Videos-WUO_TRK'!A167),_xlfn.TEXTAFTER('Additional Videos-WUO_ERR'!A167, ":"))))</f>
        <v/>
      </c>
    </row>
    <row r="168">
      <c r="A168" s="39">
        <f>IF('Additional Videos'!B168 = "", "", IF('Additional Videos-WUO_ERR'!A168 = "", "Validated", HYPERLINK("#" &amp; ADDRESS(168, 'Additional Videos-WUO_TRK'!A168),_xlfn.TEXTAFTER('Additional Videos-WUO_ERR'!A168, ":"))))</f>
        <v/>
      </c>
    </row>
    <row r="169">
      <c r="A169" s="39">
        <f>IF('Additional Videos'!B169 = "", "", IF('Additional Videos-WUO_ERR'!A169 = "", "Validated", HYPERLINK("#" &amp; ADDRESS(169, 'Additional Videos-WUO_TRK'!A169),_xlfn.TEXTAFTER('Additional Videos-WUO_ERR'!A169, ":"))))</f>
        <v/>
      </c>
    </row>
    <row r="170">
      <c r="A170" s="39">
        <f>IF('Additional Videos'!B170 = "", "", IF('Additional Videos-WUO_ERR'!A170 = "", "Validated", HYPERLINK("#" &amp; ADDRESS(170, 'Additional Videos-WUO_TRK'!A170),_xlfn.TEXTAFTER('Additional Videos-WUO_ERR'!A170, ":"))))</f>
        <v/>
      </c>
    </row>
    <row r="171">
      <c r="A171" s="39">
        <f>IF('Additional Videos'!B171 = "", "", IF('Additional Videos-WUO_ERR'!A171 = "", "Validated", HYPERLINK("#" &amp; ADDRESS(171, 'Additional Videos-WUO_TRK'!A171),_xlfn.TEXTAFTER('Additional Videos-WUO_ERR'!A171, ":"))))</f>
        <v/>
      </c>
    </row>
    <row r="172">
      <c r="A172" s="39">
        <f>IF('Additional Videos'!B172 = "", "", IF('Additional Videos-WUO_ERR'!A172 = "", "Validated", HYPERLINK("#" &amp; ADDRESS(172, 'Additional Videos-WUO_TRK'!A172),_xlfn.TEXTAFTER('Additional Videos-WUO_ERR'!A172, ":"))))</f>
        <v/>
      </c>
    </row>
    <row r="173">
      <c r="A173" s="39">
        <f>IF('Additional Videos'!B173 = "", "", IF('Additional Videos-WUO_ERR'!A173 = "", "Validated", HYPERLINK("#" &amp; ADDRESS(173, 'Additional Videos-WUO_TRK'!A173),_xlfn.TEXTAFTER('Additional Videos-WUO_ERR'!A173, ":"))))</f>
        <v/>
      </c>
    </row>
    <row r="174">
      <c r="A174" s="39">
        <f>IF('Additional Videos'!B174 = "", "", IF('Additional Videos-WUO_ERR'!A174 = "", "Validated", HYPERLINK("#" &amp; ADDRESS(174, 'Additional Videos-WUO_TRK'!A174),_xlfn.TEXTAFTER('Additional Videos-WUO_ERR'!A174, ":"))))</f>
        <v/>
      </c>
    </row>
    <row r="175">
      <c r="A175" s="39">
        <f>IF('Additional Videos'!B175 = "", "", IF('Additional Videos-WUO_ERR'!A175 = "", "Validated", HYPERLINK("#" &amp; ADDRESS(175, 'Additional Videos-WUO_TRK'!A175),_xlfn.TEXTAFTER('Additional Videos-WUO_ERR'!A175, ":"))))</f>
        <v/>
      </c>
    </row>
    <row r="176">
      <c r="A176" s="39">
        <f>IF('Additional Videos'!B176 = "", "", IF('Additional Videos-WUO_ERR'!A176 = "", "Validated", HYPERLINK("#" &amp; ADDRESS(176, 'Additional Videos-WUO_TRK'!A176),_xlfn.TEXTAFTER('Additional Videos-WUO_ERR'!A176, ":"))))</f>
        <v/>
      </c>
    </row>
    <row r="177">
      <c r="A177" s="39">
        <f>IF('Additional Videos'!B177 = "", "", IF('Additional Videos-WUO_ERR'!A177 = "", "Validated", HYPERLINK("#" &amp; ADDRESS(177, 'Additional Videos-WUO_TRK'!A177),_xlfn.TEXTAFTER('Additional Videos-WUO_ERR'!A177, ":"))))</f>
        <v/>
      </c>
    </row>
    <row r="178">
      <c r="A178" s="39">
        <f>IF('Additional Videos'!B178 = "", "", IF('Additional Videos-WUO_ERR'!A178 = "", "Validated", HYPERLINK("#" &amp; ADDRESS(178, 'Additional Videos-WUO_TRK'!A178),_xlfn.TEXTAFTER('Additional Videos-WUO_ERR'!A178, ":"))))</f>
        <v/>
      </c>
    </row>
    <row r="179">
      <c r="A179" s="39">
        <f>IF('Additional Videos'!B179 = "", "", IF('Additional Videos-WUO_ERR'!A179 = "", "Validated", HYPERLINK("#" &amp; ADDRESS(179, 'Additional Videos-WUO_TRK'!A179),_xlfn.TEXTAFTER('Additional Videos-WUO_ERR'!A179, ":"))))</f>
        <v/>
      </c>
    </row>
    <row r="180">
      <c r="A180" s="39">
        <f>IF('Additional Videos'!B180 = "", "", IF('Additional Videos-WUO_ERR'!A180 = "", "Validated", HYPERLINK("#" &amp; ADDRESS(180, 'Additional Videos-WUO_TRK'!A180),_xlfn.TEXTAFTER('Additional Videos-WUO_ERR'!A180, ":"))))</f>
        <v/>
      </c>
    </row>
    <row r="181">
      <c r="A181" s="39">
        <f>IF('Additional Videos'!B181 = "", "", IF('Additional Videos-WUO_ERR'!A181 = "", "Validated", HYPERLINK("#" &amp; ADDRESS(181, 'Additional Videos-WUO_TRK'!A181),_xlfn.TEXTAFTER('Additional Videos-WUO_ERR'!A181, ":"))))</f>
        <v/>
      </c>
    </row>
    <row r="182">
      <c r="A182" s="39">
        <f>IF('Additional Videos'!B182 = "", "", IF('Additional Videos-WUO_ERR'!A182 = "", "Validated", HYPERLINK("#" &amp; ADDRESS(182, 'Additional Videos-WUO_TRK'!A182),_xlfn.TEXTAFTER('Additional Videos-WUO_ERR'!A182, ":"))))</f>
        <v/>
      </c>
    </row>
    <row r="183">
      <c r="A183" s="39">
        <f>IF('Additional Videos'!B183 = "", "", IF('Additional Videos-WUO_ERR'!A183 = "", "Validated", HYPERLINK("#" &amp; ADDRESS(183, 'Additional Videos-WUO_TRK'!A183),_xlfn.TEXTAFTER('Additional Videos-WUO_ERR'!A183, ":"))))</f>
        <v/>
      </c>
    </row>
    <row r="184">
      <c r="A184" s="39">
        <f>IF('Additional Videos'!B184 = "", "", IF('Additional Videos-WUO_ERR'!A184 = "", "Validated", HYPERLINK("#" &amp; ADDRESS(184, 'Additional Videos-WUO_TRK'!A184),_xlfn.TEXTAFTER('Additional Videos-WUO_ERR'!A184, ":"))))</f>
        <v/>
      </c>
    </row>
    <row r="185">
      <c r="A185" s="39">
        <f>IF('Additional Videos'!B185 = "", "", IF('Additional Videos-WUO_ERR'!A185 = "", "Validated", HYPERLINK("#" &amp; ADDRESS(185, 'Additional Videos-WUO_TRK'!A185),_xlfn.TEXTAFTER('Additional Videos-WUO_ERR'!A185, ":"))))</f>
        <v/>
      </c>
    </row>
    <row r="186">
      <c r="A186" s="39">
        <f>IF('Additional Videos'!B186 = "", "", IF('Additional Videos-WUO_ERR'!A186 = "", "Validated", HYPERLINK("#" &amp; ADDRESS(186, 'Additional Videos-WUO_TRK'!A186),_xlfn.TEXTAFTER('Additional Videos-WUO_ERR'!A186, ":"))))</f>
        <v/>
      </c>
    </row>
    <row r="187">
      <c r="A187" s="39">
        <f>IF('Additional Videos'!B187 = "", "", IF('Additional Videos-WUO_ERR'!A187 = "", "Validated", HYPERLINK("#" &amp; ADDRESS(187, 'Additional Videos-WUO_TRK'!A187),_xlfn.TEXTAFTER('Additional Videos-WUO_ERR'!A187, ":"))))</f>
        <v/>
      </c>
    </row>
    <row r="188">
      <c r="A188" s="39">
        <f>IF('Additional Videos'!B188 = "", "", IF('Additional Videos-WUO_ERR'!A188 = "", "Validated", HYPERLINK("#" &amp; ADDRESS(188, 'Additional Videos-WUO_TRK'!A188),_xlfn.TEXTAFTER('Additional Videos-WUO_ERR'!A188, ":"))))</f>
        <v/>
      </c>
    </row>
    <row r="189">
      <c r="A189" s="39">
        <f>IF('Additional Videos'!B189 = "", "", IF('Additional Videos-WUO_ERR'!A189 = "", "Validated", HYPERLINK("#" &amp; ADDRESS(189, 'Additional Videos-WUO_TRK'!A189),_xlfn.TEXTAFTER('Additional Videos-WUO_ERR'!A189, ":"))))</f>
        <v/>
      </c>
    </row>
    <row r="190">
      <c r="A190" s="39">
        <f>IF('Additional Videos'!B190 = "", "", IF('Additional Videos-WUO_ERR'!A190 = "", "Validated", HYPERLINK("#" &amp; ADDRESS(190, 'Additional Videos-WUO_TRK'!A190),_xlfn.TEXTAFTER('Additional Videos-WUO_ERR'!A190, ":"))))</f>
        <v/>
      </c>
    </row>
    <row r="191">
      <c r="A191" s="39">
        <f>IF('Additional Videos'!B191 = "", "", IF('Additional Videos-WUO_ERR'!A191 = "", "Validated", HYPERLINK("#" &amp; ADDRESS(191, 'Additional Videos-WUO_TRK'!A191),_xlfn.TEXTAFTER('Additional Videos-WUO_ERR'!A191, ":"))))</f>
        <v/>
      </c>
    </row>
    <row r="192">
      <c r="A192" s="39">
        <f>IF('Additional Videos'!B192 = "", "", IF('Additional Videos-WUO_ERR'!A192 = "", "Validated", HYPERLINK("#" &amp; ADDRESS(192, 'Additional Videos-WUO_TRK'!A192),_xlfn.TEXTAFTER('Additional Videos-WUO_ERR'!A192, ":"))))</f>
        <v/>
      </c>
    </row>
    <row r="193">
      <c r="A193" s="39">
        <f>IF('Additional Videos'!B193 = "", "", IF('Additional Videos-WUO_ERR'!A193 = "", "Validated", HYPERLINK("#" &amp; ADDRESS(193, 'Additional Videos-WUO_TRK'!A193),_xlfn.TEXTAFTER('Additional Videos-WUO_ERR'!A193, ":"))))</f>
        <v/>
      </c>
    </row>
    <row r="194">
      <c r="A194" s="39">
        <f>IF('Additional Videos'!B194 = "", "", IF('Additional Videos-WUO_ERR'!A194 = "", "Validated", HYPERLINK("#" &amp; ADDRESS(194, 'Additional Videos-WUO_TRK'!A194),_xlfn.TEXTAFTER('Additional Videos-WUO_ERR'!A194, ":"))))</f>
        <v/>
      </c>
    </row>
    <row r="195">
      <c r="A195" s="39">
        <f>IF('Additional Videos'!B195 = "", "", IF('Additional Videos-WUO_ERR'!A195 = "", "Validated", HYPERLINK("#" &amp; ADDRESS(195, 'Additional Videos-WUO_TRK'!A195),_xlfn.TEXTAFTER('Additional Videos-WUO_ERR'!A195, ":"))))</f>
        <v/>
      </c>
    </row>
    <row r="196">
      <c r="A196" s="39">
        <f>IF('Additional Videos'!B196 = "", "", IF('Additional Videos-WUO_ERR'!A196 = "", "Validated", HYPERLINK("#" &amp; ADDRESS(196, 'Additional Videos-WUO_TRK'!A196),_xlfn.TEXTAFTER('Additional Videos-WUO_ERR'!A196, ":"))))</f>
        <v/>
      </c>
    </row>
    <row r="197">
      <c r="A197" s="39">
        <f>IF('Additional Videos'!B197 = "", "", IF('Additional Videos-WUO_ERR'!A197 = "", "Validated", HYPERLINK("#" &amp; ADDRESS(197, 'Additional Videos-WUO_TRK'!A197),_xlfn.TEXTAFTER('Additional Videos-WUO_ERR'!A197, ":"))))</f>
        <v/>
      </c>
    </row>
    <row r="198">
      <c r="A198" s="39">
        <f>IF('Additional Videos'!B198 = "", "", IF('Additional Videos-WUO_ERR'!A198 = "", "Validated", HYPERLINK("#" &amp; ADDRESS(198, 'Additional Videos-WUO_TRK'!A198),_xlfn.TEXTAFTER('Additional Videos-WUO_ERR'!A198, ":"))))</f>
        <v/>
      </c>
    </row>
    <row r="199">
      <c r="A199" s="39">
        <f>IF('Additional Videos'!B199 = "", "", IF('Additional Videos-WUO_ERR'!A199 = "", "Validated", HYPERLINK("#" &amp; ADDRESS(199, 'Additional Videos-WUO_TRK'!A199),_xlfn.TEXTAFTER('Additional Videos-WUO_ERR'!A199, ":"))))</f>
        <v/>
      </c>
    </row>
    <row r="200">
      <c r="A200" s="39">
        <f>IF('Additional Videos'!B200 = "", "", IF('Additional Videos-WUO_ERR'!A200 = "", "Validated", HYPERLINK("#" &amp; ADDRESS(200, 'Additional Videos-WUO_TRK'!A200),_xlfn.TEXTAFTER('Additional Videos-WUO_ERR'!A200, ":"))))</f>
        <v/>
      </c>
    </row>
    <row r="201">
      <c r="A201" s="39">
        <f>IF('Additional Videos'!B201 = "", "", IF('Additional Videos-WUO_ERR'!A201 = "", "Validated", HYPERLINK("#" &amp; ADDRESS(201, 'Additional Videos-WUO_TRK'!A201),_xlfn.TEXTAFTER('Additional Videos-WUO_ERR'!A201, ":"))))</f>
        <v/>
      </c>
    </row>
    <row r="202">
      <c r="A202" s="39">
        <f>IF('Additional Videos'!B202 = "", "", IF('Additional Videos-WUO_ERR'!A202 = "", "Validated", HYPERLINK("#" &amp; ADDRESS(202, 'Additional Videos-WUO_TRK'!A202),_xlfn.TEXTAFTER('Additional Videos-WUO_ERR'!A202, ":"))))</f>
        <v/>
      </c>
    </row>
    <row r="203">
      <c r="A203" s="39">
        <f>IF('Additional Videos'!B203 = "", "", IF('Additional Videos-WUO_ERR'!A203 = "", "Validated", HYPERLINK("#" &amp; ADDRESS(203, 'Additional Videos-WUO_TRK'!A203),_xlfn.TEXTAFTER('Additional Videos-WUO_ERR'!A203, ":"))))</f>
        <v/>
      </c>
    </row>
    <row r="204">
      <c r="A204" s="39">
        <f>IF('Additional Videos'!B204 = "", "", IF('Additional Videos-WUO_ERR'!A204 = "", "Validated", HYPERLINK("#" &amp; ADDRESS(204, 'Additional Videos-WUO_TRK'!A204),_xlfn.TEXTAFTER('Additional Videos-WUO_ERR'!A204, ":"))))</f>
        <v/>
      </c>
    </row>
    <row r="205">
      <c r="A205" s="39">
        <f>IF('Additional Videos'!B205 = "", "", IF('Additional Videos-WUO_ERR'!A205 = "", "Validated", HYPERLINK("#" &amp; ADDRESS(205, 'Additional Videos-WUO_TRK'!A205),_xlfn.TEXTAFTER('Additional Videos-WUO_ERR'!A205, ":"))))</f>
        <v/>
      </c>
    </row>
    <row r="206">
      <c r="A206" s="39">
        <f>IF('Additional Videos'!B206 = "", "", IF('Additional Videos-WUO_ERR'!A206 = "", "Validated", HYPERLINK("#" &amp; ADDRESS(206, 'Additional Videos-WUO_TRK'!A206),_xlfn.TEXTAFTER('Additional Videos-WUO_ERR'!A206, ":"))))</f>
        <v/>
      </c>
    </row>
    <row r="207">
      <c r="A207" s="39">
        <f>IF('Additional Videos'!B207 = "", "", IF('Additional Videos-WUO_ERR'!A207 = "", "Validated", HYPERLINK("#" &amp; ADDRESS(207, 'Additional Videos-WUO_TRK'!A207),_xlfn.TEXTAFTER('Additional Videos-WUO_ERR'!A207, ":"))))</f>
        <v/>
      </c>
    </row>
    <row r="208">
      <c r="A208" s="39">
        <f>IF('Additional Videos'!B208 = "", "", IF('Additional Videos-WUO_ERR'!A208 = "", "Validated", HYPERLINK("#" &amp; ADDRESS(208, 'Additional Videos-WUO_TRK'!A208),_xlfn.TEXTAFTER('Additional Videos-WUO_ERR'!A208, ":"))))</f>
        <v/>
      </c>
    </row>
    <row r="209">
      <c r="A209" s="39">
        <f>IF('Additional Videos'!B209 = "", "", IF('Additional Videos-WUO_ERR'!A209 = "", "Validated", HYPERLINK("#" &amp; ADDRESS(209, 'Additional Videos-WUO_TRK'!A209),_xlfn.TEXTAFTER('Additional Videos-WUO_ERR'!A209, ":"))))</f>
        <v/>
      </c>
    </row>
    <row r="210">
      <c r="A210" s="39">
        <f>IF('Additional Videos'!B210 = "", "", IF('Additional Videos-WUO_ERR'!A210 = "", "Validated", HYPERLINK("#" &amp; ADDRESS(210, 'Additional Videos-WUO_TRK'!A210),_xlfn.TEXTAFTER('Additional Videos-WUO_ERR'!A210, ":"))))</f>
        <v/>
      </c>
    </row>
    <row r="211">
      <c r="A211" s="39">
        <f>IF('Additional Videos'!B211 = "", "", IF('Additional Videos-WUO_ERR'!A211 = "", "Validated", HYPERLINK("#" &amp; ADDRESS(211, 'Additional Videos-WUO_TRK'!A211),_xlfn.TEXTAFTER('Additional Videos-WUO_ERR'!A211, ":"))))</f>
        <v/>
      </c>
    </row>
    <row r="212">
      <c r="A212" s="39">
        <f>IF('Additional Videos'!B212 = "", "", IF('Additional Videos-WUO_ERR'!A212 = "", "Validated", HYPERLINK("#" &amp; ADDRESS(212, 'Additional Videos-WUO_TRK'!A212),_xlfn.TEXTAFTER('Additional Videos-WUO_ERR'!A212, ":"))))</f>
        <v/>
      </c>
    </row>
    <row r="213">
      <c r="A213" s="39">
        <f>IF('Additional Videos'!B213 = "", "", IF('Additional Videos-WUO_ERR'!A213 = "", "Validated", HYPERLINK("#" &amp; ADDRESS(213, 'Additional Videos-WUO_TRK'!A213),_xlfn.TEXTAFTER('Additional Videos-WUO_ERR'!A213, ":"))))</f>
        <v/>
      </c>
    </row>
    <row r="214">
      <c r="A214" s="39">
        <f>IF('Additional Videos'!B214 = "", "", IF('Additional Videos-WUO_ERR'!A214 = "", "Validated", HYPERLINK("#" &amp; ADDRESS(214, 'Additional Videos-WUO_TRK'!A214),_xlfn.TEXTAFTER('Additional Videos-WUO_ERR'!A214, ":"))))</f>
        <v/>
      </c>
    </row>
    <row r="215">
      <c r="A215" s="39">
        <f>IF('Additional Videos'!B215 = "", "", IF('Additional Videos-WUO_ERR'!A215 = "", "Validated", HYPERLINK("#" &amp; ADDRESS(215, 'Additional Videos-WUO_TRK'!A215),_xlfn.TEXTAFTER('Additional Videos-WUO_ERR'!A215, ":"))))</f>
        <v/>
      </c>
    </row>
    <row r="216">
      <c r="A216" s="39">
        <f>IF('Additional Videos'!B216 = "", "", IF('Additional Videos-WUO_ERR'!A216 = "", "Validated", HYPERLINK("#" &amp; ADDRESS(216, 'Additional Videos-WUO_TRK'!A216),_xlfn.TEXTAFTER('Additional Videos-WUO_ERR'!A216, ":"))))</f>
        <v/>
      </c>
    </row>
    <row r="217">
      <c r="A217" s="39">
        <f>IF('Additional Videos'!B217 = "", "", IF('Additional Videos-WUO_ERR'!A217 = "", "Validated", HYPERLINK("#" &amp; ADDRESS(217, 'Additional Videos-WUO_TRK'!A217),_xlfn.TEXTAFTER('Additional Videos-WUO_ERR'!A217, ":"))))</f>
        <v/>
      </c>
    </row>
    <row r="218">
      <c r="A218" s="39">
        <f>IF('Additional Videos'!B218 = "", "", IF('Additional Videos-WUO_ERR'!A218 = "", "Validated", HYPERLINK("#" &amp; ADDRESS(218, 'Additional Videos-WUO_TRK'!A218),_xlfn.TEXTAFTER('Additional Videos-WUO_ERR'!A218, ":"))))</f>
        <v/>
      </c>
    </row>
    <row r="219">
      <c r="A219" s="39">
        <f>IF('Additional Videos'!B219 = "", "", IF('Additional Videos-WUO_ERR'!A219 = "", "Validated", HYPERLINK("#" &amp; ADDRESS(219, 'Additional Videos-WUO_TRK'!A219),_xlfn.TEXTAFTER('Additional Videos-WUO_ERR'!A219, ":"))))</f>
        <v/>
      </c>
    </row>
    <row r="220">
      <c r="A220" s="39">
        <f>IF('Additional Videos'!B220 = "", "", IF('Additional Videos-WUO_ERR'!A220 = "", "Validated", HYPERLINK("#" &amp; ADDRESS(220, 'Additional Videos-WUO_TRK'!A220),_xlfn.TEXTAFTER('Additional Videos-WUO_ERR'!A220, ":"))))</f>
        <v/>
      </c>
    </row>
    <row r="221">
      <c r="A221" s="39">
        <f>IF('Additional Videos'!B221 = "", "", IF('Additional Videos-WUO_ERR'!A221 = "", "Validated", HYPERLINK("#" &amp; ADDRESS(221, 'Additional Videos-WUO_TRK'!A221),_xlfn.TEXTAFTER('Additional Videos-WUO_ERR'!A221, ":"))))</f>
        <v/>
      </c>
    </row>
    <row r="222">
      <c r="A222" s="39">
        <f>IF('Additional Videos'!B222 = "", "", IF('Additional Videos-WUO_ERR'!A222 = "", "Validated", HYPERLINK("#" &amp; ADDRESS(222, 'Additional Videos-WUO_TRK'!A222),_xlfn.TEXTAFTER('Additional Videos-WUO_ERR'!A222, ":"))))</f>
        <v/>
      </c>
    </row>
    <row r="223">
      <c r="A223" s="39">
        <f>IF('Additional Videos'!B223 = "", "", IF('Additional Videos-WUO_ERR'!A223 = "", "Validated", HYPERLINK("#" &amp; ADDRESS(223, 'Additional Videos-WUO_TRK'!A223),_xlfn.TEXTAFTER('Additional Videos-WUO_ERR'!A223, ":"))))</f>
        <v/>
      </c>
    </row>
    <row r="224">
      <c r="A224" s="39">
        <f>IF('Additional Videos'!B224 = "", "", IF('Additional Videos-WUO_ERR'!A224 = "", "Validated", HYPERLINK("#" &amp; ADDRESS(224, 'Additional Videos-WUO_TRK'!A224),_xlfn.TEXTAFTER('Additional Videos-WUO_ERR'!A224, ":"))))</f>
        <v/>
      </c>
    </row>
    <row r="225">
      <c r="A225" s="39">
        <f>IF('Additional Videos'!B225 = "", "", IF('Additional Videos-WUO_ERR'!A225 = "", "Validated", HYPERLINK("#" &amp; ADDRESS(225, 'Additional Videos-WUO_TRK'!A225),_xlfn.TEXTAFTER('Additional Videos-WUO_ERR'!A225, ":"))))</f>
        <v/>
      </c>
    </row>
    <row r="226">
      <c r="A226" s="39">
        <f>IF('Additional Videos'!B226 = "", "", IF('Additional Videos-WUO_ERR'!A226 = "", "Validated", HYPERLINK("#" &amp; ADDRESS(226, 'Additional Videos-WUO_TRK'!A226),_xlfn.TEXTAFTER('Additional Videos-WUO_ERR'!A226, ":"))))</f>
        <v/>
      </c>
    </row>
    <row r="227">
      <c r="A227" s="39">
        <f>IF('Additional Videos'!B227 = "", "", IF('Additional Videos-WUO_ERR'!A227 = "", "Validated", HYPERLINK("#" &amp; ADDRESS(227, 'Additional Videos-WUO_TRK'!A227),_xlfn.TEXTAFTER('Additional Videos-WUO_ERR'!A227, ":"))))</f>
        <v/>
      </c>
    </row>
    <row r="228">
      <c r="A228" s="39">
        <f>IF('Additional Videos'!B228 = "", "", IF('Additional Videos-WUO_ERR'!A228 = "", "Validated", HYPERLINK("#" &amp; ADDRESS(228, 'Additional Videos-WUO_TRK'!A228),_xlfn.TEXTAFTER('Additional Videos-WUO_ERR'!A228, ":"))))</f>
        <v/>
      </c>
    </row>
    <row r="229">
      <c r="A229" s="39">
        <f>IF('Additional Videos'!B229 = "", "", IF('Additional Videos-WUO_ERR'!A229 = "", "Validated", HYPERLINK("#" &amp; ADDRESS(229, 'Additional Videos-WUO_TRK'!A229),_xlfn.TEXTAFTER('Additional Videos-WUO_ERR'!A229, ":"))))</f>
        <v/>
      </c>
    </row>
    <row r="230">
      <c r="A230" s="39">
        <f>IF('Additional Videos'!B230 = "", "", IF('Additional Videos-WUO_ERR'!A230 = "", "Validated", HYPERLINK("#" &amp; ADDRESS(230, 'Additional Videos-WUO_TRK'!A230),_xlfn.TEXTAFTER('Additional Videos-WUO_ERR'!A230, ":"))))</f>
        <v/>
      </c>
    </row>
    <row r="231">
      <c r="A231" s="39">
        <f>IF('Additional Videos'!B231 = "", "", IF('Additional Videos-WUO_ERR'!A231 = "", "Validated", HYPERLINK("#" &amp; ADDRESS(231, 'Additional Videos-WUO_TRK'!A231),_xlfn.TEXTAFTER('Additional Videos-WUO_ERR'!A231, ":"))))</f>
        <v/>
      </c>
    </row>
    <row r="232">
      <c r="A232" s="39">
        <f>IF('Additional Videos'!B232 = "", "", IF('Additional Videos-WUO_ERR'!A232 = "", "Validated", HYPERLINK("#" &amp; ADDRESS(232, 'Additional Videos-WUO_TRK'!A232),_xlfn.TEXTAFTER('Additional Videos-WUO_ERR'!A232, ":"))))</f>
        <v/>
      </c>
    </row>
    <row r="233">
      <c r="A233" s="39">
        <f>IF('Additional Videos'!B233 = "", "", IF('Additional Videos-WUO_ERR'!A233 = "", "Validated", HYPERLINK("#" &amp; ADDRESS(233, 'Additional Videos-WUO_TRK'!A233),_xlfn.TEXTAFTER('Additional Videos-WUO_ERR'!A233, ":"))))</f>
        <v/>
      </c>
    </row>
    <row r="234">
      <c r="A234" s="39">
        <f>IF('Additional Videos'!B234 = "", "", IF('Additional Videos-WUO_ERR'!A234 = "", "Validated", HYPERLINK("#" &amp; ADDRESS(234, 'Additional Videos-WUO_TRK'!A234),_xlfn.TEXTAFTER('Additional Videos-WUO_ERR'!A234, ":"))))</f>
        <v/>
      </c>
    </row>
    <row r="235">
      <c r="A235" s="39">
        <f>IF('Additional Videos'!B235 = "", "", IF('Additional Videos-WUO_ERR'!A235 = "", "Validated", HYPERLINK("#" &amp; ADDRESS(235, 'Additional Videos-WUO_TRK'!A235),_xlfn.TEXTAFTER('Additional Videos-WUO_ERR'!A235, ":"))))</f>
        <v/>
      </c>
    </row>
    <row r="236">
      <c r="A236" s="39">
        <f>IF('Additional Videos'!B236 = "", "", IF('Additional Videos-WUO_ERR'!A236 = "", "Validated", HYPERLINK("#" &amp; ADDRESS(236, 'Additional Videos-WUO_TRK'!A236),_xlfn.TEXTAFTER('Additional Videos-WUO_ERR'!A236, ":"))))</f>
        <v/>
      </c>
    </row>
    <row r="237">
      <c r="A237" s="39">
        <f>IF('Additional Videos'!B237 = "", "", IF('Additional Videos-WUO_ERR'!A237 = "", "Validated", HYPERLINK("#" &amp; ADDRESS(237, 'Additional Videos-WUO_TRK'!A237),_xlfn.TEXTAFTER('Additional Videos-WUO_ERR'!A237, ":"))))</f>
        <v/>
      </c>
    </row>
    <row r="238">
      <c r="A238" s="39">
        <f>IF('Additional Videos'!B238 = "", "", IF('Additional Videos-WUO_ERR'!A238 = "", "Validated", HYPERLINK("#" &amp; ADDRESS(238, 'Additional Videos-WUO_TRK'!A238),_xlfn.TEXTAFTER('Additional Videos-WUO_ERR'!A238, ":"))))</f>
        <v/>
      </c>
    </row>
    <row r="239">
      <c r="A239" s="39">
        <f>IF('Additional Videos'!B239 = "", "", IF('Additional Videos-WUO_ERR'!A239 = "", "Validated", HYPERLINK("#" &amp; ADDRESS(239, 'Additional Videos-WUO_TRK'!A239),_xlfn.TEXTAFTER('Additional Videos-WUO_ERR'!A239, ":"))))</f>
        <v/>
      </c>
    </row>
    <row r="240">
      <c r="A240" s="39">
        <f>IF('Additional Videos'!B240 = "", "", IF('Additional Videos-WUO_ERR'!A240 = "", "Validated", HYPERLINK("#" &amp; ADDRESS(240, 'Additional Videos-WUO_TRK'!A240),_xlfn.TEXTAFTER('Additional Videos-WUO_ERR'!A240, ":"))))</f>
        <v/>
      </c>
    </row>
    <row r="241">
      <c r="A241" s="39">
        <f>IF('Additional Videos'!B241 = "", "", IF('Additional Videos-WUO_ERR'!A241 = "", "Validated", HYPERLINK("#" &amp; ADDRESS(241, 'Additional Videos-WUO_TRK'!A241),_xlfn.TEXTAFTER('Additional Videos-WUO_ERR'!A241, ":"))))</f>
        <v/>
      </c>
    </row>
    <row r="242">
      <c r="A242" s="39">
        <f>IF('Additional Videos'!B242 = "", "", IF('Additional Videos-WUO_ERR'!A242 = "", "Validated", HYPERLINK("#" &amp; ADDRESS(242, 'Additional Videos-WUO_TRK'!A242),_xlfn.TEXTAFTER('Additional Videos-WUO_ERR'!A242, ":"))))</f>
        <v/>
      </c>
    </row>
    <row r="243">
      <c r="A243" s="39">
        <f>IF('Additional Videos'!B243 = "", "", IF('Additional Videos-WUO_ERR'!A243 = "", "Validated", HYPERLINK("#" &amp; ADDRESS(243, 'Additional Videos-WUO_TRK'!A243),_xlfn.TEXTAFTER('Additional Videos-WUO_ERR'!A243, ":"))))</f>
        <v/>
      </c>
    </row>
    <row r="244">
      <c r="A244" s="39">
        <f>IF('Additional Videos'!B244 = "", "", IF('Additional Videos-WUO_ERR'!A244 = "", "Validated", HYPERLINK("#" &amp; ADDRESS(244, 'Additional Videos-WUO_TRK'!A244),_xlfn.TEXTAFTER('Additional Videos-WUO_ERR'!A244, ":"))))</f>
        <v/>
      </c>
    </row>
    <row r="245">
      <c r="A245" s="39">
        <f>IF('Additional Videos'!B245 = "", "", IF('Additional Videos-WUO_ERR'!A245 = "", "Validated", HYPERLINK("#" &amp; ADDRESS(245, 'Additional Videos-WUO_TRK'!A245),_xlfn.TEXTAFTER('Additional Videos-WUO_ERR'!A245, ":"))))</f>
        <v/>
      </c>
    </row>
    <row r="246">
      <c r="A246" s="39">
        <f>IF('Additional Videos'!B246 = "", "", IF('Additional Videos-WUO_ERR'!A246 = "", "Validated", HYPERLINK("#" &amp; ADDRESS(246, 'Additional Videos-WUO_TRK'!A246),_xlfn.TEXTAFTER('Additional Videos-WUO_ERR'!A246, ":"))))</f>
        <v/>
      </c>
    </row>
    <row r="247">
      <c r="A247" s="39">
        <f>IF('Additional Videos'!B247 = "", "", IF('Additional Videos-WUO_ERR'!A247 = "", "Validated", HYPERLINK("#" &amp; ADDRESS(247, 'Additional Videos-WUO_TRK'!A247),_xlfn.TEXTAFTER('Additional Videos-WUO_ERR'!A247, ":"))))</f>
        <v/>
      </c>
    </row>
    <row r="248">
      <c r="A248" s="39">
        <f>IF('Additional Videos'!B248 = "", "", IF('Additional Videos-WUO_ERR'!A248 = "", "Validated", HYPERLINK("#" &amp; ADDRESS(248, 'Additional Videos-WUO_TRK'!A248),_xlfn.TEXTAFTER('Additional Videos-WUO_ERR'!A248, ":"))))</f>
        <v/>
      </c>
    </row>
    <row r="249">
      <c r="A249" s="39">
        <f>IF('Additional Videos'!B249 = "", "", IF('Additional Videos-WUO_ERR'!A249 = "", "Validated", HYPERLINK("#" &amp; ADDRESS(249, 'Additional Videos-WUO_TRK'!A249),_xlfn.TEXTAFTER('Additional Videos-WUO_ERR'!A249, ":"))))</f>
        <v/>
      </c>
    </row>
    <row r="250">
      <c r="A250" s="39">
        <f>IF('Additional Videos'!B250 = "", "", IF('Additional Videos-WUO_ERR'!A250 = "", "Validated", HYPERLINK("#" &amp; ADDRESS(250, 'Additional Videos-WUO_TRK'!A250),_xlfn.TEXTAFTER('Additional Videos-WUO_ERR'!A250, ":"))))</f>
        <v/>
      </c>
    </row>
    <row r="251">
      <c r="A251" s="39">
        <f>IF('Additional Videos'!B251 = "", "", IF('Additional Videos-WUO_ERR'!A251 = "", "Validated", HYPERLINK("#" &amp; ADDRESS(251, 'Additional Videos-WUO_TRK'!A251),_xlfn.TEXTAFTER('Additional Videos-WUO_ERR'!A251, ":"))))</f>
        <v/>
      </c>
    </row>
    <row r="252">
      <c r="A252" s="39">
        <f>IF('Additional Videos'!B252 = "", "", IF('Additional Videos-WUO_ERR'!A252 = "", "Validated", HYPERLINK("#" &amp; ADDRESS(252, 'Additional Videos-WUO_TRK'!A252),_xlfn.TEXTAFTER('Additional Videos-WUO_ERR'!A252, ":"))))</f>
        <v/>
      </c>
    </row>
    <row r="253">
      <c r="A253" s="39">
        <f>IF('Additional Videos'!B253 = "", "", IF('Additional Videos-WUO_ERR'!A253 = "", "Validated", HYPERLINK("#" &amp; ADDRESS(253, 'Additional Videos-WUO_TRK'!A253),_xlfn.TEXTAFTER('Additional Videos-WUO_ERR'!A253, ":"))))</f>
        <v/>
      </c>
    </row>
    <row r="254">
      <c r="A254" s="39">
        <f>IF('Additional Videos'!B254 = "", "", IF('Additional Videos-WUO_ERR'!A254 = "", "Validated", HYPERLINK("#" &amp; ADDRESS(254, 'Additional Videos-WUO_TRK'!A254),_xlfn.TEXTAFTER('Additional Videos-WUO_ERR'!A254, ":"))))</f>
        <v/>
      </c>
    </row>
    <row r="255">
      <c r="A255" s="39">
        <f>IF('Additional Videos'!B255 = "", "", IF('Additional Videos-WUO_ERR'!A255 = "", "Validated", HYPERLINK("#" &amp; ADDRESS(255, 'Additional Videos-WUO_TRK'!A255),_xlfn.TEXTAFTER('Additional Videos-WUO_ERR'!A255, ":"))))</f>
        <v/>
      </c>
    </row>
    <row r="256">
      <c r="A256" s="39">
        <f>IF('Additional Videos'!B256 = "", "", IF('Additional Videos-WUO_ERR'!A256 = "", "Validated", HYPERLINK("#" &amp; ADDRESS(256, 'Additional Videos-WUO_TRK'!A256),_xlfn.TEXTAFTER('Additional Videos-WUO_ERR'!A256, ":"))))</f>
        <v/>
      </c>
    </row>
    <row r="257">
      <c r="A257" s="39">
        <f>IF('Additional Videos'!B257 = "", "", IF('Additional Videos-WUO_ERR'!A257 = "", "Validated", HYPERLINK("#" &amp; ADDRESS(257, 'Additional Videos-WUO_TRK'!A257),_xlfn.TEXTAFTER('Additional Videos-WUO_ERR'!A257, ":"))))</f>
        <v/>
      </c>
    </row>
    <row r="258">
      <c r="A258" s="39">
        <f>IF('Additional Videos'!B258 = "", "", IF('Additional Videos-WUO_ERR'!A258 = "", "Validated", HYPERLINK("#" &amp; ADDRESS(258, 'Additional Videos-WUO_TRK'!A258),_xlfn.TEXTAFTER('Additional Videos-WUO_ERR'!A258, ":"))))</f>
        <v/>
      </c>
    </row>
    <row r="259">
      <c r="A259" s="39">
        <f>IF('Additional Videos'!B259 = "", "", IF('Additional Videos-WUO_ERR'!A259 = "", "Validated", HYPERLINK("#" &amp; ADDRESS(259, 'Additional Videos-WUO_TRK'!A259),_xlfn.TEXTAFTER('Additional Videos-WUO_ERR'!A259, ":"))))</f>
        <v/>
      </c>
    </row>
    <row r="260">
      <c r="A260" s="39">
        <f>IF('Additional Videos'!B260 = "", "", IF('Additional Videos-WUO_ERR'!A260 = "", "Validated", HYPERLINK("#" &amp; ADDRESS(260, 'Additional Videos-WUO_TRK'!A260),_xlfn.TEXTAFTER('Additional Videos-WUO_ERR'!A260, ":"))))</f>
        <v/>
      </c>
    </row>
    <row r="261">
      <c r="A261" s="39">
        <f>IF('Additional Videos'!B261 = "", "", IF('Additional Videos-WUO_ERR'!A261 = "", "Validated", HYPERLINK("#" &amp; ADDRESS(261, 'Additional Videos-WUO_TRK'!A261),_xlfn.TEXTAFTER('Additional Videos-WUO_ERR'!A261, ":"))))</f>
        <v/>
      </c>
    </row>
    <row r="262">
      <c r="A262" s="39">
        <f>IF('Additional Videos'!B262 = "", "", IF('Additional Videos-WUO_ERR'!A262 = "", "Validated", HYPERLINK("#" &amp; ADDRESS(262, 'Additional Videos-WUO_TRK'!A262),_xlfn.TEXTAFTER('Additional Videos-WUO_ERR'!A262, ":"))))</f>
        <v/>
      </c>
    </row>
    <row r="263">
      <c r="A263" s="39">
        <f>IF('Additional Videos'!B263 = "", "", IF('Additional Videos-WUO_ERR'!A263 = "", "Validated", HYPERLINK("#" &amp; ADDRESS(263, 'Additional Videos-WUO_TRK'!A263),_xlfn.TEXTAFTER('Additional Videos-WUO_ERR'!A263, ":"))))</f>
        <v/>
      </c>
    </row>
    <row r="264">
      <c r="A264" s="39">
        <f>IF('Additional Videos'!B264 = "", "", IF('Additional Videos-WUO_ERR'!A264 = "", "Validated", HYPERLINK("#" &amp; ADDRESS(264, 'Additional Videos-WUO_TRK'!A264),_xlfn.TEXTAFTER('Additional Videos-WUO_ERR'!A264, ":"))))</f>
        <v/>
      </c>
    </row>
    <row r="265">
      <c r="A265" s="39">
        <f>IF('Additional Videos'!B265 = "", "", IF('Additional Videos-WUO_ERR'!A265 = "", "Validated", HYPERLINK("#" &amp; ADDRESS(265, 'Additional Videos-WUO_TRK'!A265),_xlfn.TEXTAFTER('Additional Videos-WUO_ERR'!A265, ":"))))</f>
        <v/>
      </c>
    </row>
    <row r="266">
      <c r="A266" s="39">
        <f>IF('Additional Videos'!B266 = "", "", IF('Additional Videos-WUO_ERR'!A266 = "", "Validated", HYPERLINK("#" &amp; ADDRESS(266, 'Additional Videos-WUO_TRK'!A266),_xlfn.TEXTAFTER('Additional Videos-WUO_ERR'!A266, ":"))))</f>
        <v/>
      </c>
    </row>
    <row r="267">
      <c r="A267" s="39">
        <f>IF('Additional Videos'!B267 = "", "", IF('Additional Videos-WUO_ERR'!A267 = "", "Validated", HYPERLINK("#" &amp; ADDRESS(267, 'Additional Videos-WUO_TRK'!A267),_xlfn.TEXTAFTER('Additional Videos-WUO_ERR'!A267, ":"))))</f>
        <v/>
      </c>
    </row>
    <row r="268">
      <c r="A268" s="39">
        <f>IF('Additional Videos'!B268 = "", "", IF('Additional Videos-WUO_ERR'!A268 = "", "Validated", HYPERLINK("#" &amp; ADDRESS(268, 'Additional Videos-WUO_TRK'!A268),_xlfn.TEXTAFTER('Additional Videos-WUO_ERR'!A268, ":"))))</f>
        <v/>
      </c>
    </row>
    <row r="269">
      <c r="A269" s="39">
        <f>IF('Additional Videos'!B269 = "", "", IF('Additional Videos-WUO_ERR'!A269 = "", "Validated", HYPERLINK("#" &amp; ADDRESS(269, 'Additional Videos-WUO_TRK'!A269),_xlfn.TEXTAFTER('Additional Videos-WUO_ERR'!A269, ":"))))</f>
        <v/>
      </c>
    </row>
    <row r="270">
      <c r="A270" s="39">
        <f>IF('Additional Videos'!B270 = "", "", IF('Additional Videos-WUO_ERR'!A270 = "", "Validated", HYPERLINK("#" &amp; ADDRESS(270, 'Additional Videos-WUO_TRK'!A270),_xlfn.TEXTAFTER('Additional Videos-WUO_ERR'!A270, ":"))))</f>
        <v/>
      </c>
    </row>
    <row r="271">
      <c r="A271" s="39">
        <f>IF('Additional Videos'!B271 = "", "", IF('Additional Videos-WUO_ERR'!A271 = "", "Validated", HYPERLINK("#" &amp; ADDRESS(271, 'Additional Videos-WUO_TRK'!A271),_xlfn.TEXTAFTER('Additional Videos-WUO_ERR'!A271, ":"))))</f>
        <v/>
      </c>
    </row>
    <row r="272">
      <c r="A272" s="39">
        <f>IF('Additional Videos'!B272 = "", "", IF('Additional Videos-WUO_ERR'!A272 = "", "Validated", HYPERLINK("#" &amp; ADDRESS(272, 'Additional Videos-WUO_TRK'!A272),_xlfn.TEXTAFTER('Additional Videos-WUO_ERR'!A272, ":"))))</f>
        <v/>
      </c>
    </row>
    <row r="273">
      <c r="A273" s="39">
        <f>IF('Additional Videos'!B273 = "", "", IF('Additional Videos-WUO_ERR'!A273 = "", "Validated", HYPERLINK("#" &amp; ADDRESS(273, 'Additional Videos-WUO_TRK'!A273),_xlfn.TEXTAFTER('Additional Videos-WUO_ERR'!A273, ":"))))</f>
        <v/>
      </c>
    </row>
    <row r="274">
      <c r="A274" s="39">
        <f>IF('Additional Videos'!B274 = "", "", IF('Additional Videos-WUO_ERR'!A274 = "", "Validated", HYPERLINK("#" &amp; ADDRESS(274, 'Additional Videos-WUO_TRK'!A274),_xlfn.TEXTAFTER('Additional Videos-WUO_ERR'!A274, ":"))))</f>
        <v/>
      </c>
    </row>
    <row r="275">
      <c r="A275" s="39">
        <f>IF('Additional Videos'!B275 = "", "", IF('Additional Videos-WUO_ERR'!A275 = "", "Validated", HYPERLINK("#" &amp; ADDRESS(275, 'Additional Videos-WUO_TRK'!A275),_xlfn.TEXTAFTER('Additional Videos-WUO_ERR'!A275, ":"))))</f>
        <v/>
      </c>
    </row>
    <row r="276">
      <c r="A276" s="39">
        <f>IF('Additional Videos'!B276 = "", "", IF('Additional Videos-WUO_ERR'!A276 = "", "Validated", HYPERLINK("#" &amp; ADDRESS(276, 'Additional Videos-WUO_TRK'!A276),_xlfn.TEXTAFTER('Additional Videos-WUO_ERR'!A276, ":"))))</f>
        <v/>
      </c>
    </row>
    <row r="277">
      <c r="A277" s="39">
        <f>IF('Additional Videos'!B277 = "", "", IF('Additional Videos-WUO_ERR'!A277 = "", "Validated", HYPERLINK("#" &amp; ADDRESS(277, 'Additional Videos-WUO_TRK'!A277),_xlfn.TEXTAFTER('Additional Videos-WUO_ERR'!A277, ":"))))</f>
        <v/>
      </c>
    </row>
    <row r="278">
      <c r="A278" s="39">
        <f>IF('Additional Videos'!B278 = "", "", IF('Additional Videos-WUO_ERR'!A278 = "", "Validated", HYPERLINK("#" &amp; ADDRESS(278, 'Additional Videos-WUO_TRK'!A278),_xlfn.TEXTAFTER('Additional Videos-WUO_ERR'!A278, ":"))))</f>
        <v/>
      </c>
    </row>
    <row r="279">
      <c r="A279" s="39">
        <f>IF('Additional Videos'!B279 = "", "", IF('Additional Videos-WUO_ERR'!A279 = "", "Validated", HYPERLINK("#" &amp; ADDRESS(279, 'Additional Videos-WUO_TRK'!A279),_xlfn.TEXTAFTER('Additional Videos-WUO_ERR'!A279, ":"))))</f>
        <v/>
      </c>
    </row>
    <row r="280">
      <c r="A280" s="39">
        <f>IF('Additional Videos'!B280 = "", "", IF('Additional Videos-WUO_ERR'!A280 = "", "Validated", HYPERLINK("#" &amp; ADDRESS(280, 'Additional Videos-WUO_TRK'!A280),_xlfn.TEXTAFTER('Additional Videos-WUO_ERR'!A280, ":"))))</f>
        <v/>
      </c>
    </row>
    <row r="281">
      <c r="A281" s="39">
        <f>IF('Additional Videos'!B281 = "", "", IF('Additional Videos-WUO_ERR'!A281 = "", "Validated", HYPERLINK("#" &amp; ADDRESS(281, 'Additional Videos-WUO_TRK'!A281),_xlfn.TEXTAFTER('Additional Videos-WUO_ERR'!A281, ":"))))</f>
        <v/>
      </c>
    </row>
    <row r="282">
      <c r="A282" s="39">
        <f>IF('Additional Videos'!B282 = "", "", IF('Additional Videos-WUO_ERR'!A282 = "", "Validated", HYPERLINK("#" &amp; ADDRESS(282, 'Additional Videos-WUO_TRK'!A282),_xlfn.TEXTAFTER('Additional Videos-WUO_ERR'!A282, ":"))))</f>
        <v/>
      </c>
    </row>
    <row r="283">
      <c r="A283" s="39">
        <f>IF('Additional Videos'!B283 = "", "", IF('Additional Videos-WUO_ERR'!A283 = "", "Validated", HYPERLINK("#" &amp; ADDRESS(283, 'Additional Videos-WUO_TRK'!A283),_xlfn.TEXTAFTER('Additional Videos-WUO_ERR'!A283, ":"))))</f>
        <v/>
      </c>
    </row>
    <row r="284">
      <c r="A284" s="39">
        <f>IF('Additional Videos'!B284 = "", "", IF('Additional Videos-WUO_ERR'!A284 = "", "Validated", HYPERLINK("#" &amp; ADDRESS(284, 'Additional Videos-WUO_TRK'!A284),_xlfn.TEXTAFTER('Additional Videos-WUO_ERR'!A284, ":"))))</f>
        <v/>
      </c>
    </row>
    <row r="285">
      <c r="A285" s="39">
        <f>IF('Additional Videos'!B285 = "", "", IF('Additional Videos-WUO_ERR'!A285 = "", "Validated", HYPERLINK("#" &amp; ADDRESS(285, 'Additional Videos-WUO_TRK'!A285),_xlfn.TEXTAFTER('Additional Videos-WUO_ERR'!A285, ":"))))</f>
        <v/>
      </c>
    </row>
    <row r="286">
      <c r="A286" s="39">
        <f>IF('Additional Videos'!B286 = "", "", IF('Additional Videos-WUO_ERR'!A286 = "", "Validated", HYPERLINK("#" &amp; ADDRESS(286, 'Additional Videos-WUO_TRK'!A286),_xlfn.TEXTAFTER('Additional Videos-WUO_ERR'!A286, ":"))))</f>
        <v/>
      </c>
    </row>
    <row r="287">
      <c r="A287" s="39">
        <f>IF('Additional Videos'!B287 = "", "", IF('Additional Videos-WUO_ERR'!A287 = "", "Validated", HYPERLINK("#" &amp; ADDRESS(287, 'Additional Videos-WUO_TRK'!A287),_xlfn.TEXTAFTER('Additional Videos-WUO_ERR'!A287, ":"))))</f>
        <v/>
      </c>
    </row>
    <row r="288">
      <c r="A288" s="39">
        <f>IF('Additional Videos'!B288 = "", "", IF('Additional Videos-WUO_ERR'!A288 = "", "Validated", HYPERLINK("#" &amp; ADDRESS(288, 'Additional Videos-WUO_TRK'!A288),_xlfn.TEXTAFTER('Additional Videos-WUO_ERR'!A288, ":"))))</f>
        <v/>
      </c>
    </row>
    <row r="289">
      <c r="A289" s="39">
        <f>IF('Additional Videos'!B289 = "", "", IF('Additional Videos-WUO_ERR'!A289 = "", "Validated", HYPERLINK("#" &amp; ADDRESS(289, 'Additional Videos-WUO_TRK'!A289),_xlfn.TEXTAFTER('Additional Videos-WUO_ERR'!A289, ":"))))</f>
        <v/>
      </c>
    </row>
    <row r="290">
      <c r="A290" s="39">
        <f>IF('Additional Videos'!B290 = "", "", IF('Additional Videos-WUO_ERR'!A290 = "", "Validated", HYPERLINK("#" &amp; ADDRESS(290, 'Additional Videos-WUO_TRK'!A290),_xlfn.TEXTAFTER('Additional Videos-WUO_ERR'!A290, ":"))))</f>
        <v/>
      </c>
    </row>
    <row r="291">
      <c r="A291" s="39">
        <f>IF('Additional Videos'!B291 = "", "", IF('Additional Videos-WUO_ERR'!A291 = "", "Validated", HYPERLINK("#" &amp; ADDRESS(291, 'Additional Videos-WUO_TRK'!A291),_xlfn.TEXTAFTER('Additional Videos-WUO_ERR'!A291, ":"))))</f>
        <v/>
      </c>
    </row>
    <row r="292">
      <c r="A292" s="39">
        <f>IF('Additional Videos'!B292 = "", "", IF('Additional Videos-WUO_ERR'!A292 = "", "Validated", HYPERLINK("#" &amp; ADDRESS(292, 'Additional Videos-WUO_TRK'!A292),_xlfn.TEXTAFTER('Additional Videos-WUO_ERR'!A292, ":"))))</f>
        <v/>
      </c>
    </row>
    <row r="293">
      <c r="A293" s="39">
        <f>IF('Additional Videos'!B293 = "", "", IF('Additional Videos-WUO_ERR'!A293 = "", "Validated", HYPERLINK("#" &amp; ADDRESS(293, 'Additional Videos-WUO_TRK'!A293),_xlfn.TEXTAFTER('Additional Videos-WUO_ERR'!A293, ":"))))</f>
        <v/>
      </c>
    </row>
    <row r="294">
      <c r="A294" s="39">
        <f>IF('Additional Videos'!B294 = "", "", IF('Additional Videos-WUO_ERR'!A294 = "", "Validated", HYPERLINK("#" &amp; ADDRESS(294, 'Additional Videos-WUO_TRK'!A294),_xlfn.TEXTAFTER('Additional Videos-WUO_ERR'!A294, ":"))))</f>
        <v/>
      </c>
    </row>
    <row r="295">
      <c r="A295" s="39">
        <f>IF('Additional Videos'!B295 = "", "", IF('Additional Videos-WUO_ERR'!A295 = "", "Validated", HYPERLINK("#" &amp; ADDRESS(295, 'Additional Videos-WUO_TRK'!A295),_xlfn.TEXTAFTER('Additional Videos-WUO_ERR'!A295, ":"))))</f>
        <v/>
      </c>
    </row>
    <row r="296">
      <c r="A296" s="39">
        <f>IF('Additional Videos'!B296 = "", "", IF('Additional Videos-WUO_ERR'!A296 = "", "Validated", HYPERLINK("#" &amp; ADDRESS(296, 'Additional Videos-WUO_TRK'!A296),_xlfn.TEXTAFTER('Additional Videos-WUO_ERR'!A296, ":"))))</f>
        <v/>
      </c>
    </row>
    <row r="297">
      <c r="A297" s="39">
        <f>IF('Additional Videos'!B297 = "", "", IF('Additional Videos-WUO_ERR'!A297 = "", "Validated", HYPERLINK("#" &amp; ADDRESS(297, 'Additional Videos-WUO_TRK'!A297),_xlfn.TEXTAFTER('Additional Videos-WUO_ERR'!A297, ":"))))</f>
        <v/>
      </c>
    </row>
    <row r="298">
      <c r="A298" s="39">
        <f>IF('Additional Videos'!B298 = "", "", IF('Additional Videos-WUO_ERR'!A298 = "", "Validated", HYPERLINK("#" &amp; ADDRESS(298, 'Additional Videos-WUO_TRK'!A298),_xlfn.TEXTAFTER('Additional Videos-WUO_ERR'!A298, ":"))))</f>
        <v/>
      </c>
    </row>
    <row r="299">
      <c r="A299" s="39">
        <f>IF('Additional Videos'!B299 = "", "", IF('Additional Videos-WUO_ERR'!A299 = "", "Validated", HYPERLINK("#" &amp; ADDRESS(299, 'Additional Videos-WUO_TRK'!A299),_xlfn.TEXTAFTER('Additional Videos-WUO_ERR'!A299, ":"))))</f>
        <v/>
      </c>
    </row>
    <row r="300">
      <c r="A300" s="39">
        <f>IF('Additional Videos'!B300 = "", "", IF('Additional Videos-WUO_ERR'!A300 = "", "Validated", HYPERLINK("#" &amp; ADDRESS(300, 'Additional Videos-WUO_TRK'!A300),_xlfn.TEXTAFTER('Additional Videos-WUO_ERR'!A300, ":"))))</f>
        <v/>
      </c>
    </row>
    <row r="301">
      <c r="A301" s="39">
        <f>IF('Additional Videos'!B301 = "", "", IF('Additional Videos-WUO_ERR'!A301 = "", "Validated", HYPERLINK("#" &amp; ADDRESS(301, 'Additional Videos-WUO_TRK'!A301),_xlfn.TEXTAFTER('Additional Videos-WUO_ERR'!A301, ":"))))</f>
        <v/>
      </c>
    </row>
    <row r="302">
      <c r="A302" s="39">
        <f>IF('Additional Videos'!B302 = "", "", IF('Additional Videos-WUO_ERR'!A302 = "", "Validated", HYPERLINK("#" &amp; ADDRESS(302, 'Additional Videos-WUO_TRK'!A302),_xlfn.TEXTAFTER('Additional Videos-WUO_ERR'!A302, ":"))))</f>
        <v/>
      </c>
    </row>
    <row r="303">
      <c r="A303" s="39">
        <f>IF('Additional Videos'!B303 = "", "", IF('Additional Videos-WUO_ERR'!A303 = "", "Validated", HYPERLINK("#" &amp; ADDRESS(303, 'Additional Videos-WUO_TRK'!A303),_xlfn.TEXTAFTER('Additional Videos-WUO_ERR'!A303, ":"))))</f>
        <v/>
      </c>
    </row>
    <row r="304">
      <c r="A304" s="39">
        <f>IF('Additional Videos'!B304 = "", "", IF('Additional Videos-WUO_ERR'!A304 = "", "Validated", HYPERLINK("#" &amp; ADDRESS(304, 'Additional Videos-WUO_TRK'!A304),_xlfn.TEXTAFTER('Additional Videos-WUO_ERR'!A304, ":"))))</f>
        <v/>
      </c>
    </row>
    <row r="305">
      <c r="A305" s="39">
        <f>IF('Additional Videos'!B305 = "", "", IF('Additional Videos-WUO_ERR'!A305 = "", "Validated", HYPERLINK("#" &amp; ADDRESS(305, 'Additional Videos-WUO_TRK'!A305),_xlfn.TEXTAFTER('Additional Videos-WUO_ERR'!A305, ":"))))</f>
        <v/>
      </c>
    </row>
    <row r="306">
      <c r="A306" s="39">
        <f>IF('Additional Videos'!B306 = "", "", IF('Additional Videos-WUO_ERR'!A306 = "", "Validated", HYPERLINK("#" &amp; ADDRESS(306, 'Additional Videos-WUO_TRK'!A306),_xlfn.TEXTAFTER('Additional Videos-WUO_ERR'!A306, ":"))))</f>
        <v/>
      </c>
    </row>
    <row r="307">
      <c r="A307" s="39">
        <f>IF('Additional Videos'!B307 = "", "", IF('Additional Videos-WUO_ERR'!A307 = "", "Validated", HYPERLINK("#" &amp; ADDRESS(307, 'Additional Videos-WUO_TRK'!A307),_xlfn.TEXTAFTER('Additional Videos-WUO_ERR'!A307, ":"))))</f>
        <v/>
      </c>
    </row>
    <row r="308">
      <c r="A308" s="39">
        <f>IF('Additional Videos'!B308 = "", "", IF('Additional Videos-WUO_ERR'!A308 = "", "Validated", HYPERLINK("#" &amp; ADDRESS(308, 'Additional Videos-WUO_TRK'!A308),_xlfn.TEXTAFTER('Additional Videos-WUO_ERR'!A308, ":"))))</f>
        <v/>
      </c>
    </row>
    <row r="309">
      <c r="A309" s="39">
        <f>IF('Additional Videos'!B309 = "", "", IF('Additional Videos-WUO_ERR'!A309 = "", "Validated", HYPERLINK("#" &amp; ADDRESS(309, 'Additional Videos-WUO_TRK'!A309),_xlfn.TEXTAFTER('Additional Videos-WUO_ERR'!A309, ":"))))</f>
        <v/>
      </c>
    </row>
    <row r="310">
      <c r="A310" s="39">
        <f>IF('Additional Videos'!B310 = "", "", IF('Additional Videos-WUO_ERR'!A310 = "", "Validated", HYPERLINK("#" &amp; ADDRESS(310, 'Additional Videos-WUO_TRK'!A310),_xlfn.TEXTAFTER('Additional Videos-WUO_ERR'!A310, ":"))))</f>
        <v/>
      </c>
    </row>
    <row r="311">
      <c r="A311" s="39">
        <f>IF('Additional Videos'!B311 = "", "", IF('Additional Videos-WUO_ERR'!A311 = "", "Validated", HYPERLINK("#" &amp; ADDRESS(311, 'Additional Videos-WUO_TRK'!A311),_xlfn.TEXTAFTER('Additional Videos-WUO_ERR'!A311, ":"))))</f>
        <v/>
      </c>
    </row>
    <row r="312">
      <c r="A312" s="39">
        <f>IF('Additional Videos'!B312 = "", "", IF('Additional Videos-WUO_ERR'!A312 = "", "Validated", HYPERLINK("#" &amp; ADDRESS(312, 'Additional Videos-WUO_TRK'!A312),_xlfn.TEXTAFTER('Additional Videos-WUO_ERR'!A312, ":"))))</f>
        <v/>
      </c>
    </row>
    <row r="313">
      <c r="A313" s="39">
        <f>IF('Additional Videos'!B313 = "", "", IF('Additional Videos-WUO_ERR'!A313 = "", "Validated", HYPERLINK("#" &amp; ADDRESS(313, 'Additional Videos-WUO_TRK'!A313),_xlfn.TEXTAFTER('Additional Videos-WUO_ERR'!A313, ":"))))</f>
        <v/>
      </c>
    </row>
    <row r="314">
      <c r="A314" s="39">
        <f>IF('Additional Videos'!B314 = "", "", IF('Additional Videos-WUO_ERR'!A314 = "", "Validated", HYPERLINK("#" &amp; ADDRESS(314, 'Additional Videos-WUO_TRK'!A314),_xlfn.TEXTAFTER('Additional Videos-WUO_ERR'!A314, ":"))))</f>
        <v/>
      </c>
    </row>
    <row r="315">
      <c r="A315" s="39">
        <f>IF('Additional Videos'!B315 = "", "", IF('Additional Videos-WUO_ERR'!A315 = "", "Validated", HYPERLINK("#" &amp; ADDRESS(315, 'Additional Videos-WUO_TRK'!A315),_xlfn.TEXTAFTER('Additional Videos-WUO_ERR'!A315, ":"))))</f>
        <v/>
      </c>
    </row>
    <row r="316">
      <c r="A316" s="39">
        <f>IF('Additional Videos'!B316 = "", "", IF('Additional Videos-WUO_ERR'!A316 = "", "Validated", HYPERLINK("#" &amp; ADDRESS(316, 'Additional Videos-WUO_TRK'!A316),_xlfn.TEXTAFTER('Additional Videos-WUO_ERR'!A316, ":"))))</f>
        <v/>
      </c>
    </row>
    <row r="317">
      <c r="A317" s="39">
        <f>IF('Additional Videos'!B317 = "", "", IF('Additional Videos-WUO_ERR'!A317 = "", "Validated", HYPERLINK("#" &amp; ADDRESS(317, 'Additional Videos-WUO_TRK'!A317),_xlfn.TEXTAFTER('Additional Videos-WUO_ERR'!A317, ":"))))</f>
        <v/>
      </c>
    </row>
    <row r="318">
      <c r="A318" s="39">
        <f>IF('Additional Videos'!B318 = "", "", IF('Additional Videos-WUO_ERR'!A318 = "", "Validated", HYPERLINK("#" &amp; ADDRESS(318, 'Additional Videos-WUO_TRK'!A318),_xlfn.TEXTAFTER('Additional Videos-WUO_ERR'!A318, ":"))))</f>
        <v/>
      </c>
    </row>
    <row r="319">
      <c r="A319" s="39">
        <f>IF('Additional Videos'!B319 = "", "", IF('Additional Videos-WUO_ERR'!A319 = "", "Validated", HYPERLINK("#" &amp; ADDRESS(319, 'Additional Videos-WUO_TRK'!A319),_xlfn.TEXTAFTER('Additional Videos-WUO_ERR'!A319, ":"))))</f>
        <v/>
      </c>
    </row>
    <row r="320">
      <c r="A320" s="39">
        <f>IF('Additional Videos'!B320 = "", "", IF('Additional Videos-WUO_ERR'!A320 = "", "Validated", HYPERLINK("#" &amp; ADDRESS(320, 'Additional Videos-WUO_TRK'!A320),_xlfn.TEXTAFTER('Additional Videos-WUO_ERR'!A320, ":"))))</f>
        <v/>
      </c>
    </row>
    <row r="321">
      <c r="A321" s="39">
        <f>IF('Additional Videos'!B321 = "", "", IF('Additional Videos-WUO_ERR'!A321 = "", "Validated", HYPERLINK("#" &amp; ADDRESS(321, 'Additional Videos-WUO_TRK'!A321),_xlfn.TEXTAFTER('Additional Videos-WUO_ERR'!A321, ":"))))</f>
        <v/>
      </c>
    </row>
    <row r="322">
      <c r="A322" s="39">
        <f>IF('Additional Videos'!B322 = "", "", IF('Additional Videos-WUO_ERR'!A322 = "", "Validated", HYPERLINK("#" &amp; ADDRESS(322, 'Additional Videos-WUO_TRK'!A322),_xlfn.TEXTAFTER('Additional Videos-WUO_ERR'!A322, ":"))))</f>
        <v/>
      </c>
    </row>
    <row r="323">
      <c r="A323" s="39">
        <f>IF('Additional Videos'!B323 = "", "", IF('Additional Videos-WUO_ERR'!A323 = "", "Validated", HYPERLINK("#" &amp; ADDRESS(323, 'Additional Videos-WUO_TRK'!A323),_xlfn.TEXTAFTER('Additional Videos-WUO_ERR'!A323, ":"))))</f>
        <v/>
      </c>
    </row>
    <row r="324">
      <c r="A324" s="39">
        <f>IF('Additional Videos'!B324 = "", "", IF('Additional Videos-WUO_ERR'!A324 = "", "Validated", HYPERLINK("#" &amp; ADDRESS(324, 'Additional Videos-WUO_TRK'!A324),_xlfn.TEXTAFTER('Additional Videos-WUO_ERR'!A324, ":"))))</f>
        <v/>
      </c>
    </row>
    <row r="325">
      <c r="A325" s="39">
        <f>IF('Additional Videos'!B325 = "", "", IF('Additional Videos-WUO_ERR'!A325 = "", "Validated", HYPERLINK("#" &amp; ADDRESS(325, 'Additional Videos-WUO_TRK'!A325),_xlfn.TEXTAFTER('Additional Videos-WUO_ERR'!A325, ":"))))</f>
        <v/>
      </c>
    </row>
    <row r="326">
      <c r="A326" s="39">
        <f>IF('Additional Videos'!B326 = "", "", IF('Additional Videos-WUO_ERR'!A326 = "", "Validated", HYPERLINK("#" &amp; ADDRESS(326, 'Additional Videos-WUO_TRK'!A326),_xlfn.TEXTAFTER('Additional Videos-WUO_ERR'!A326, ":"))))</f>
        <v/>
      </c>
    </row>
    <row r="327">
      <c r="A327" s="39">
        <f>IF('Additional Videos'!B327 = "", "", IF('Additional Videos-WUO_ERR'!A327 = "", "Validated", HYPERLINK("#" &amp; ADDRESS(327, 'Additional Videos-WUO_TRK'!A327),_xlfn.TEXTAFTER('Additional Videos-WUO_ERR'!A327, ":"))))</f>
        <v/>
      </c>
    </row>
    <row r="328">
      <c r="A328" s="39">
        <f>IF('Additional Videos'!B328 = "", "", IF('Additional Videos-WUO_ERR'!A328 = "", "Validated", HYPERLINK("#" &amp; ADDRESS(328, 'Additional Videos-WUO_TRK'!A328),_xlfn.TEXTAFTER('Additional Videos-WUO_ERR'!A328, ":"))))</f>
        <v/>
      </c>
    </row>
    <row r="329">
      <c r="A329" s="39">
        <f>IF('Additional Videos'!B329 = "", "", IF('Additional Videos-WUO_ERR'!A329 = "", "Validated", HYPERLINK("#" &amp; ADDRESS(329, 'Additional Videos-WUO_TRK'!A329),_xlfn.TEXTAFTER('Additional Videos-WUO_ERR'!A329, ":"))))</f>
        <v/>
      </c>
    </row>
    <row r="330">
      <c r="A330" s="39">
        <f>IF('Additional Videos'!B330 = "", "", IF('Additional Videos-WUO_ERR'!A330 = "", "Validated", HYPERLINK("#" &amp; ADDRESS(330, 'Additional Videos-WUO_TRK'!A330),_xlfn.TEXTAFTER('Additional Videos-WUO_ERR'!A330, ":"))))</f>
        <v/>
      </c>
    </row>
    <row r="331">
      <c r="A331" s="39">
        <f>IF('Additional Videos'!B331 = "", "", IF('Additional Videos-WUO_ERR'!A331 = "", "Validated", HYPERLINK("#" &amp; ADDRESS(331, 'Additional Videos-WUO_TRK'!A331),_xlfn.TEXTAFTER('Additional Videos-WUO_ERR'!A331, ":"))))</f>
        <v/>
      </c>
    </row>
    <row r="332">
      <c r="A332" s="39">
        <f>IF('Additional Videos'!B332 = "", "", IF('Additional Videos-WUO_ERR'!A332 = "", "Validated", HYPERLINK("#" &amp; ADDRESS(332, 'Additional Videos-WUO_TRK'!A332),_xlfn.TEXTAFTER('Additional Videos-WUO_ERR'!A332, ":"))))</f>
        <v/>
      </c>
    </row>
    <row r="333">
      <c r="A333" s="39">
        <f>IF('Additional Videos'!B333 = "", "", IF('Additional Videos-WUO_ERR'!A333 = "", "Validated", HYPERLINK("#" &amp; ADDRESS(333, 'Additional Videos-WUO_TRK'!A333),_xlfn.TEXTAFTER('Additional Videos-WUO_ERR'!A333, ":"))))</f>
        <v/>
      </c>
    </row>
    <row r="334">
      <c r="A334" s="39">
        <f>IF('Additional Videos'!B334 = "", "", IF('Additional Videos-WUO_ERR'!A334 = "", "Validated", HYPERLINK("#" &amp; ADDRESS(334, 'Additional Videos-WUO_TRK'!A334),_xlfn.TEXTAFTER('Additional Videos-WUO_ERR'!A334, ":"))))</f>
        <v/>
      </c>
    </row>
    <row r="335">
      <c r="A335" s="39">
        <f>IF('Additional Videos'!B335 = "", "", IF('Additional Videos-WUO_ERR'!A335 = "", "Validated", HYPERLINK("#" &amp; ADDRESS(335, 'Additional Videos-WUO_TRK'!A335),_xlfn.TEXTAFTER('Additional Videos-WUO_ERR'!A335, ":"))))</f>
        <v/>
      </c>
    </row>
    <row r="336">
      <c r="A336" s="39">
        <f>IF('Additional Videos'!B336 = "", "", IF('Additional Videos-WUO_ERR'!A336 = "", "Validated", HYPERLINK("#" &amp; ADDRESS(336, 'Additional Videos-WUO_TRK'!A336),_xlfn.TEXTAFTER('Additional Videos-WUO_ERR'!A336, ":"))))</f>
        <v/>
      </c>
    </row>
    <row r="337">
      <c r="A337" s="39">
        <f>IF('Additional Videos'!B337 = "", "", IF('Additional Videos-WUO_ERR'!A337 = "", "Validated", HYPERLINK("#" &amp; ADDRESS(337, 'Additional Videos-WUO_TRK'!A337),_xlfn.TEXTAFTER('Additional Videos-WUO_ERR'!A337, ":"))))</f>
        <v/>
      </c>
    </row>
    <row r="338">
      <c r="A338" s="39">
        <f>IF('Additional Videos'!B338 = "", "", IF('Additional Videos-WUO_ERR'!A338 = "", "Validated", HYPERLINK("#" &amp; ADDRESS(338, 'Additional Videos-WUO_TRK'!A338),_xlfn.TEXTAFTER('Additional Videos-WUO_ERR'!A338, ":"))))</f>
        <v/>
      </c>
    </row>
    <row r="339">
      <c r="A339" s="39">
        <f>IF('Additional Videos'!B339 = "", "", IF('Additional Videos-WUO_ERR'!A339 = "", "Validated", HYPERLINK("#" &amp; ADDRESS(339, 'Additional Videos-WUO_TRK'!A339),_xlfn.TEXTAFTER('Additional Videos-WUO_ERR'!A339, ":"))))</f>
        <v/>
      </c>
    </row>
    <row r="340">
      <c r="A340" s="39">
        <f>IF('Additional Videos'!B340 = "", "", IF('Additional Videos-WUO_ERR'!A340 = "", "Validated", HYPERLINK("#" &amp; ADDRESS(340, 'Additional Videos-WUO_TRK'!A340),_xlfn.TEXTAFTER('Additional Videos-WUO_ERR'!A340, ":"))))</f>
        <v/>
      </c>
    </row>
    <row r="341">
      <c r="A341" s="39">
        <f>IF('Additional Videos'!B341 = "", "", IF('Additional Videos-WUO_ERR'!A341 = "", "Validated", HYPERLINK("#" &amp; ADDRESS(341, 'Additional Videos-WUO_TRK'!A341),_xlfn.TEXTAFTER('Additional Videos-WUO_ERR'!A341, ":"))))</f>
        <v/>
      </c>
    </row>
    <row r="342">
      <c r="A342" s="39">
        <f>IF('Additional Videos'!B342 = "", "", IF('Additional Videos-WUO_ERR'!A342 = "", "Validated", HYPERLINK("#" &amp; ADDRESS(342, 'Additional Videos-WUO_TRK'!A342),_xlfn.TEXTAFTER('Additional Videos-WUO_ERR'!A342, ":"))))</f>
        <v/>
      </c>
    </row>
    <row r="343">
      <c r="A343" s="39">
        <f>IF('Additional Videos'!B343 = "", "", IF('Additional Videos-WUO_ERR'!A343 = "", "Validated", HYPERLINK("#" &amp; ADDRESS(343, 'Additional Videos-WUO_TRK'!A343),_xlfn.TEXTAFTER('Additional Videos-WUO_ERR'!A343, ":"))))</f>
        <v/>
      </c>
    </row>
    <row r="344">
      <c r="A344" s="39">
        <f>IF('Additional Videos'!B344 = "", "", IF('Additional Videos-WUO_ERR'!A344 = "", "Validated", HYPERLINK("#" &amp; ADDRESS(344, 'Additional Videos-WUO_TRK'!A344),_xlfn.TEXTAFTER('Additional Videos-WUO_ERR'!A344, ":"))))</f>
        <v/>
      </c>
    </row>
    <row r="345">
      <c r="A345" s="39">
        <f>IF('Additional Videos'!B345 = "", "", IF('Additional Videos-WUO_ERR'!A345 = "", "Validated", HYPERLINK("#" &amp; ADDRESS(345, 'Additional Videos-WUO_TRK'!A345),_xlfn.TEXTAFTER('Additional Videos-WUO_ERR'!A345, ":"))))</f>
        <v/>
      </c>
    </row>
    <row r="346">
      <c r="A346" s="39">
        <f>IF('Additional Videos'!B346 = "", "", IF('Additional Videos-WUO_ERR'!A346 = "", "Validated", HYPERLINK("#" &amp; ADDRESS(346, 'Additional Videos-WUO_TRK'!A346),_xlfn.TEXTAFTER('Additional Videos-WUO_ERR'!A346, ":"))))</f>
        <v/>
      </c>
    </row>
    <row r="347">
      <c r="A347" s="39">
        <f>IF('Additional Videos'!B347 = "", "", IF('Additional Videos-WUO_ERR'!A347 = "", "Validated", HYPERLINK("#" &amp; ADDRESS(347, 'Additional Videos-WUO_TRK'!A347),_xlfn.TEXTAFTER('Additional Videos-WUO_ERR'!A347, ":"))))</f>
        <v/>
      </c>
    </row>
    <row r="348">
      <c r="A348" s="39">
        <f>IF('Additional Videos'!B348 = "", "", IF('Additional Videos-WUO_ERR'!A348 = "", "Validated", HYPERLINK("#" &amp; ADDRESS(348, 'Additional Videos-WUO_TRK'!A348),_xlfn.TEXTAFTER('Additional Videos-WUO_ERR'!A348, ":"))))</f>
        <v/>
      </c>
    </row>
    <row r="349">
      <c r="A349" s="39">
        <f>IF('Additional Videos'!B349 = "", "", IF('Additional Videos-WUO_ERR'!A349 = "", "Validated", HYPERLINK("#" &amp; ADDRESS(349, 'Additional Videos-WUO_TRK'!A349),_xlfn.TEXTAFTER('Additional Videos-WUO_ERR'!A349, ":"))))</f>
        <v/>
      </c>
    </row>
    <row r="350">
      <c r="A350" s="39">
        <f>IF('Additional Videos'!B350 = "", "", IF('Additional Videos-WUO_ERR'!A350 = "", "Validated", HYPERLINK("#" &amp; ADDRESS(350, 'Additional Videos-WUO_TRK'!A350),_xlfn.TEXTAFTER('Additional Videos-WUO_ERR'!A350, ":"))))</f>
        <v/>
      </c>
    </row>
    <row r="351">
      <c r="A351" s="39">
        <f>IF('Additional Videos'!B351 = "", "", IF('Additional Videos-WUO_ERR'!A351 = "", "Validated", HYPERLINK("#" &amp; ADDRESS(351, 'Additional Videos-WUO_TRK'!A351),_xlfn.TEXTAFTER('Additional Videos-WUO_ERR'!A351, ":"))))</f>
        <v/>
      </c>
    </row>
    <row r="352">
      <c r="A352" s="39">
        <f>IF('Additional Videos'!B352 = "", "", IF('Additional Videos-WUO_ERR'!A352 = "", "Validated", HYPERLINK("#" &amp; ADDRESS(352, 'Additional Videos-WUO_TRK'!A352),_xlfn.TEXTAFTER('Additional Videos-WUO_ERR'!A352, ":"))))</f>
        <v/>
      </c>
    </row>
    <row r="353">
      <c r="A353" s="39">
        <f>IF('Additional Videos'!B353 = "", "", IF('Additional Videos-WUO_ERR'!A353 = "", "Validated", HYPERLINK("#" &amp; ADDRESS(353, 'Additional Videos-WUO_TRK'!A353),_xlfn.TEXTAFTER('Additional Videos-WUO_ERR'!A353, ":"))))</f>
        <v/>
      </c>
    </row>
    <row r="354">
      <c r="A354" s="39">
        <f>IF('Additional Videos'!B354 = "", "", IF('Additional Videos-WUO_ERR'!A354 = "", "Validated", HYPERLINK("#" &amp; ADDRESS(354, 'Additional Videos-WUO_TRK'!A354),_xlfn.TEXTAFTER('Additional Videos-WUO_ERR'!A354, ":"))))</f>
        <v/>
      </c>
    </row>
    <row r="355">
      <c r="A355" s="39">
        <f>IF('Additional Videos'!B355 = "", "", IF('Additional Videos-WUO_ERR'!A355 = "", "Validated", HYPERLINK("#" &amp; ADDRESS(355, 'Additional Videos-WUO_TRK'!A355),_xlfn.TEXTAFTER('Additional Videos-WUO_ERR'!A355, ":"))))</f>
        <v/>
      </c>
    </row>
    <row r="356">
      <c r="A356" s="39">
        <f>IF('Additional Videos'!B356 = "", "", IF('Additional Videos-WUO_ERR'!A356 = "", "Validated", HYPERLINK("#" &amp; ADDRESS(356, 'Additional Videos-WUO_TRK'!A356),_xlfn.TEXTAFTER('Additional Videos-WUO_ERR'!A356, ":"))))</f>
        <v/>
      </c>
    </row>
    <row r="357">
      <c r="A357" s="39">
        <f>IF('Additional Videos'!B357 = "", "", IF('Additional Videos-WUO_ERR'!A357 = "", "Validated", HYPERLINK("#" &amp; ADDRESS(357, 'Additional Videos-WUO_TRK'!A357),_xlfn.TEXTAFTER('Additional Videos-WUO_ERR'!A357, ":"))))</f>
        <v/>
      </c>
    </row>
    <row r="358">
      <c r="A358" s="39">
        <f>IF('Additional Videos'!B358 = "", "", IF('Additional Videos-WUO_ERR'!A358 = "", "Validated", HYPERLINK("#" &amp; ADDRESS(358, 'Additional Videos-WUO_TRK'!A358),_xlfn.TEXTAFTER('Additional Videos-WUO_ERR'!A358, ":"))))</f>
        <v/>
      </c>
    </row>
    <row r="359">
      <c r="A359" s="39">
        <f>IF('Additional Videos'!B359 = "", "", IF('Additional Videos-WUO_ERR'!A359 = "", "Validated", HYPERLINK("#" &amp; ADDRESS(359, 'Additional Videos-WUO_TRK'!A359),_xlfn.TEXTAFTER('Additional Videos-WUO_ERR'!A359, ":"))))</f>
        <v/>
      </c>
    </row>
    <row r="360">
      <c r="A360" s="39">
        <f>IF('Additional Videos'!B360 = "", "", IF('Additional Videos-WUO_ERR'!A360 = "", "Validated", HYPERLINK("#" &amp; ADDRESS(360, 'Additional Videos-WUO_TRK'!A360),_xlfn.TEXTAFTER('Additional Videos-WUO_ERR'!A360, ":"))))</f>
        <v/>
      </c>
    </row>
    <row r="361">
      <c r="A361" s="39">
        <f>IF('Additional Videos'!B361 = "", "", IF('Additional Videos-WUO_ERR'!A361 = "", "Validated", HYPERLINK("#" &amp; ADDRESS(361, 'Additional Videos-WUO_TRK'!A361),_xlfn.TEXTAFTER('Additional Videos-WUO_ERR'!A361, ":"))))</f>
        <v/>
      </c>
    </row>
    <row r="362">
      <c r="A362" s="39">
        <f>IF('Additional Videos'!B362 = "", "", IF('Additional Videos-WUO_ERR'!A362 = "", "Validated", HYPERLINK("#" &amp; ADDRESS(362, 'Additional Videos-WUO_TRK'!A362),_xlfn.TEXTAFTER('Additional Videos-WUO_ERR'!A362, ":"))))</f>
        <v/>
      </c>
    </row>
    <row r="363">
      <c r="A363" s="39">
        <f>IF('Additional Videos'!B363 = "", "", IF('Additional Videos-WUO_ERR'!A363 = "", "Validated", HYPERLINK("#" &amp; ADDRESS(363, 'Additional Videos-WUO_TRK'!A363),_xlfn.TEXTAFTER('Additional Videos-WUO_ERR'!A363, ":"))))</f>
        <v/>
      </c>
    </row>
    <row r="364">
      <c r="A364" s="39">
        <f>IF('Additional Videos'!B364 = "", "", IF('Additional Videos-WUO_ERR'!A364 = "", "Validated", HYPERLINK("#" &amp; ADDRESS(364, 'Additional Videos-WUO_TRK'!A364),_xlfn.TEXTAFTER('Additional Videos-WUO_ERR'!A364, ":"))))</f>
        <v/>
      </c>
    </row>
    <row r="365">
      <c r="A365" s="39">
        <f>IF('Additional Videos'!B365 = "", "", IF('Additional Videos-WUO_ERR'!A365 = "", "Validated", HYPERLINK("#" &amp; ADDRESS(365, 'Additional Videos-WUO_TRK'!A365),_xlfn.TEXTAFTER('Additional Videos-WUO_ERR'!A365, ":"))))</f>
        <v/>
      </c>
    </row>
    <row r="366">
      <c r="A366" s="39">
        <f>IF('Additional Videos'!B366 = "", "", IF('Additional Videos-WUO_ERR'!A366 = "", "Validated", HYPERLINK("#" &amp; ADDRESS(366, 'Additional Videos-WUO_TRK'!A366),_xlfn.TEXTAFTER('Additional Videos-WUO_ERR'!A366, ":"))))</f>
        <v/>
      </c>
    </row>
    <row r="367">
      <c r="A367" s="39">
        <f>IF('Additional Videos'!B367 = "", "", IF('Additional Videos-WUO_ERR'!A367 = "", "Validated", HYPERLINK("#" &amp; ADDRESS(367, 'Additional Videos-WUO_TRK'!A367),_xlfn.TEXTAFTER('Additional Videos-WUO_ERR'!A367, ":"))))</f>
        <v/>
      </c>
    </row>
    <row r="368">
      <c r="A368" s="39">
        <f>IF('Additional Videos'!B368 = "", "", IF('Additional Videos-WUO_ERR'!A368 = "", "Validated", HYPERLINK("#" &amp; ADDRESS(368, 'Additional Videos-WUO_TRK'!A368),_xlfn.TEXTAFTER('Additional Videos-WUO_ERR'!A368, ":"))))</f>
        <v/>
      </c>
    </row>
    <row r="369">
      <c r="A369" s="39">
        <f>IF('Additional Videos'!B369 = "", "", IF('Additional Videos-WUO_ERR'!A369 = "", "Validated", HYPERLINK("#" &amp; ADDRESS(369, 'Additional Videos-WUO_TRK'!A369),_xlfn.TEXTAFTER('Additional Videos-WUO_ERR'!A369, ":"))))</f>
        <v/>
      </c>
    </row>
    <row r="370">
      <c r="A370" s="39">
        <f>IF('Additional Videos'!B370 = "", "", IF('Additional Videos-WUO_ERR'!A370 = "", "Validated", HYPERLINK("#" &amp; ADDRESS(370, 'Additional Videos-WUO_TRK'!A370),_xlfn.TEXTAFTER('Additional Videos-WUO_ERR'!A370, ":"))))</f>
        <v/>
      </c>
    </row>
    <row r="371">
      <c r="A371" s="39">
        <f>IF('Additional Videos'!B371 = "", "", IF('Additional Videos-WUO_ERR'!A371 = "", "Validated", HYPERLINK("#" &amp; ADDRESS(371, 'Additional Videos-WUO_TRK'!A371),_xlfn.TEXTAFTER('Additional Videos-WUO_ERR'!A371, ":"))))</f>
        <v/>
      </c>
    </row>
    <row r="372">
      <c r="A372" s="39">
        <f>IF('Additional Videos'!B372 = "", "", IF('Additional Videos-WUO_ERR'!A372 = "", "Validated", HYPERLINK("#" &amp; ADDRESS(372, 'Additional Videos-WUO_TRK'!A372),_xlfn.TEXTAFTER('Additional Videos-WUO_ERR'!A372, ":"))))</f>
        <v/>
      </c>
    </row>
    <row r="373">
      <c r="A373" s="39">
        <f>IF('Additional Videos'!B373 = "", "", IF('Additional Videos-WUO_ERR'!A373 = "", "Validated", HYPERLINK("#" &amp; ADDRESS(373, 'Additional Videos-WUO_TRK'!A373),_xlfn.TEXTAFTER('Additional Videos-WUO_ERR'!A373, ":"))))</f>
        <v/>
      </c>
    </row>
    <row r="374">
      <c r="A374" s="39">
        <f>IF('Additional Videos'!B374 = "", "", IF('Additional Videos-WUO_ERR'!A374 = "", "Validated", HYPERLINK("#" &amp; ADDRESS(374, 'Additional Videos-WUO_TRK'!A374),_xlfn.TEXTAFTER('Additional Videos-WUO_ERR'!A374, ":"))))</f>
        <v/>
      </c>
    </row>
    <row r="375">
      <c r="A375" s="39">
        <f>IF('Additional Videos'!B375 = "", "", IF('Additional Videos-WUO_ERR'!A375 = "", "Validated", HYPERLINK("#" &amp; ADDRESS(375, 'Additional Videos-WUO_TRK'!A375),_xlfn.TEXTAFTER('Additional Videos-WUO_ERR'!A375, ":"))))</f>
        <v/>
      </c>
    </row>
    <row r="376">
      <c r="A376" s="39">
        <f>IF('Additional Videos'!B376 = "", "", IF('Additional Videos-WUO_ERR'!A376 = "", "Validated", HYPERLINK("#" &amp; ADDRESS(376, 'Additional Videos-WUO_TRK'!A376),_xlfn.TEXTAFTER('Additional Videos-WUO_ERR'!A376, ":"))))</f>
        <v/>
      </c>
    </row>
    <row r="377">
      <c r="A377" s="39">
        <f>IF('Additional Videos'!B377 = "", "", IF('Additional Videos-WUO_ERR'!A377 = "", "Validated", HYPERLINK("#" &amp; ADDRESS(377, 'Additional Videos-WUO_TRK'!A377),_xlfn.TEXTAFTER('Additional Videos-WUO_ERR'!A377, ":"))))</f>
        <v/>
      </c>
    </row>
    <row r="378">
      <c r="A378" s="39">
        <f>IF('Additional Videos'!B378 = "", "", IF('Additional Videos-WUO_ERR'!A378 = "", "Validated", HYPERLINK("#" &amp; ADDRESS(378, 'Additional Videos-WUO_TRK'!A378),_xlfn.TEXTAFTER('Additional Videos-WUO_ERR'!A378, ":"))))</f>
        <v/>
      </c>
    </row>
    <row r="379">
      <c r="A379" s="39">
        <f>IF('Additional Videos'!B379 = "", "", IF('Additional Videos-WUO_ERR'!A379 = "", "Validated", HYPERLINK("#" &amp; ADDRESS(379, 'Additional Videos-WUO_TRK'!A379),_xlfn.TEXTAFTER('Additional Videos-WUO_ERR'!A379, ":"))))</f>
        <v/>
      </c>
    </row>
    <row r="380">
      <c r="A380" s="39">
        <f>IF('Additional Videos'!B380 = "", "", IF('Additional Videos-WUO_ERR'!A380 = "", "Validated", HYPERLINK("#" &amp; ADDRESS(380, 'Additional Videos-WUO_TRK'!A380),_xlfn.TEXTAFTER('Additional Videos-WUO_ERR'!A380, ":"))))</f>
        <v/>
      </c>
    </row>
    <row r="381">
      <c r="A381" s="39">
        <f>IF('Additional Videos'!B381 = "", "", IF('Additional Videos-WUO_ERR'!A381 = "", "Validated", HYPERLINK("#" &amp; ADDRESS(381, 'Additional Videos-WUO_TRK'!A381),_xlfn.TEXTAFTER('Additional Videos-WUO_ERR'!A381, ":"))))</f>
        <v/>
      </c>
    </row>
    <row r="382">
      <c r="A382" s="39">
        <f>IF('Additional Videos'!B382 = "", "", IF('Additional Videos-WUO_ERR'!A382 = "", "Validated", HYPERLINK("#" &amp; ADDRESS(382, 'Additional Videos-WUO_TRK'!A382),_xlfn.TEXTAFTER('Additional Videos-WUO_ERR'!A382, ":"))))</f>
        <v/>
      </c>
    </row>
    <row r="383">
      <c r="A383" s="39">
        <f>IF('Additional Videos'!B383 = "", "", IF('Additional Videos-WUO_ERR'!A383 = "", "Validated", HYPERLINK("#" &amp; ADDRESS(383, 'Additional Videos-WUO_TRK'!A383),_xlfn.TEXTAFTER('Additional Videos-WUO_ERR'!A383, ":"))))</f>
        <v/>
      </c>
    </row>
    <row r="384">
      <c r="A384" s="39">
        <f>IF('Additional Videos'!B384 = "", "", IF('Additional Videos-WUO_ERR'!A384 = "", "Validated", HYPERLINK("#" &amp; ADDRESS(384, 'Additional Videos-WUO_TRK'!A384),_xlfn.TEXTAFTER('Additional Videos-WUO_ERR'!A384, ":"))))</f>
        <v/>
      </c>
    </row>
    <row r="385">
      <c r="A385" s="39">
        <f>IF('Additional Videos'!B385 = "", "", IF('Additional Videos-WUO_ERR'!A385 = "", "Validated", HYPERLINK("#" &amp; ADDRESS(385, 'Additional Videos-WUO_TRK'!A385),_xlfn.TEXTAFTER('Additional Videos-WUO_ERR'!A385, ":"))))</f>
        <v/>
      </c>
    </row>
    <row r="386">
      <c r="A386" s="39">
        <f>IF('Additional Videos'!B386 = "", "", IF('Additional Videos-WUO_ERR'!A386 = "", "Validated", HYPERLINK("#" &amp; ADDRESS(386, 'Additional Videos-WUO_TRK'!A386),_xlfn.TEXTAFTER('Additional Videos-WUO_ERR'!A386, ":"))))</f>
        <v/>
      </c>
    </row>
    <row r="387">
      <c r="A387" s="39">
        <f>IF('Additional Videos'!B387 = "", "", IF('Additional Videos-WUO_ERR'!A387 = "", "Validated", HYPERLINK("#" &amp; ADDRESS(387, 'Additional Videos-WUO_TRK'!A387),_xlfn.TEXTAFTER('Additional Videos-WUO_ERR'!A387, ":"))))</f>
        <v/>
      </c>
    </row>
    <row r="388">
      <c r="A388" s="39">
        <f>IF('Additional Videos'!B388 = "", "", IF('Additional Videos-WUO_ERR'!A388 = "", "Validated", HYPERLINK("#" &amp; ADDRESS(388, 'Additional Videos-WUO_TRK'!A388),_xlfn.TEXTAFTER('Additional Videos-WUO_ERR'!A388, ":"))))</f>
        <v/>
      </c>
    </row>
    <row r="389">
      <c r="A389" s="39">
        <f>IF('Additional Videos'!B389 = "", "", IF('Additional Videos-WUO_ERR'!A389 = "", "Validated", HYPERLINK("#" &amp; ADDRESS(389, 'Additional Videos-WUO_TRK'!A389),_xlfn.TEXTAFTER('Additional Videos-WUO_ERR'!A389, ":"))))</f>
        <v/>
      </c>
    </row>
    <row r="390">
      <c r="A390" s="39">
        <f>IF('Additional Videos'!B390 = "", "", IF('Additional Videos-WUO_ERR'!A390 = "", "Validated", HYPERLINK("#" &amp; ADDRESS(390, 'Additional Videos-WUO_TRK'!A390),_xlfn.TEXTAFTER('Additional Videos-WUO_ERR'!A390, ":"))))</f>
        <v/>
      </c>
    </row>
    <row r="391">
      <c r="A391" s="39">
        <f>IF('Additional Videos'!B391 = "", "", IF('Additional Videos-WUO_ERR'!A391 = "", "Validated", HYPERLINK("#" &amp; ADDRESS(391, 'Additional Videos-WUO_TRK'!A391),_xlfn.TEXTAFTER('Additional Videos-WUO_ERR'!A391, ":"))))</f>
        <v/>
      </c>
    </row>
    <row r="392">
      <c r="A392" s="39">
        <f>IF('Additional Videos'!B392 = "", "", IF('Additional Videos-WUO_ERR'!A392 = "", "Validated", HYPERLINK("#" &amp; ADDRESS(392, 'Additional Videos-WUO_TRK'!A392),_xlfn.TEXTAFTER('Additional Videos-WUO_ERR'!A392, ":"))))</f>
        <v/>
      </c>
    </row>
    <row r="393">
      <c r="A393" s="39">
        <f>IF('Additional Videos'!B393 = "", "", IF('Additional Videos-WUO_ERR'!A393 = "", "Validated", HYPERLINK("#" &amp; ADDRESS(393, 'Additional Videos-WUO_TRK'!A393),_xlfn.TEXTAFTER('Additional Videos-WUO_ERR'!A393, ":"))))</f>
        <v/>
      </c>
    </row>
    <row r="394">
      <c r="A394" s="39">
        <f>IF('Additional Videos'!B394 = "", "", IF('Additional Videos-WUO_ERR'!A394 = "", "Validated", HYPERLINK("#" &amp; ADDRESS(394, 'Additional Videos-WUO_TRK'!A394),_xlfn.TEXTAFTER('Additional Videos-WUO_ERR'!A394, ":"))))</f>
        <v/>
      </c>
    </row>
    <row r="395">
      <c r="A395" s="39">
        <f>IF('Additional Videos'!B395 = "", "", IF('Additional Videos-WUO_ERR'!A395 = "", "Validated", HYPERLINK("#" &amp; ADDRESS(395, 'Additional Videos-WUO_TRK'!A395),_xlfn.TEXTAFTER('Additional Videos-WUO_ERR'!A395, ":"))))</f>
        <v/>
      </c>
    </row>
    <row r="396">
      <c r="A396" s="39">
        <f>IF('Additional Videos'!B396 = "", "", IF('Additional Videos-WUO_ERR'!A396 = "", "Validated", HYPERLINK("#" &amp; ADDRESS(396, 'Additional Videos-WUO_TRK'!A396),_xlfn.TEXTAFTER('Additional Videos-WUO_ERR'!A396, ":"))))</f>
        <v/>
      </c>
    </row>
    <row r="397">
      <c r="A397" s="39">
        <f>IF('Additional Videos'!B397 = "", "", IF('Additional Videos-WUO_ERR'!A397 = "", "Validated", HYPERLINK("#" &amp; ADDRESS(397, 'Additional Videos-WUO_TRK'!A397),_xlfn.TEXTAFTER('Additional Videos-WUO_ERR'!A397, ":"))))</f>
        <v/>
      </c>
    </row>
    <row r="398">
      <c r="A398" s="39">
        <f>IF('Additional Videos'!B398 = "", "", IF('Additional Videos-WUO_ERR'!A398 = "", "Validated", HYPERLINK("#" &amp; ADDRESS(398, 'Additional Videos-WUO_TRK'!A398),_xlfn.TEXTAFTER('Additional Videos-WUO_ERR'!A398, ":"))))</f>
        <v/>
      </c>
    </row>
    <row r="399">
      <c r="A399" s="39">
        <f>IF('Additional Videos'!B399 = "", "", IF('Additional Videos-WUO_ERR'!A399 = "", "Validated", HYPERLINK("#" &amp; ADDRESS(399, 'Additional Videos-WUO_TRK'!A399),_xlfn.TEXTAFTER('Additional Videos-WUO_ERR'!A399, ":"))))</f>
        <v/>
      </c>
    </row>
    <row r="400">
      <c r="A400" s="39">
        <f>IF('Additional Videos'!B400 = "", "", IF('Additional Videos-WUO_ERR'!A400 = "", "Validated", HYPERLINK("#" &amp; ADDRESS(400, 'Additional Videos-WUO_TRK'!A400),_xlfn.TEXTAFTER('Additional Videos-WUO_ERR'!A400, ":"))))</f>
        <v/>
      </c>
    </row>
    <row r="401">
      <c r="A401" s="39">
        <f>IF('Additional Videos'!B401 = "", "", IF('Additional Videos-WUO_ERR'!A401 = "", "Validated", HYPERLINK("#" &amp; ADDRESS(401, 'Additional Videos-WUO_TRK'!A401),_xlfn.TEXTAFTER('Additional Videos-WUO_ERR'!A401, ":"))))</f>
        <v/>
      </c>
    </row>
    <row r="402">
      <c r="A402" s="39">
        <f>IF('Additional Videos'!B402 = "", "", IF('Additional Videos-WUO_ERR'!A402 = "", "Validated", HYPERLINK("#" &amp; ADDRESS(402, 'Additional Videos-WUO_TRK'!A402),_xlfn.TEXTAFTER('Additional Videos-WUO_ERR'!A402, ":"))))</f>
        <v/>
      </c>
    </row>
    <row r="403">
      <c r="A403" s="39">
        <f>IF('Additional Videos'!B403 = "", "", IF('Additional Videos-WUO_ERR'!A403 = "", "Validated", HYPERLINK("#" &amp; ADDRESS(403, 'Additional Videos-WUO_TRK'!A403),_xlfn.TEXTAFTER('Additional Videos-WUO_ERR'!A403, ":"))))</f>
        <v/>
      </c>
    </row>
    <row r="404">
      <c r="A404" s="39">
        <f>IF('Additional Videos'!B404 = "", "", IF('Additional Videos-WUO_ERR'!A404 = "", "Validated", HYPERLINK("#" &amp; ADDRESS(404, 'Additional Videos-WUO_TRK'!A404),_xlfn.TEXTAFTER('Additional Videos-WUO_ERR'!A404, ":"))))</f>
        <v/>
      </c>
    </row>
    <row r="405">
      <c r="A405" s="39">
        <f>IF('Additional Videos'!B405 = "", "", IF('Additional Videos-WUO_ERR'!A405 = "", "Validated", HYPERLINK("#" &amp; ADDRESS(405, 'Additional Videos-WUO_TRK'!A405),_xlfn.TEXTAFTER('Additional Videos-WUO_ERR'!A405, ":"))))</f>
        <v/>
      </c>
    </row>
    <row r="406">
      <c r="A406" s="39">
        <f>IF('Additional Videos'!B406 = "", "", IF('Additional Videos-WUO_ERR'!A406 = "", "Validated", HYPERLINK("#" &amp; ADDRESS(406, 'Additional Videos-WUO_TRK'!A406),_xlfn.TEXTAFTER('Additional Videos-WUO_ERR'!A406, ":"))))</f>
        <v/>
      </c>
    </row>
    <row r="407">
      <c r="A407" s="39">
        <f>IF('Additional Videos'!B407 = "", "", IF('Additional Videos-WUO_ERR'!A407 = "", "Validated", HYPERLINK("#" &amp; ADDRESS(407, 'Additional Videos-WUO_TRK'!A407),_xlfn.TEXTAFTER('Additional Videos-WUO_ERR'!A407, ":"))))</f>
        <v/>
      </c>
    </row>
    <row r="408">
      <c r="A408" s="39">
        <f>IF('Additional Videos'!B408 = "", "", IF('Additional Videos-WUO_ERR'!A408 = "", "Validated", HYPERLINK("#" &amp; ADDRESS(408, 'Additional Videos-WUO_TRK'!A408),_xlfn.TEXTAFTER('Additional Videos-WUO_ERR'!A408, ":"))))</f>
        <v/>
      </c>
    </row>
    <row r="409">
      <c r="A409" s="39">
        <f>IF('Additional Videos'!B409 = "", "", IF('Additional Videos-WUO_ERR'!A409 = "", "Validated", HYPERLINK("#" &amp; ADDRESS(409, 'Additional Videos-WUO_TRK'!A409),_xlfn.TEXTAFTER('Additional Videos-WUO_ERR'!A409, ":"))))</f>
        <v/>
      </c>
    </row>
    <row r="410">
      <c r="A410" s="39">
        <f>IF('Additional Videos'!B410 = "", "", IF('Additional Videos-WUO_ERR'!A410 = "", "Validated", HYPERLINK("#" &amp; ADDRESS(410, 'Additional Videos-WUO_TRK'!A410),_xlfn.TEXTAFTER('Additional Videos-WUO_ERR'!A410, ":"))))</f>
        <v/>
      </c>
    </row>
    <row r="411">
      <c r="A411" s="39">
        <f>IF('Additional Videos'!B411 = "", "", IF('Additional Videos-WUO_ERR'!A411 = "", "Validated", HYPERLINK("#" &amp; ADDRESS(411, 'Additional Videos-WUO_TRK'!A411),_xlfn.TEXTAFTER('Additional Videos-WUO_ERR'!A411, ":"))))</f>
        <v/>
      </c>
    </row>
    <row r="412">
      <c r="A412" s="39">
        <f>IF('Additional Videos'!B412 = "", "", IF('Additional Videos-WUO_ERR'!A412 = "", "Validated", HYPERLINK("#" &amp; ADDRESS(412, 'Additional Videos-WUO_TRK'!A412),_xlfn.TEXTAFTER('Additional Videos-WUO_ERR'!A412, ":"))))</f>
        <v/>
      </c>
    </row>
    <row r="413">
      <c r="A413" s="39">
        <f>IF('Additional Videos'!B413 = "", "", IF('Additional Videos-WUO_ERR'!A413 = "", "Validated", HYPERLINK("#" &amp; ADDRESS(413, 'Additional Videos-WUO_TRK'!A413),_xlfn.TEXTAFTER('Additional Videos-WUO_ERR'!A413, ":"))))</f>
        <v/>
      </c>
    </row>
    <row r="414">
      <c r="A414" s="39">
        <f>IF('Additional Videos'!B414 = "", "", IF('Additional Videos-WUO_ERR'!A414 = "", "Validated", HYPERLINK("#" &amp; ADDRESS(414, 'Additional Videos-WUO_TRK'!A414),_xlfn.TEXTAFTER('Additional Videos-WUO_ERR'!A414, ":"))))</f>
        <v/>
      </c>
    </row>
    <row r="415">
      <c r="A415" s="39">
        <f>IF('Additional Videos'!B415 = "", "", IF('Additional Videos-WUO_ERR'!A415 = "", "Validated", HYPERLINK("#" &amp; ADDRESS(415, 'Additional Videos-WUO_TRK'!A415),_xlfn.TEXTAFTER('Additional Videos-WUO_ERR'!A415, ":"))))</f>
        <v/>
      </c>
    </row>
    <row r="416">
      <c r="A416" s="39">
        <f>IF('Additional Videos'!B416 = "", "", IF('Additional Videos-WUO_ERR'!A416 = "", "Validated", HYPERLINK("#" &amp; ADDRESS(416, 'Additional Videos-WUO_TRK'!A416),_xlfn.TEXTAFTER('Additional Videos-WUO_ERR'!A416, ":"))))</f>
        <v/>
      </c>
    </row>
    <row r="417">
      <c r="A417" s="39">
        <f>IF('Additional Videos'!B417 = "", "", IF('Additional Videos-WUO_ERR'!A417 = "", "Validated", HYPERLINK("#" &amp; ADDRESS(417, 'Additional Videos-WUO_TRK'!A417),_xlfn.TEXTAFTER('Additional Videos-WUO_ERR'!A417, ":"))))</f>
        <v/>
      </c>
    </row>
    <row r="418">
      <c r="A418" s="39">
        <f>IF('Additional Videos'!B418 = "", "", IF('Additional Videos-WUO_ERR'!A418 = "", "Validated", HYPERLINK("#" &amp; ADDRESS(418, 'Additional Videos-WUO_TRK'!A418),_xlfn.TEXTAFTER('Additional Videos-WUO_ERR'!A418, ":"))))</f>
        <v/>
      </c>
    </row>
    <row r="419">
      <c r="A419" s="39">
        <f>IF('Additional Videos'!B419 = "", "", IF('Additional Videos-WUO_ERR'!A419 = "", "Validated", HYPERLINK("#" &amp; ADDRESS(419, 'Additional Videos-WUO_TRK'!A419),_xlfn.TEXTAFTER('Additional Videos-WUO_ERR'!A419, ":"))))</f>
        <v/>
      </c>
    </row>
    <row r="420">
      <c r="A420" s="39">
        <f>IF('Additional Videos'!B420 = "", "", IF('Additional Videos-WUO_ERR'!A420 = "", "Validated", HYPERLINK("#" &amp; ADDRESS(420, 'Additional Videos-WUO_TRK'!A420),_xlfn.TEXTAFTER('Additional Videos-WUO_ERR'!A420, ":"))))</f>
        <v/>
      </c>
    </row>
    <row r="421">
      <c r="A421" s="39">
        <f>IF('Additional Videos'!B421 = "", "", IF('Additional Videos-WUO_ERR'!A421 = "", "Validated", HYPERLINK("#" &amp; ADDRESS(421, 'Additional Videos-WUO_TRK'!A421),_xlfn.TEXTAFTER('Additional Videos-WUO_ERR'!A421, ":"))))</f>
        <v/>
      </c>
    </row>
    <row r="422">
      <c r="A422" s="39">
        <f>IF('Additional Videos'!B422 = "", "", IF('Additional Videos-WUO_ERR'!A422 = "", "Validated", HYPERLINK("#" &amp; ADDRESS(422, 'Additional Videos-WUO_TRK'!A422),_xlfn.TEXTAFTER('Additional Videos-WUO_ERR'!A422, ":"))))</f>
        <v/>
      </c>
    </row>
    <row r="423">
      <c r="A423" s="39">
        <f>IF('Additional Videos'!B423 = "", "", IF('Additional Videos-WUO_ERR'!A423 = "", "Validated", HYPERLINK("#" &amp; ADDRESS(423, 'Additional Videos-WUO_TRK'!A423),_xlfn.TEXTAFTER('Additional Videos-WUO_ERR'!A423, ":"))))</f>
        <v/>
      </c>
    </row>
    <row r="424">
      <c r="A424" s="39">
        <f>IF('Additional Videos'!B424 = "", "", IF('Additional Videos-WUO_ERR'!A424 = "", "Validated", HYPERLINK("#" &amp; ADDRESS(424, 'Additional Videos-WUO_TRK'!A424),_xlfn.TEXTAFTER('Additional Videos-WUO_ERR'!A424, ":"))))</f>
        <v/>
      </c>
    </row>
    <row r="425">
      <c r="A425" s="39">
        <f>IF('Additional Videos'!B425 = "", "", IF('Additional Videos-WUO_ERR'!A425 = "", "Validated", HYPERLINK("#" &amp; ADDRESS(425, 'Additional Videos-WUO_TRK'!A425),_xlfn.TEXTAFTER('Additional Videos-WUO_ERR'!A425, ":"))))</f>
        <v/>
      </c>
    </row>
    <row r="426">
      <c r="A426" s="39">
        <f>IF('Additional Videos'!B426 = "", "", IF('Additional Videos-WUO_ERR'!A426 = "", "Validated", HYPERLINK("#" &amp; ADDRESS(426, 'Additional Videos-WUO_TRK'!A426),_xlfn.TEXTAFTER('Additional Videos-WUO_ERR'!A426, ":"))))</f>
        <v/>
      </c>
    </row>
    <row r="427">
      <c r="A427" s="39">
        <f>IF('Additional Videos'!B427 = "", "", IF('Additional Videos-WUO_ERR'!A427 = "", "Validated", HYPERLINK("#" &amp; ADDRESS(427, 'Additional Videos-WUO_TRK'!A427),_xlfn.TEXTAFTER('Additional Videos-WUO_ERR'!A427, ":"))))</f>
        <v/>
      </c>
    </row>
    <row r="428">
      <c r="A428" s="39">
        <f>IF('Additional Videos'!B428 = "", "", IF('Additional Videos-WUO_ERR'!A428 = "", "Validated", HYPERLINK("#" &amp; ADDRESS(428, 'Additional Videos-WUO_TRK'!A428),_xlfn.TEXTAFTER('Additional Videos-WUO_ERR'!A428, ":"))))</f>
        <v/>
      </c>
    </row>
    <row r="429">
      <c r="A429" s="39">
        <f>IF('Additional Videos'!B429 = "", "", IF('Additional Videos-WUO_ERR'!A429 = "", "Validated", HYPERLINK("#" &amp; ADDRESS(429, 'Additional Videos-WUO_TRK'!A429),_xlfn.TEXTAFTER('Additional Videos-WUO_ERR'!A429, ":"))))</f>
        <v/>
      </c>
    </row>
    <row r="430">
      <c r="A430" s="39">
        <f>IF('Additional Videos'!B430 = "", "", IF('Additional Videos-WUO_ERR'!A430 = "", "Validated", HYPERLINK("#" &amp; ADDRESS(430, 'Additional Videos-WUO_TRK'!A430),_xlfn.TEXTAFTER('Additional Videos-WUO_ERR'!A430, ":"))))</f>
        <v/>
      </c>
    </row>
    <row r="431">
      <c r="A431" s="39">
        <f>IF('Additional Videos'!B431 = "", "", IF('Additional Videos-WUO_ERR'!A431 = "", "Validated", HYPERLINK("#" &amp; ADDRESS(431, 'Additional Videos-WUO_TRK'!A431),_xlfn.TEXTAFTER('Additional Videos-WUO_ERR'!A431, ":"))))</f>
        <v/>
      </c>
    </row>
    <row r="432">
      <c r="A432" s="39">
        <f>IF('Additional Videos'!B432 = "", "", IF('Additional Videos-WUO_ERR'!A432 = "", "Validated", HYPERLINK("#" &amp; ADDRESS(432, 'Additional Videos-WUO_TRK'!A432),_xlfn.TEXTAFTER('Additional Videos-WUO_ERR'!A432, ":"))))</f>
        <v/>
      </c>
    </row>
    <row r="433">
      <c r="A433" s="39">
        <f>IF('Additional Videos'!B433 = "", "", IF('Additional Videos-WUO_ERR'!A433 = "", "Validated", HYPERLINK("#" &amp; ADDRESS(433, 'Additional Videos-WUO_TRK'!A433),_xlfn.TEXTAFTER('Additional Videos-WUO_ERR'!A433, ":"))))</f>
        <v/>
      </c>
    </row>
    <row r="434">
      <c r="A434" s="39">
        <f>IF('Additional Videos'!B434 = "", "", IF('Additional Videos-WUO_ERR'!A434 = "", "Validated", HYPERLINK("#" &amp; ADDRESS(434, 'Additional Videos-WUO_TRK'!A434),_xlfn.TEXTAFTER('Additional Videos-WUO_ERR'!A434, ":"))))</f>
        <v/>
      </c>
    </row>
    <row r="435">
      <c r="A435" s="39">
        <f>IF('Additional Videos'!B435 = "", "", IF('Additional Videos-WUO_ERR'!A435 = "", "Validated", HYPERLINK("#" &amp; ADDRESS(435, 'Additional Videos-WUO_TRK'!A435),_xlfn.TEXTAFTER('Additional Videos-WUO_ERR'!A435, ":"))))</f>
        <v/>
      </c>
    </row>
    <row r="436">
      <c r="A436" s="39">
        <f>IF('Additional Videos'!B436 = "", "", IF('Additional Videos-WUO_ERR'!A436 = "", "Validated", HYPERLINK("#" &amp; ADDRESS(436, 'Additional Videos-WUO_TRK'!A436),_xlfn.TEXTAFTER('Additional Videos-WUO_ERR'!A436, ":"))))</f>
        <v/>
      </c>
    </row>
    <row r="437">
      <c r="A437" s="39">
        <f>IF('Additional Videos'!B437 = "", "", IF('Additional Videos-WUO_ERR'!A437 = "", "Validated", HYPERLINK("#" &amp; ADDRESS(437, 'Additional Videos-WUO_TRK'!A437),_xlfn.TEXTAFTER('Additional Videos-WUO_ERR'!A437, ":"))))</f>
        <v/>
      </c>
    </row>
    <row r="438">
      <c r="A438" s="39">
        <f>IF('Additional Videos'!B438 = "", "", IF('Additional Videos-WUO_ERR'!A438 = "", "Validated", HYPERLINK("#" &amp; ADDRESS(438, 'Additional Videos-WUO_TRK'!A438),_xlfn.TEXTAFTER('Additional Videos-WUO_ERR'!A438, ":"))))</f>
        <v/>
      </c>
    </row>
    <row r="439">
      <c r="A439" s="39">
        <f>IF('Additional Videos'!B439 = "", "", IF('Additional Videos-WUO_ERR'!A439 = "", "Validated", HYPERLINK("#" &amp; ADDRESS(439, 'Additional Videos-WUO_TRK'!A439),_xlfn.TEXTAFTER('Additional Videos-WUO_ERR'!A439, ":"))))</f>
        <v/>
      </c>
    </row>
    <row r="440">
      <c r="A440" s="39">
        <f>IF('Additional Videos'!B440 = "", "", IF('Additional Videos-WUO_ERR'!A440 = "", "Validated", HYPERLINK("#" &amp; ADDRESS(440, 'Additional Videos-WUO_TRK'!A440),_xlfn.TEXTAFTER('Additional Videos-WUO_ERR'!A440, ":"))))</f>
        <v/>
      </c>
    </row>
    <row r="441">
      <c r="A441" s="39">
        <f>IF('Additional Videos'!B441 = "", "", IF('Additional Videos-WUO_ERR'!A441 = "", "Validated", HYPERLINK("#" &amp; ADDRESS(441, 'Additional Videos-WUO_TRK'!A441),_xlfn.TEXTAFTER('Additional Videos-WUO_ERR'!A441, ":"))))</f>
        <v/>
      </c>
    </row>
    <row r="442">
      <c r="A442" s="39">
        <f>IF('Additional Videos'!B442 = "", "", IF('Additional Videos-WUO_ERR'!A442 = "", "Validated", HYPERLINK("#" &amp; ADDRESS(442, 'Additional Videos-WUO_TRK'!A442),_xlfn.TEXTAFTER('Additional Videos-WUO_ERR'!A442, ":"))))</f>
        <v/>
      </c>
    </row>
    <row r="443">
      <c r="A443" s="39">
        <f>IF('Additional Videos'!B443 = "", "", IF('Additional Videos-WUO_ERR'!A443 = "", "Validated", HYPERLINK("#" &amp; ADDRESS(443, 'Additional Videos-WUO_TRK'!A443),_xlfn.TEXTAFTER('Additional Videos-WUO_ERR'!A443, ":"))))</f>
        <v/>
      </c>
    </row>
    <row r="444">
      <c r="A444" s="39">
        <f>IF('Additional Videos'!B444 = "", "", IF('Additional Videos-WUO_ERR'!A444 = "", "Validated", HYPERLINK("#" &amp; ADDRESS(444, 'Additional Videos-WUO_TRK'!A444),_xlfn.TEXTAFTER('Additional Videos-WUO_ERR'!A444, ":"))))</f>
        <v/>
      </c>
    </row>
    <row r="445">
      <c r="A445" s="39">
        <f>IF('Additional Videos'!B445 = "", "", IF('Additional Videos-WUO_ERR'!A445 = "", "Validated", HYPERLINK("#" &amp; ADDRESS(445, 'Additional Videos-WUO_TRK'!A445),_xlfn.TEXTAFTER('Additional Videos-WUO_ERR'!A445, ":"))))</f>
        <v/>
      </c>
    </row>
    <row r="446">
      <c r="A446" s="39">
        <f>IF('Additional Videos'!B446 = "", "", IF('Additional Videos-WUO_ERR'!A446 = "", "Validated", HYPERLINK("#" &amp; ADDRESS(446, 'Additional Videos-WUO_TRK'!A446),_xlfn.TEXTAFTER('Additional Videos-WUO_ERR'!A446, ":"))))</f>
        <v/>
      </c>
    </row>
    <row r="447">
      <c r="A447" s="39">
        <f>IF('Additional Videos'!B447 = "", "", IF('Additional Videos-WUO_ERR'!A447 = "", "Validated", HYPERLINK("#" &amp; ADDRESS(447, 'Additional Videos-WUO_TRK'!A447),_xlfn.TEXTAFTER('Additional Videos-WUO_ERR'!A447, ":"))))</f>
        <v/>
      </c>
    </row>
    <row r="448">
      <c r="A448" s="39">
        <f>IF('Additional Videos'!B448 = "", "", IF('Additional Videos-WUO_ERR'!A448 = "", "Validated", HYPERLINK("#" &amp; ADDRESS(448, 'Additional Videos-WUO_TRK'!A448),_xlfn.TEXTAFTER('Additional Videos-WUO_ERR'!A448, ":"))))</f>
        <v/>
      </c>
    </row>
    <row r="449">
      <c r="A449" s="39">
        <f>IF('Additional Videos'!B449 = "", "", IF('Additional Videos-WUO_ERR'!A449 = "", "Validated", HYPERLINK("#" &amp; ADDRESS(449, 'Additional Videos-WUO_TRK'!A449),_xlfn.TEXTAFTER('Additional Videos-WUO_ERR'!A449, ":"))))</f>
        <v/>
      </c>
    </row>
    <row r="450">
      <c r="A450" s="39">
        <f>IF('Additional Videos'!B450 = "", "", IF('Additional Videos-WUO_ERR'!A450 = "", "Validated", HYPERLINK("#" &amp; ADDRESS(450, 'Additional Videos-WUO_TRK'!A450),_xlfn.TEXTAFTER('Additional Videos-WUO_ERR'!A450, ":"))))</f>
        <v/>
      </c>
    </row>
    <row r="451">
      <c r="A451" s="39">
        <f>IF('Additional Videos'!B451 = "", "", IF('Additional Videos-WUO_ERR'!A451 = "", "Validated", HYPERLINK("#" &amp; ADDRESS(451, 'Additional Videos-WUO_TRK'!A451),_xlfn.TEXTAFTER('Additional Videos-WUO_ERR'!A451, ":"))))</f>
        <v/>
      </c>
    </row>
    <row r="452">
      <c r="A452" s="39">
        <f>IF('Additional Videos'!B452 = "", "", IF('Additional Videos-WUO_ERR'!A452 = "", "Validated", HYPERLINK("#" &amp; ADDRESS(452, 'Additional Videos-WUO_TRK'!A452),_xlfn.TEXTAFTER('Additional Videos-WUO_ERR'!A452, ":"))))</f>
        <v/>
      </c>
    </row>
    <row r="453">
      <c r="A453" s="39">
        <f>IF('Additional Videos'!B453 = "", "", IF('Additional Videos-WUO_ERR'!A453 = "", "Validated", HYPERLINK("#" &amp; ADDRESS(453, 'Additional Videos-WUO_TRK'!A453),_xlfn.TEXTAFTER('Additional Videos-WUO_ERR'!A453, ":"))))</f>
        <v/>
      </c>
    </row>
    <row r="454">
      <c r="A454" s="39">
        <f>IF('Additional Videos'!B454 = "", "", IF('Additional Videos-WUO_ERR'!A454 = "", "Validated", HYPERLINK("#" &amp; ADDRESS(454, 'Additional Videos-WUO_TRK'!A454),_xlfn.TEXTAFTER('Additional Videos-WUO_ERR'!A454, ":"))))</f>
        <v/>
      </c>
    </row>
    <row r="455">
      <c r="A455" s="39">
        <f>IF('Additional Videos'!B455 = "", "", IF('Additional Videos-WUO_ERR'!A455 = "", "Validated", HYPERLINK("#" &amp; ADDRESS(455, 'Additional Videos-WUO_TRK'!A455),_xlfn.TEXTAFTER('Additional Videos-WUO_ERR'!A455, ":"))))</f>
        <v/>
      </c>
    </row>
    <row r="456">
      <c r="A456" s="39">
        <f>IF('Additional Videos'!B456 = "", "", IF('Additional Videos-WUO_ERR'!A456 = "", "Validated", HYPERLINK("#" &amp; ADDRESS(456, 'Additional Videos-WUO_TRK'!A456),_xlfn.TEXTAFTER('Additional Videos-WUO_ERR'!A456, ":"))))</f>
        <v/>
      </c>
    </row>
    <row r="457">
      <c r="A457" s="39">
        <f>IF('Additional Videos'!B457 = "", "", IF('Additional Videos-WUO_ERR'!A457 = "", "Validated", HYPERLINK("#" &amp; ADDRESS(457, 'Additional Videos-WUO_TRK'!A457),_xlfn.TEXTAFTER('Additional Videos-WUO_ERR'!A457, ":"))))</f>
        <v/>
      </c>
    </row>
    <row r="458">
      <c r="A458" s="39">
        <f>IF('Additional Videos'!B458 = "", "", IF('Additional Videos-WUO_ERR'!A458 = "", "Validated", HYPERLINK("#" &amp; ADDRESS(458, 'Additional Videos-WUO_TRK'!A458),_xlfn.TEXTAFTER('Additional Videos-WUO_ERR'!A458, ":"))))</f>
        <v/>
      </c>
    </row>
    <row r="459">
      <c r="A459" s="39">
        <f>IF('Additional Videos'!B459 = "", "", IF('Additional Videos-WUO_ERR'!A459 = "", "Validated", HYPERLINK("#" &amp; ADDRESS(459, 'Additional Videos-WUO_TRK'!A459),_xlfn.TEXTAFTER('Additional Videos-WUO_ERR'!A459, ":"))))</f>
        <v/>
      </c>
    </row>
    <row r="460">
      <c r="A460" s="39">
        <f>IF('Additional Videos'!B460 = "", "", IF('Additional Videos-WUO_ERR'!A460 = "", "Validated", HYPERLINK("#" &amp; ADDRESS(460, 'Additional Videos-WUO_TRK'!A460),_xlfn.TEXTAFTER('Additional Videos-WUO_ERR'!A460, ":"))))</f>
        <v/>
      </c>
    </row>
    <row r="461">
      <c r="A461" s="39">
        <f>IF('Additional Videos'!B461 = "", "", IF('Additional Videos-WUO_ERR'!A461 = "", "Validated", HYPERLINK("#" &amp; ADDRESS(461, 'Additional Videos-WUO_TRK'!A461),_xlfn.TEXTAFTER('Additional Videos-WUO_ERR'!A461, ":"))))</f>
        <v/>
      </c>
    </row>
    <row r="462">
      <c r="A462" s="39">
        <f>IF('Additional Videos'!B462 = "", "", IF('Additional Videos-WUO_ERR'!A462 = "", "Validated", HYPERLINK("#" &amp; ADDRESS(462, 'Additional Videos-WUO_TRK'!A462),_xlfn.TEXTAFTER('Additional Videos-WUO_ERR'!A462, ":"))))</f>
        <v/>
      </c>
    </row>
    <row r="463">
      <c r="A463" s="39">
        <f>IF('Additional Videos'!B463 = "", "", IF('Additional Videos-WUO_ERR'!A463 = "", "Validated", HYPERLINK("#" &amp; ADDRESS(463, 'Additional Videos-WUO_TRK'!A463),_xlfn.TEXTAFTER('Additional Videos-WUO_ERR'!A463, ":"))))</f>
        <v/>
      </c>
    </row>
    <row r="464">
      <c r="A464" s="39">
        <f>IF('Additional Videos'!B464 = "", "", IF('Additional Videos-WUO_ERR'!A464 = "", "Validated", HYPERLINK("#" &amp; ADDRESS(464, 'Additional Videos-WUO_TRK'!A464),_xlfn.TEXTAFTER('Additional Videos-WUO_ERR'!A464, ":"))))</f>
        <v/>
      </c>
    </row>
    <row r="465">
      <c r="A465" s="39">
        <f>IF('Additional Videos'!B465 = "", "", IF('Additional Videos-WUO_ERR'!A465 = "", "Validated", HYPERLINK("#" &amp; ADDRESS(465, 'Additional Videos-WUO_TRK'!A465),_xlfn.TEXTAFTER('Additional Videos-WUO_ERR'!A465, ":"))))</f>
        <v/>
      </c>
    </row>
    <row r="466">
      <c r="A466" s="39">
        <f>IF('Additional Videos'!B466 = "", "", IF('Additional Videos-WUO_ERR'!A466 = "", "Validated", HYPERLINK("#" &amp; ADDRESS(466, 'Additional Videos-WUO_TRK'!A466),_xlfn.TEXTAFTER('Additional Videos-WUO_ERR'!A466, ":"))))</f>
        <v/>
      </c>
    </row>
    <row r="467">
      <c r="A467" s="39">
        <f>IF('Additional Videos'!B467 = "", "", IF('Additional Videos-WUO_ERR'!A467 = "", "Validated", HYPERLINK("#" &amp; ADDRESS(467, 'Additional Videos-WUO_TRK'!A467),_xlfn.TEXTAFTER('Additional Videos-WUO_ERR'!A467, ":"))))</f>
        <v/>
      </c>
    </row>
    <row r="468">
      <c r="A468" s="39">
        <f>IF('Additional Videos'!B468 = "", "", IF('Additional Videos-WUO_ERR'!A468 = "", "Validated", HYPERLINK("#" &amp; ADDRESS(468, 'Additional Videos-WUO_TRK'!A468),_xlfn.TEXTAFTER('Additional Videos-WUO_ERR'!A468, ":"))))</f>
        <v/>
      </c>
    </row>
    <row r="469">
      <c r="A469" s="39">
        <f>IF('Additional Videos'!B469 = "", "", IF('Additional Videos-WUO_ERR'!A469 = "", "Validated", HYPERLINK("#" &amp; ADDRESS(469, 'Additional Videos-WUO_TRK'!A469),_xlfn.TEXTAFTER('Additional Videos-WUO_ERR'!A469, ":"))))</f>
        <v/>
      </c>
    </row>
    <row r="470">
      <c r="A470" s="39">
        <f>IF('Additional Videos'!B470 = "", "", IF('Additional Videos-WUO_ERR'!A470 = "", "Validated", HYPERLINK("#" &amp; ADDRESS(470, 'Additional Videos-WUO_TRK'!A470),_xlfn.TEXTAFTER('Additional Videos-WUO_ERR'!A470, ":"))))</f>
        <v/>
      </c>
    </row>
    <row r="471">
      <c r="A471" s="39">
        <f>IF('Additional Videos'!B471 = "", "", IF('Additional Videos-WUO_ERR'!A471 = "", "Validated", HYPERLINK("#" &amp; ADDRESS(471, 'Additional Videos-WUO_TRK'!A471),_xlfn.TEXTAFTER('Additional Videos-WUO_ERR'!A471, ":"))))</f>
        <v/>
      </c>
    </row>
    <row r="472">
      <c r="A472" s="39">
        <f>IF('Additional Videos'!B472 = "", "", IF('Additional Videos-WUO_ERR'!A472 = "", "Validated", HYPERLINK("#" &amp; ADDRESS(472, 'Additional Videos-WUO_TRK'!A472),_xlfn.TEXTAFTER('Additional Videos-WUO_ERR'!A472, ":"))))</f>
        <v/>
      </c>
    </row>
    <row r="473">
      <c r="A473" s="39">
        <f>IF('Additional Videos'!B473 = "", "", IF('Additional Videos-WUO_ERR'!A473 = "", "Validated", HYPERLINK("#" &amp; ADDRESS(473, 'Additional Videos-WUO_TRK'!A473),_xlfn.TEXTAFTER('Additional Videos-WUO_ERR'!A473, ":"))))</f>
        <v/>
      </c>
    </row>
    <row r="474">
      <c r="A474" s="39">
        <f>IF('Additional Videos'!B474 = "", "", IF('Additional Videos-WUO_ERR'!A474 = "", "Validated", HYPERLINK("#" &amp; ADDRESS(474, 'Additional Videos-WUO_TRK'!A474),_xlfn.TEXTAFTER('Additional Videos-WUO_ERR'!A474, ":"))))</f>
        <v/>
      </c>
    </row>
    <row r="475">
      <c r="A475" s="39">
        <f>IF('Additional Videos'!B475 = "", "", IF('Additional Videos-WUO_ERR'!A475 = "", "Validated", HYPERLINK("#" &amp; ADDRESS(475, 'Additional Videos-WUO_TRK'!A475),_xlfn.TEXTAFTER('Additional Videos-WUO_ERR'!A475, ":"))))</f>
        <v/>
      </c>
    </row>
    <row r="476">
      <c r="A476" s="39">
        <f>IF('Additional Videos'!B476 = "", "", IF('Additional Videos-WUO_ERR'!A476 = "", "Validated", HYPERLINK("#" &amp; ADDRESS(476, 'Additional Videos-WUO_TRK'!A476),_xlfn.TEXTAFTER('Additional Videos-WUO_ERR'!A476, ":"))))</f>
        <v/>
      </c>
    </row>
    <row r="477">
      <c r="A477" s="39">
        <f>IF('Additional Videos'!B477 = "", "", IF('Additional Videos-WUO_ERR'!A477 = "", "Validated", HYPERLINK("#" &amp; ADDRESS(477, 'Additional Videos-WUO_TRK'!A477),_xlfn.TEXTAFTER('Additional Videos-WUO_ERR'!A477, ":"))))</f>
        <v/>
      </c>
    </row>
    <row r="478">
      <c r="A478" s="39">
        <f>IF('Additional Videos'!B478 = "", "", IF('Additional Videos-WUO_ERR'!A478 = "", "Validated", HYPERLINK("#" &amp; ADDRESS(478, 'Additional Videos-WUO_TRK'!A478),_xlfn.TEXTAFTER('Additional Videos-WUO_ERR'!A478, ":"))))</f>
        <v/>
      </c>
    </row>
    <row r="479">
      <c r="A479" s="39">
        <f>IF('Additional Videos'!B479 = "", "", IF('Additional Videos-WUO_ERR'!A479 = "", "Validated", HYPERLINK("#" &amp; ADDRESS(479, 'Additional Videos-WUO_TRK'!A479),_xlfn.TEXTAFTER('Additional Videos-WUO_ERR'!A479, ":"))))</f>
        <v/>
      </c>
    </row>
    <row r="480">
      <c r="A480" s="39">
        <f>IF('Additional Videos'!B480 = "", "", IF('Additional Videos-WUO_ERR'!A480 = "", "Validated", HYPERLINK("#" &amp; ADDRESS(480, 'Additional Videos-WUO_TRK'!A480),_xlfn.TEXTAFTER('Additional Videos-WUO_ERR'!A480, ":"))))</f>
        <v/>
      </c>
    </row>
    <row r="481">
      <c r="A481" s="39">
        <f>IF('Additional Videos'!B481 = "", "", IF('Additional Videos-WUO_ERR'!A481 = "", "Validated", HYPERLINK("#" &amp; ADDRESS(481, 'Additional Videos-WUO_TRK'!A481),_xlfn.TEXTAFTER('Additional Videos-WUO_ERR'!A481, ":"))))</f>
        <v/>
      </c>
    </row>
    <row r="482">
      <c r="A482" s="39">
        <f>IF('Additional Videos'!B482 = "", "", IF('Additional Videos-WUO_ERR'!A482 = "", "Validated", HYPERLINK("#" &amp; ADDRESS(482, 'Additional Videos-WUO_TRK'!A482),_xlfn.TEXTAFTER('Additional Videos-WUO_ERR'!A482, ":"))))</f>
        <v/>
      </c>
    </row>
    <row r="483">
      <c r="A483" s="39">
        <f>IF('Additional Videos'!B483 = "", "", IF('Additional Videos-WUO_ERR'!A483 = "", "Validated", HYPERLINK("#" &amp; ADDRESS(483, 'Additional Videos-WUO_TRK'!A483),_xlfn.TEXTAFTER('Additional Videos-WUO_ERR'!A483, ":"))))</f>
        <v/>
      </c>
    </row>
    <row r="484">
      <c r="A484" s="39">
        <f>IF('Additional Videos'!B484 = "", "", IF('Additional Videos-WUO_ERR'!A484 = "", "Validated", HYPERLINK("#" &amp; ADDRESS(484, 'Additional Videos-WUO_TRK'!A484),_xlfn.TEXTAFTER('Additional Videos-WUO_ERR'!A484, ":"))))</f>
        <v/>
      </c>
    </row>
    <row r="485">
      <c r="A485" s="39">
        <f>IF('Additional Videos'!B485 = "", "", IF('Additional Videos-WUO_ERR'!A485 = "", "Validated", HYPERLINK("#" &amp; ADDRESS(485, 'Additional Videos-WUO_TRK'!A485),_xlfn.TEXTAFTER('Additional Videos-WUO_ERR'!A485, ":"))))</f>
        <v/>
      </c>
    </row>
    <row r="486">
      <c r="A486" s="39">
        <f>IF('Additional Videos'!B486 = "", "", IF('Additional Videos-WUO_ERR'!A486 = "", "Validated", HYPERLINK("#" &amp; ADDRESS(486, 'Additional Videos-WUO_TRK'!A486),_xlfn.TEXTAFTER('Additional Videos-WUO_ERR'!A486, ":"))))</f>
        <v/>
      </c>
    </row>
    <row r="487">
      <c r="A487" s="39">
        <f>IF('Additional Videos'!B487 = "", "", IF('Additional Videos-WUO_ERR'!A487 = "", "Validated", HYPERLINK("#" &amp; ADDRESS(487, 'Additional Videos-WUO_TRK'!A487),_xlfn.TEXTAFTER('Additional Videos-WUO_ERR'!A487, ":"))))</f>
        <v/>
      </c>
    </row>
    <row r="488">
      <c r="A488" s="39">
        <f>IF('Additional Videos'!B488 = "", "", IF('Additional Videos-WUO_ERR'!A488 = "", "Validated", HYPERLINK("#" &amp; ADDRESS(488, 'Additional Videos-WUO_TRK'!A488),_xlfn.TEXTAFTER('Additional Videos-WUO_ERR'!A488, ":"))))</f>
        <v/>
      </c>
    </row>
    <row r="489">
      <c r="A489" s="39">
        <f>IF('Additional Videos'!B489 = "", "", IF('Additional Videos-WUO_ERR'!A489 = "", "Validated", HYPERLINK("#" &amp; ADDRESS(489, 'Additional Videos-WUO_TRK'!A489),_xlfn.TEXTAFTER('Additional Videos-WUO_ERR'!A489, ":"))))</f>
        <v/>
      </c>
    </row>
    <row r="490">
      <c r="A490" s="39">
        <f>IF('Additional Videos'!B490 = "", "", IF('Additional Videos-WUO_ERR'!A490 = "", "Validated", HYPERLINK("#" &amp; ADDRESS(490, 'Additional Videos-WUO_TRK'!A490),_xlfn.TEXTAFTER('Additional Videos-WUO_ERR'!A490, ":"))))</f>
        <v/>
      </c>
    </row>
    <row r="491">
      <c r="A491" s="39">
        <f>IF('Additional Videos'!B491 = "", "", IF('Additional Videos-WUO_ERR'!A491 = "", "Validated", HYPERLINK("#" &amp; ADDRESS(491, 'Additional Videos-WUO_TRK'!A491),_xlfn.TEXTAFTER('Additional Videos-WUO_ERR'!A491, ":"))))</f>
        <v/>
      </c>
    </row>
    <row r="492">
      <c r="A492" s="39">
        <f>IF('Additional Videos'!B492 = "", "", IF('Additional Videos-WUO_ERR'!A492 = "", "Validated", HYPERLINK("#" &amp; ADDRESS(492, 'Additional Videos-WUO_TRK'!A492),_xlfn.TEXTAFTER('Additional Videos-WUO_ERR'!A492, ":"))))</f>
        <v/>
      </c>
    </row>
    <row r="493">
      <c r="A493" s="39">
        <f>IF('Additional Videos'!B493 = "", "", IF('Additional Videos-WUO_ERR'!A493 = "", "Validated", HYPERLINK("#" &amp; ADDRESS(493, 'Additional Videos-WUO_TRK'!A493),_xlfn.TEXTAFTER('Additional Videos-WUO_ERR'!A493, ":"))))</f>
        <v/>
      </c>
    </row>
    <row r="494">
      <c r="A494" s="39">
        <f>IF('Additional Videos'!B494 = "", "", IF('Additional Videos-WUO_ERR'!A494 = "", "Validated", HYPERLINK("#" &amp; ADDRESS(494, 'Additional Videos-WUO_TRK'!A494),_xlfn.TEXTAFTER('Additional Videos-WUO_ERR'!A494, ":"))))</f>
        <v/>
      </c>
    </row>
    <row r="495">
      <c r="A495" s="39">
        <f>IF('Additional Videos'!B495 = "", "", IF('Additional Videos-WUO_ERR'!A495 = "", "Validated", HYPERLINK("#" &amp; ADDRESS(495, 'Additional Videos-WUO_TRK'!A495),_xlfn.TEXTAFTER('Additional Videos-WUO_ERR'!A495, ":"))))</f>
        <v/>
      </c>
    </row>
    <row r="496">
      <c r="A496" s="39">
        <f>IF('Additional Videos'!B496 = "", "", IF('Additional Videos-WUO_ERR'!A496 = "", "Validated", HYPERLINK("#" &amp; ADDRESS(496, 'Additional Videos-WUO_TRK'!A496),_xlfn.TEXTAFTER('Additional Videos-WUO_ERR'!A496, ":"))))</f>
        <v/>
      </c>
    </row>
    <row r="497">
      <c r="A497" s="39">
        <f>IF('Additional Videos'!B497 = "", "", IF('Additional Videos-WUO_ERR'!A497 = "", "Validated", HYPERLINK("#" &amp; ADDRESS(497, 'Additional Videos-WUO_TRK'!A497),_xlfn.TEXTAFTER('Additional Videos-WUO_ERR'!A497, ":"))))</f>
        <v/>
      </c>
    </row>
    <row r="498">
      <c r="A498" s="39">
        <f>IF('Additional Videos'!B498 = "", "", IF('Additional Videos-WUO_ERR'!A498 = "", "Validated", HYPERLINK("#" &amp; ADDRESS(498, 'Additional Videos-WUO_TRK'!A498),_xlfn.TEXTAFTER('Additional Videos-WUO_ERR'!A498, ":"))))</f>
        <v/>
      </c>
    </row>
    <row r="499">
      <c r="A499" s="39">
        <f>IF('Additional Videos'!B499 = "", "", IF('Additional Videos-WUO_ERR'!A499 = "", "Validated", HYPERLINK("#" &amp; ADDRESS(499, 'Additional Videos-WUO_TRK'!A499),_xlfn.TEXTAFTER('Additional Videos-WUO_ERR'!A499, ":"))))</f>
        <v/>
      </c>
    </row>
    <row r="500">
      <c r="A500" s="39">
        <f>IF('Additional Videos'!B500 = "", "", IF('Additional Videos-WUO_ERR'!A500 = "", "Validated", HYPERLINK("#" &amp; ADDRESS(500, 'Additional Videos-WUO_TRK'!A500),_xlfn.TEXTAFTER('Additional Videos-WUO_ERR'!A500, ":"))))</f>
        <v/>
      </c>
    </row>
    <row r="501">
      <c r="A501" s="39">
        <f>IF('Additional Videos'!B501 = "", "", IF('Additional Videos-WUO_ERR'!A501 = "", "Validated", HYPERLINK("#" &amp; ADDRESS(501, 'Additional Videos-WUO_TRK'!A501),_xlfn.TEXTAFTER('Additional Videos-WUO_ERR'!A501, ":"))))</f>
        <v/>
      </c>
    </row>
    <row r="502">
      <c r="A502" s="39">
        <f>IF('Additional Videos'!B502 = "", "", IF('Additional Videos-WUO_ERR'!A502 = "", "Validated", HYPERLINK("#" &amp; ADDRESS(502, 'Additional Videos-WUO_TRK'!A502),_xlfn.TEXTAFTER('Additional Videos-WUO_ERR'!A502, ":"))))</f>
        <v/>
      </c>
    </row>
    <row r="503">
      <c r="A503" s="39">
        <f>IF('Additional Videos'!B503 = "", "", IF('Additional Videos-WUO_ERR'!A503 = "", "Validated", HYPERLINK("#" &amp; ADDRESS(503, 'Additional Videos-WUO_TRK'!A503),_xlfn.TEXTAFTER('Additional Videos-WUO_ERR'!A503, ":"))))</f>
        <v/>
      </c>
    </row>
    <row r="504">
      <c r="A504" s="39">
        <f>IF('Additional Videos'!B504 = "", "", IF('Additional Videos-WUO_ERR'!A504 = "", "Validated", HYPERLINK("#" &amp; ADDRESS(504, 'Additional Videos-WUO_TRK'!A504),_xlfn.TEXTAFTER('Additional Videos-WUO_ERR'!A504, ":"))))</f>
        <v/>
      </c>
    </row>
    <row r="505">
      <c r="A505" s="39">
        <f>IF('Additional Videos'!B505 = "", "", IF('Additional Videos-WUO_ERR'!A505 = "", "Validated", HYPERLINK("#" &amp; ADDRESS(505, 'Additional Videos-WUO_TRK'!A505),_xlfn.TEXTAFTER('Additional Videos-WUO_ERR'!A505, ":"))))</f>
        <v/>
      </c>
    </row>
    <row r="506">
      <c r="A506" s="39">
        <f>IF('Additional Videos'!B506 = "", "", IF('Additional Videos-WUO_ERR'!A506 = "", "Validated", HYPERLINK("#" &amp; ADDRESS(506, 'Additional Videos-WUO_TRK'!A506),_xlfn.TEXTAFTER('Additional Videos-WUO_ERR'!A506, ":"))))</f>
        <v/>
      </c>
    </row>
    <row r="507">
      <c r="A507" s="39">
        <f>IF('Additional Videos'!B507 = "", "", IF('Additional Videos-WUO_ERR'!A507 = "", "Validated", HYPERLINK("#" &amp; ADDRESS(507, 'Additional Videos-WUO_TRK'!A507),_xlfn.TEXTAFTER('Additional Videos-WUO_ERR'!A507, ":"))))</f>
        <v/>
      </c>
    </row>
  </sheetData>
  <sheetProtection selectLockedCells="0" selectUnlockedCells="0" sheet="1" objects="1" insertRows="1" insertHyperlinks="1" autoFilter="1" scenarios="1" formatColumns="0" deleteColumns="1" insertColumns="1" pivotTables="1" deleteRows="1" formatCells="1" formatRows="0" sort="1" password="B4ED"/>
  <conditionalFormatting sqref="A7:A50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50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dataValidations count="1">
    <dataValidation sqref="C7:C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2" t="inlineStr">
        <is>
          <t>Required</t>
        </is>
      </c>
      <c r="C3" s="32" t="inlineStr">
        <is>
          <t>Additional</t>
        </is>
      </c>
    </row>
    <row r="4" ht="50" customHeight="1">
      <c r="B4" s="19" t="inlineStr">
        <is>
          <t>Supplier Part Number</t>
        </is>
      </c>
      <c r="C4" s="19" t="inlineStr">
        <is>
          <t>Video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B6" s="35" t="inlineStr">
        <is>
          <t>Text</t>
        </is>
      </c>
      <c r="C6" s="35"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Videos'!B7:B507, 'Additional Videos'!B7:B507,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Videos'!B7:B507, 'Additional Videos'!C7:C507,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2" t="inlineStr">
        <is>
          <t>Required</t>
        </is>
      </c>
      <c r="C3" s="32" t="inlineStr">
        <is>
          <t>Additional</t>
        </is>
      </c>
    </row>
    <row r="4" ht="50" customHeight="1">
      <c r="B4" s="19" t="inlineStr">
        <is>
          <t>Supplier Part Number</t>
        </is>
      </c>
      <c r="C4" s="19" t="inlineStr">
        <is>
          <t>Video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B6" s="35" t="inlineStr">
        <is>
          <t>Text</t>
        </is>
      </c>
      <c r="C6" s="35"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Videos'!B7:B507, 'Additional Videos'!B7:B507, 'Additional Videos-WUO_ERR'!B7:B507, _xlfn.LAMBDA(_xlpm.part, _xlpm.val, _xlpm.error, IF(_xlpm.part = "", "", IF(LEN(_xlpm.error), _xlfn.SWITCH(IFERROR(_xlfn.TEXTBEFORE(_xlpm.error,":"), ""), "1", "Error", "2", "Disabled", "3", "Required", "4", "Warning", "Valid"), "Valid"))))</f>
        <v/>
      </c>
      <c r="C7" s="22">
        <f t="array" ref="C7">_xlfn.MAP('Additional Videos'!B7:B507, 'Additional Videos'!C7:C507, 'Additional Videos-WUO_ERR'!C7:C507,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 hidden="1" width="13" customWidth="1" min="26" max="26"/>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2">
      <c r="B2" s="23" t="inlineStr">
        <is>
          <t>Basic Information</t>
        </is>
      </c>
      <c r="C2" s="30" t="inlineStr">
        <is>
          <t>Media</t>
        </is>
      </c>
      <c r="D2" s="41" t="n"/>
      <c r="E2" s="41" t="n"/>
      <c r="F2" s="41" t="n"/>
      <c r="G2" s="42" t="n"/>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A6" s="35" t="inlineStr">
        <is>
          <t>Read-Only</t>
        </is>
      </c>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s="39">
        <f>IF('Additional Documents'!B7 = "", "", IF('Additional Documents-WUO_ERR'!A7 = "", "Validated", HYPERLINK("#" &amp; ADDRESS(7, 'Additional Documents-WUO_TRK'!A7),_xlfn.TEXTAFTER('Additional Documents-WUO_ERR'!A7,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Documents'!B8 = "", "", IF('Additional Documents-WUO_ERR'!A8 = "", "Validated", HYPERLINK("#" &amp; ADDRESS(8, 'Additional Documents-WUO_TRK'!A8),_xlfn.TEXTAFTER('Additional Documents-WUO_ERR'!A8, ":"))))</f>
        <v/>
      </c>
    </row>
    <row r="9">
      <c r="A9" s="39">
        <f>IF('Additional Documents'!B9 = "", "", IF('Additional Documents-WUO_ERR'!A9 = "", "Validated", HYPERLINK("#" &amp; ADDRESS(9, 'Additional Documents-WUO_TRK'!A9),_xlfn.TEXTAFTER('Additional Documents-WUO_ERR'!A9, ":"))))</f>
        <v/>
      </c>
    </row>
    <row r="10">
      <c r="A10" s="39">
        <f>IF('Additional Documents'!B10 = "", "", IF('Additional Documents-WUO_ERR'!A10 = "", "Validated", HYPERLINK("#" &amp; ADDRESS(10, 'Additional Documents-WUO_TRK'!A10),_xlfn.TEXTAFTER('Additional Documents-WUO_ERR'!A10, ":"))))</f>
        <v/>
      </c>
    </row>
    <row r="11">
      <c r="A11" s="39">
        <f>IF('Additional Documents'!B11 = "", "", IF('Additional Documents-WUO_ERR'!A11 = "", "Validated", HYPERLINK("#" &amp; ADDRESS(11, 'Additional Documents-WUO_TRK'!A11),_xlfn.TEXTAFTER('Additional Documents-WUO_ERR'!A11, ":"))))</f>
        <v/>
      </c>
    </row>
    <row r="12">
      <c r="A12" s="39">
        <f>IF('Additional Documents'!B12 = "", "", IF('Additional Documents-WUO_ERR'!A12 = "", "Validated", HYPERLINK("#" &amp; ADDRESS(12, 'Additional Documents-WUO_TRK'!A12),_xlfn.TEXTAFTER('Additional Documents-WUO_ERR'!A12, ":"))))</f>
        <v/>
      </c>
    </row>
    <row r="13">
      <c r="A13" s="39">
        <f>IF('Additional Documents'!B13 = "", "", IF('Additional Documents-WUO_ERR'!A13 = "", "Validated", HYPERLINK("#" &amp; ADDRESS(13, 'Additional Documents-WUO_TRK'!A13),_xlfn.TEXTAFTER('Additional Documents-WUO_ERR'!A13, ":"))))</f>
        <v/>
      </c>
    </row>
    <row r="14">
      <c r="A14" s="39">
        <f>IF('Additional Documents'!B14 = "", "", IF('Additional Documents-WUO_ERR'!A14 = "", "Validated", HYPERLINK("#" &amp; ADDRESS(14, 'Additional Documents-WUO_TRK'!A14),_xlfn.TEXTAFTER('Additional Documents-WUO_ERR'!A14, ":"))))</f>
        <v/>
      </c>
    </row>
    <row r="15">
      <c r="A15" s="39">
        <f>IF('Additional Documents'!B15 = "", "", IF('Additional Documents-WUO_ERR'!A15 = "", "Validated", HYPERLINK("#" &amp; ADDRESS(15, 'Additional Documents-WUO_TRK'!A15),_xlfn.TEXTAFTER('Additional Documents-WUO_ERR'!A15, ":"))))</f>
        <v/>
      </c>
    </row>
    <row r="16">
      <c r="A16" s="39">
        <f>IF('Additional Documents'!B16 = "", "", IF('Additional Documents-WUO_ERR'!A16 = "", "Validated", HYPERLINK("#" &amp; ADDRESS(16, 'Additional Documents-WUO_TRK'!A16),_xlfn.TEXTAFTER('Additional Documents-WUO_ERR'!A16, ":"))))</f>
        <v/>
      </c>
    </row>
    <row r="17">
      <c r="A17" s="39">
        <f>IF('Additional Documents'!B17 = "", "", IF('Additional Documents-WUO_ERR'!A17 = "", "Validated", HYPERLINK("#" &amp; ADDRESS(17, 'Additional Documents-WUO_TRK'!A17),_xlfn.TEXTAFTER('Additional Documents-WUO_ERR'!A17, ":"))))</f>
        <v/>
      </c>
    </row>
    <row r="18">
      <c r="A18" s="39">
        <f>IF('Additional Documents'!B18 = "", "", IF('Additional Documents-WUO_ERR'!A18 = "", "Validated", HYPERLINK("#" &amp; ADDRESS(18, 'Additional Documents-WUO_TRK'!A18),_xlfn.TEXTAFTER('Additional Documents-WUO_ERR'!A18, ":"))))</f>
        <v/>
      </c>
    </row>
    <row r="19">
      <c r="A19" s="39">
        <f>IF('Additional Documents'!B19 = "", "", IF('Additional Documents-WUO_ERR'!A19 = "", "Validated", HYPERLINK("#" &amp; ADDRESS(19, 'Additional Documents-WUO_TRK'!A19),_xlfn.TEXTAFTER('Additional Documents-WUO_ERR'!A19, ":"))))</f>
        <v/>
      </c>
    </row>
    <row r="20">
      <c r="A20" s="39">
        <f>IF('Additional Documents'!B20 = "", "", IF('Additional Documents-WUO_ERR'!A20 = "", "Validated", HYPERLINK("#" &amp; ADDRESS(20, 'Additional Documents-WUO_TRK'!A20),_xlfn.TEXTAFTER('Additional Documents-WUO_ERR'!A20, ":"))))</f>
        <v/>
      </c>
    </row>
    <row r="21">
      <c r="A21" s="39">
        <f>IF('Additional Documents'!B21 = "", "", IF('Additional Documents-WUO_ERR'!A21 = "", "Validated", HYPERLINK("#" &amp; ADDRESS(21, 'Additional Documents-WUO_TRK'!A21),_xlfn.TEXTAFTER('Additional Documents-WUO_ERR'!A21, ":"))))</f>
        <v/>
      </c>
    </row>
    <row r="22">
      <c r="A22" s="39">
        <f>IF('Additional Documents'!B22 = "", "", IF('Additional Documents-WUO_ERR'!A22 = "", "Validated", HYPERLINK("#" &amp; ADDRESS(22, 'Additional Documents-WUO_TRK'!A22),_xlfn.TEXTAFTER('Additional Documents-WUO_ERR'!A22, ":"))))</f>
        <v/>
      </c>
    </row>
    <row r="23">
      <c r="A23" s="39">
        <f>IF('Additional Documents'!B23 = "", "", IF('Additional Documents-WUO_ERR'!A23 = "", "Validated", HYPERLINK("#" &amp; ADDRESS(23, 'Additional Documents-WUO_TRK'!A23),_xlfn.TEXTAFTER('Additional Documents-WUO_ERR'!A23, ":"))))</f>
        <v/>
      </c>
    </row>
    <row r="24">
      <c r="A24" s="39">
        <f>IF('Additional Documents'!B24 = "", "", IF('Additional Documents-WUO_ERR'!A24 = "", "Validated", HYPERLINK("#" &amp; ADDRESS(24, 'Additional Documents-WUO_TRK'!A24),_xlfn.TEXTAFTER('Additional Documents-WUO_ERR'!A24, ":"))))</f>
        <v/>
      </c>
    </row>
    <row r="25">
      <c r="A25" s="39">
        <f>IF('Additional Documents'!B25 = "", "", IF('Additional Documents-WUO_ERR'!A25 = "", "Validated", HYPERLINK("#" &amp; ADDRESS(25, 'Additional Documents-WUO_TRK'!A25),_xlfn.TEXTAFTER('Additional Documents-WUO_ERR'!A25, ":"))))</f>
        <v/>
      </c>
    </row>
    <row r="26">
      <c r="A26" s="39">
        <f>IF('Additional Documents'!B26 = "", "", IF('Additional Documents-WUO_ERR'!A26 = "", "Validated", HYPERLINK("#" &amp; ADDRESS(26, 'Additional Documents-WUO_TRK'!A26),_xlfn.TEXTAFTER('Additional Documents-WUO_ERR'!A26, ":"))))</f>
        <v/>
      </c>
    </row>
    <row r="27">
      <c r="A27" s="39">
        <f>IF('Additional Documents'!B27 = "", "", IF('Additional Documents-WUO_ERR'!A27 = "", "Validated", HYPERLINK("#" &amp; ADDRESS(27, 'Additional Documents-WUO_TRK'!A27),_xlfn.TEXTAFTER('Additional Documents-WUO_ERR'!A27, ":"))))</f>
        <v/>
      </c>
    </row>
    <row r="28">
      <c r="A28" s="39">
        <f>IF('Additional Documents'!B28 = "", "", IF('Additional Documents-WUO_ERR'!A28 = "", "Validated", HYPERLINK("#" &amp; ADDRESS(28, 'Additional Documents-WUO_TRK'!A28),_xlfn.TEXTAFTER('Additional Documents-WUO_ERR'!A28, ":"))))</f>
        <v/>
      </c>
    </row>
    <row r="29">
      <c r="A29" s="39">
        <f>IF('Additional Documents'!B29 = "", "", IF('Additional Documents-WUO_ERR'!A29 = "", "Validated", HYPERLINK("#" &amp; ADDRESS(29, 'Additional Documents-WUO_TRK'!A29),_xlfn.TEXTAFTER('Additional Documents-WUO_ERR'!A29, ":"))))</f>
        <v/>
      </c>
    </row>
    <row r="30">
      <c r="A30" s="39">
        <f>IF('Additional Documents'!B30 = "", "", IF('Additional Documents-WUO_ERR'!A30 = "", "Validated", HYPERLINK("#" &amp; ADDRESS(30, 'Additional Documents-WUO_TRK'!A30),_xlfn.TEXTAFTER('Additional Documents-WUO_ERR'!A30, ":"))))</f>
        <v/>
      </c>
    </row>
    <row r="31">
      <c r="A31" s="39">
        <f>IF('Additional Documents'!B31 = "", "", IF('Additional Documents-WUO_ERR'!A31 = "", "Validated", HYPERLINK("#" &amp; ADDRESS(31, 'Additional Documents-WUO_TRK'!A31),_xlfn.TEXTAFTER('Additional Documents-WUO_ERR'!A31, ":"))))</f>
        <v/>
      </c>
    </row>
    <row r="32">
      <c r="A32" s="39">
        <f>IF('Additional Documents'!B32 = "", "", IF('Additional Documents-WUO_ERR'!A32 = "", "Validated", HYPERLINK("#" &amp; ADDRESS(32, 'Additional Documents-WUO_TRK'!A32),_xlfn.TEXTAFTER('Additional Documents-WUO_ERR'!A32, ":"))))</f>
        <v/>
      </c>
    </row>
    <row r="33">
      <c r="A33" s="39">
        <f>IF('Additional Documents'!B33 = "", "", IF('Additional Documents-WUO_ERR'!A33 = "", "Validated", HYPERLINK("#" &amp; ADDRESS(33, 'Additional Documents-WUO_TRK'!A33),_xlfn.TEXTAFTER('Additional Documents-WUO_ERR'!A33, ":"))))</f>
        <v/>
      </c>
    </row>
    <row r="34">
      <c r="A34" s="39">
        <f>IF('Additional Documents'!B34 = "", "", IF('Additional Documents-WUO_ERR'!A34 = "", "Validated", HYPERLINK("#" &amp; ADDRESS(34, 'Additional Documents-WUO_TRK'!A34),_xlfn.TEXTAFTER('Additional Documents-WUO_ERR'!A34, ":"))))</f>
        <v/>
      </c>
    </row>
    <row r="35">
      <c r="A35" s="39">
        <f>IF('Additional Documents'!B35 = "", "", IF('Additional Documents-WUO_ERR'!A35 = "", "Validated", HYPERLINK("#" &amp; ADDRESS(35, 'Additional Documents-WUO_TRK'!A35),_xlfn.TEXTAFTER('Additional Documents-WUO_ERR'!A35, ":"))))</f>
        <v/>
      </c>
    </row>
    <row r="36">
      <c r="A36" s="39">
        <f>IF('Additional Documents'!B36 = "", "", IF('Additional Documents-WUO_ERR'!A36 = "", "Validated", HYPERLINK("#" &amp; ADDRESS(36, 'Additional Documents-WUO_TRK'!A36),_xlfn.TEXTAFTER('Additional Documents-WUO_ERR'!A36, ":"))))</f>
        <v/>
      </c>
    </row>
    <row r="37">
      <c r="A37" s="39">
        <f>IF('Additional Documents'!B37 = "", "", IF('Additional Documents-WUO_ERR'!A37 = "", "Validated", HYPERLINK("#" &amp; ADDRESS(37, 'Additional Documents-WUO_TRK'!A37),_xlfn.TEXTAFTER('Additional Documents-WUO_ERR'!A37, ":"))))</f>
        <v/>
      </c>
    </row>
    <row r="38">
      <c r="A38" s="39">
        <f>IF('Additional Documents'!B38 = "", "", IF('Additional Documents-WUO_ERR'!A38 = "", "Validated", HYPERLINK("#" &amp; ADDRESS(38, 'Additional Documents-WUO_TRK'!A38),_xlfn.TEXTAFTER('Additional Documents-WUO_ERR'!A38, ":"))))</f>
        <v/>
      </c>
    </row>
    <row r="39">
      <c r="A39" s="39">
        <f>IF('Additional Documents'!B39 = "", "", IF('Additional Documents-WUO_ERR'!A39 = "", "Validated", HYPERLINK("#" &amp; ADDRESS(39, 'Additional Documents-WUO_TRK'!A39),_xlfn.TEXTAFTER('Additional Documents-WUO_ERR'!A39, ":"))))</f>
        <v/>
      </c>
    </row>
    <row r="40">
      <c r="A40" s="39">
        <f>IF('Additional Documents'!B40 = "", "", IF('Additional Documents-WUO_ERR'!A40 = "", "Validated", HYPERLINK("#" &amp; ADDRESS(40, 'Additional Documents-WUO_TRK'!A40),_xlfn.TEXTAFTER('Additional Documents-WUO_ERR'!A40, ":"))))</f>
        <v/>
      </c>
    </row>
    <row r="41">
      <c r="A41" s="39">
        <f>IF('Additional Documents'!B41 = "", "", IF('Additional Documents-WUO_ERR'!A41 = "", "Validated", HYPERLINK("#" &amp; ADDRESS(41, 'Additional Documents-WUO_TRK'!A41),_xlfn.TEXTAFTER('Additional Documents-WUO_ERR'!A41, ":"))))</f>
        <v/>
      </c>
    </row>
    <row r="42">
      <c r="A42" s="39">
        <f>IF('Additional Documents'!B42 = "", "", IF('Additional Documents-WUO_ERR'!A42 = "", "Validated", HYPERLINK("#" &amp; ADDRESS(42, 'Additional Documents-WUO_TRK'!A42),_xlfn.TEXTAFTER('Additional Documents-WUO_ERR'!A42, ":"))))</f>
        <v/>
      </c>
    </row>
    <row r="43">
      <c r="A43" s="39">
        <f>IF('Additional Documents'!B43 = "", "", IF('Additional Documents-WUO_ERR'!A43 = "", "Validated", HYPERLINK("#" &amp; ADDRESS(43, 'Additional Documents-WUO_TRK'!A43),_xlfn.TEXTAFTER('Additional Documents-WUO_ERR'!A43, ":"))))</f>
        <v/>
      </c>
    </row>
    <row r="44">
      <c r="A44" s="39">
        <f>IF('Additional Documents'!B44 = "", "", IF('Additional Documents-WUO_ERR'!A44 = "", "Validated", HYPERLINK("#" &amp; ADDRESS(44, 'Additional Documents-WUO_TRK'!A44),_xlfn.TEXTAFTER('Additional Documents-WUO_ERR'!A44, ":"))))</f>
        <v/>
      </c>
    </row>
    <row r="45">
      <c r="A45" s="39">
        <f>IF('Additional Documents'!B45 = "", "", IF('Additional Documents-WUO_ERR'!A45 = "", "Validated", HYPERLINK("#" &amp; ADDRESS(45, 'Additional Documents-WUO_TRK'!A45),_xlfn.TEXTAFTER('Additional Documents-WUO_ERR'!A45, ":"))))</f>
        <v/>
      </c>
    </row>
    <row r="46">
      <c r="A46" s="39">
        <f>IF('Additional Documents'!B46 = "", "", IF('Additional Documents-WUO_ERR'!A46 = "", "Validated", HYPERLINK("#" &amp; ADDRESS(46, 'Additional Documents-WUO_TRK'!A46),_xlfn.TEXTAFTER('Additional Documents-WUO_ERR'!A46, ":"))))</f>
        <v/>
      </c>
    </row>
    <row r="47">
      <c r="A47" s="39">
        <f>IF('Additional Documents'!B47 = "", "", IF('Additional Documents-WUO_ERR'!A47 = "", "Validated", HYPERLINK("#" &amp; ADDRESS(47, 'Additional Documents-WUO_TRK'!A47),_xlfn.TEXTAFTER('Additional Documents-WUO_ERR'!A47, ":"))))</f>
        <v/>
      </c>
    </row>
    <row r="48">
      <c r="A48" s="39">
        <f>IF('Additional Documents'!B48 = "", "", IF('Additional Documents-WUO_ERR'!A48 = "", "Validated", HYPERLINK("#" &amp; ADDRESS(48, 'Additional Documents-WUO_TRK'!A48),_xlfn.TEXTAFTER('Additional Documents-WUO_ERR'!A48, ":"))))</f>
        <v/>
      </c>
    </row>
    <row r="49">
      <c r="A49" s="39">
        <f>IF('Additional Documents'!B49 = "", "", IF('Additional Documents-WUO_ERR'!A49 = "", "Validated", HYPERLINK("#" &amp; ADDRESS(49, 'Additional Documents-WUO_TRK'!A49),_xlfn.TEXTAFTER('Additional Documents-WUO_ERR'!A49, ":"))))</f>
        <v/>
      </c>
    </row>
    <row r="50">
      <c r="A50" s="39">
        <f>IF('Additional Documents'!B50 = "", "", IF('Additional Documents-WUO_ERR'!A50 = "", "Validated", HYPERLINK("#" &amp; ADDRESS(50, 'Additional Documents-WUO_TRK'!A50),_xlfn.TEXTAFTER('Additional Documents-WUO_ERR'!A50, ":"))))</f>
        <v/>
      </c>
    </row>
    <row r="51">
      <c r="A51" s="39">
        <f>IF('Additional Documents'!B51 = "", "", IF('Additional Documents-WUO_ERR'!A51 = "", "Validated", HYPERLINK("#" &amp; ADDRESS(51, 'Additional Documents-WUO_TRK'!A51),_xlfn.TEXTAFTER('Additional Documents-WUO_ERR'!A51, ":"))))</f>
        <v/>
      </c>
    </row>
    <row r="52">
      <c r="A52" s="39">
        <f>IF('Additional Documents'!B52 = "", "", IF('Additional Documents-WUO_ERR'!A52 = "", "Validated", HYPERLINK("#" &amp; ADDRESS(52, 'Additional Documents-WUO_TRK'!A52),_xlfn.TEXTAFTER('Additional Documents-WUO_ERR'!A52, ":"))))</f>
        <v/>
      </c>
    </row>
    <row r="53">
      <c r="A53" s="39">
        <f>IF('Additional Documents'!B53 = "", "", IF('Additional Documents-WUO_ERR'!A53 = "", "Validated", HYPERLINK("#" &amp; ADDRESS(53, 'Additional Documents-WUO_TRK'!A53),_xlfn.TEXTAFTER('Additional Documents-WUO_ERR'!A53, ":"))))</f>
        <v/>
      </c>
    </row>
    <row r="54">
      <c r="A54" s="39">
        <f>IF('Additional Documents'!B54 = "", "", IF('Additional Documents-WUO_ERR'!A54 = "", "Validated", HYPERLINK("#" &amp; ADDRESS(54, 'Additional Documents-WUO_TRK'!A54),_xlfn.TEXTAFTER('Additional Documents-WUO_ERR'!A54, ":"))))</f>
        <v/>
      </c>
    </row>
    <row r="55">
      <c r="A55" s="39">
        <f>IF('Additional Documents'!B55 = "", "", IF('Additional Documents-WUO_ERR'!A55 = "", "Validated", HYPERLINK("#" &amp; ADDRESS(55, 'Additional Documents-WUO_TRK'!A55),_xlfn.TEXTAFTER('Additional Documents-WUO_ERR'!A55, ":"))))</f>
        <v/>
      </c>
    </row>
    <row r="56">
      <c r="A56" s="39">
        <f>IF('Additional Documents'!B56 = "", "", IF('Additional Documents-WUO_ERR'!A56 = "", "Validated", HYPERLINK("#" &amp; ADDRESS(56, 'Additional Documents-WUO_TRK'!A56),_xlfn.TEXTAFTER('Additional Documents-WUO_ERR'!A56, ":"))))</f>
        <v/>
      </c>
    </row>
    <row r="57">
      <c r="A57" s="39">
        <f>IF('Additional Documents'!B57 = "", "", IF('Additional Documents-WUO_ERR'!A57 = "", "Validated", HYPERLINK("#" &amp; ADDRESS(57, 'Additional Documents-WUO_TRK'!A57),_xlfn.TEXTAFTER('Additional Documents-WUO_ERR'!A57, ":"))))</f>
        <v/>
      </c>
    </row>
    <row r="58">
      <c r="A58" s="39">
        <f>IF('Additional Documents'!B58 = "", "", IF('Additional Documents-WUO_ERR'!A58 = "", "Validated", HYPERLINK("#" &amp; ADDRESS(58, 'Additional Documents-WUO_TRK'!A58),_xlfn.TEXTAFTER('Additional Documents-WUO_ERR'!A58, ":"))))</f>
        <v/>
      </c>
    </row>
    <row r="59">
      <c r="A59" s="39">
        <f>IF('Additional Documents'!B59 = "", "", IF('Additional Documents-WUO_ERR'!A59 = "", "Validated", HYPERLINK("#" &amp; ADDRESS(59, 'Additional Documents-WUO_TRK'!A59),_xlfn.TEXTAFTER('Additional Documents-WUO_ERR'!A59, ":"))))</f>
        <v/>
      </c>
    </row>
    <row r="60">
      <c r="A60" s="39">
        <f>IF('Additional Documents'!B60 = "", "", IF('Additional Documents-WUO_ERR'!A60 = "", "Validated", HYPERLINK("#" &amp; ADDRESS(60, 'Additional Documents-WUO_TRK'!A60),_xlfn.TEXTAFTER('Additional Documents-WUO_ERR'!A60, ":"))))</f>
        <v/>
      </c>
    </row>
    <row r="61">
      <c r="A61" s="39">
        <f>IF('Additional Documents'!B61 = "", "", IF('Additional Documents-WUO_ERR'!A61 = "", "Validated", HYPERLINK("#" &amp; ADDRESS(61, 'Additional Documents-WUO_TRK'!A61),_xlfn.TEXTAFTER('Additional Documents-WUO_ERR'!A61, ":"))))</f>
        <v/>
      </c>
    </row>
    <row r="62">
      <c r="A62" s="39">
        <f>IF('Additional Documents'!B62 = "", "", IF('Additional Documents-WUO_ERR'!A62 = "", "Validated", HYPERLINK("#" &amp; ADDRESS(62, 'Additional Documents-WUO_TRK'!A62),_xlfn.TEXTAFTER('Additional Documents-WUO_ERR'!A62, ":"))))</f>
        <v/>
      </c>
    </row>
    <row r="63">
      <c r="A63" s="39">
        <f>IF('Additional Documents'!B63 = "", "", IF('Additional Documents-WUO_ERR'!A63 = "", "Validated", HYPERLINK("#" &amp; ADDRESS(63, 'Additional Documents-WUO_TRK'!A63),_xlfn.TEXTAFTER('Additional Documents-WUO_ERR'!A63, ":"))))</f>
        <v/>
      </c>
    </row>
    <row r="64">
      <c r="A64" s="39">
        <f>IF('Additional Documents'!B64 = "", "", IF('Additional Documents-WUO_ERR'!A64 = "", "Validated", HYPERLINK("#" &amp; ADDRESS(64, 'Additional Documents-WUO_TRK'!A64),_xlfn.TEXTAFTER('Additional Documents-WUO_ERR'!A64, ":"))))</f>
        <v/>
      </c>
    </row>
    <row r="65">
      <c r="A65" s="39">
        <f>IF('Additional Documents'!B65 = "", "", IF('Additional Documents-WUO_ERR'!A65 = "", "Validated", HYPERLINK("#" &amp; ADDRESS(65, 'Additional Documents-WUO_TRK'!A65),_xlfn.TEXTAFTER('Additional Documents-WUO_ERR'!A65, ":"))))</f>
        <v/>
      </c>
    </row>
    <row r="66">
      <c r="A66" s="39">
        <f>IF('Additional Documents'!B66 = "", "", IF('Additional Documents-WUO_ERR'!A66 = "", "Validated", HYPERLINK("#" &amp; ADDRESS(66, 'Additional Documents-WUO_TRK'!A66),_xlfn.TEXTAFTER('Additional Documents-WUO_ERR'!A66, ":"))))</f>
        <v/>
      </c>
    </row>
    <row r="67">
      <c r="A67" s="39">
        <f>IF('Additional Documents'!B67 = "", "", IF('Additional Documents-WUO_ERR'!A67 = "", "Validated", HYPERLINK("#" &amp; ADDRESS(67, 'Additional Documents-WUO_TRK'!A67),_xlfn.TEXTAFTER('Additional Documents-WUO_ERR'!A67, ":"))))</f>
        <v/>
      </c>
    </row>
    <row r="68">
      <c r="A68" s="39">
        <f>IF('Additional Documents'!B68 = "", "", IF('Additional Documents-WUO_ERR'!A68 = "", "Validated", HYPERLINK("#" &amp; ADDRESS(68, 'Additional Documents-WUO_TRK'!A68),_xlfn.TEXTAFTER('Additional Documents-WUO_ERR'!A68, ":"))))</f>
        <v/>
      </c>
    </row>
    <row r="69">
      <c r="A69" s="39">
        <f>IF('Additional Documents'!B69 = "", "", IF('Additional Documents-WUO_ERR'!A69 = "", "Validated", HYPERLINK("#" &amp; ADDRESS(69, 'Additional Documents-WUO_TRK'!A69),_xlfn.TEXTAFTER('Additional Documents-WUO_ERR'!A69, ":"))))</f>
        <v/>
      </c>
    </row>
    <row r="70">
      <c r="A70" s="39">
        <f>IF('Additional Documents'!B70 = "", "", IF('Additional Documents-WUO_ERR'!A70 = "", "Validated", HYPERLINK("#" &amp; ADDRESS(70, 'Additional Documents-WUO_TRK'!A70),_xlfn.TEXTAFTER('Additional Documents-WUO_ERR'!A70, ":"))))</f>
        <v/>
      </c>
    </row>
    <row r="71">
      <c r="A71" s="39">
        <f>IF('Additional Documents'!B71 = "", "", IF('Additional Documents-WUO_ERR'!A71 = "", "Validated", HYPERLINK("#" &amp; ADDRESS(71, 'Additional Documents-WUO_TRK'!A71),_xlfn.TEXTAFTER('Additional Documents-WUO_ERR'!A71, ":"))))</f>
        <v/>
      </c>
    </row>
    <row r="72">
      <c r="A72" s="39">
        <f>IF('Additional Documents'!B72 = "", "", IF('Additional Documents-WUO_ERR'!A72 = "", "Validated", HYPERLINK("#" &amp; ADDRESS(72, 'Additional Documents-WUO_TRK'!A72),_xlfn.TEXTAFTER('Additional Documents-WUO_ERR'!A72, ":"))))</f>
        <v/>
      </c>
    </row>
    <row r="73">
      <c r="A73" s="39">
        <f>IF('Additional Documents'!B73 = "", "", IF('Additional Documents-WUO_ERR'!A73 = "", "Validated", HYPERLINK("#" &amp; ADDRESS(73, 'Additional Documents-WUO_TRK'!A73),_xlfn.TEXTAFTER('Additional Documents-WUO_ERR'!A73, ":"))))</f>
        <v/>
      </c>
    </row>
    <row r="74">
      <c r="A74" s="39">
        <f>IF('Additional Documents'!B74 = "", "", IF('Additional Documents-WUO_ERR'!A74 = "", "Validated", HYPERLINK("#" &amp; ADDRESS(74, 'Additional Documents-WUO_TRK'!A74),_xlfn.TEXTAFTER('Additional Documents-WUO_ERR'!A74, ":"))))</f>
        <v/>
      </c>
    </row>
    <row r="75">
      <c r="A75" s="39">
        <f>IF('Additional Documents'!B75 = "", "", IF('Additional Documents-WUO_ERR'!A75 = "", "Validated", HYPERLINK("#" &amp; ADDRESS(75, 'Additional Documents-WUO_TRK'!A75),_xlfn.TEXTAFTER('Additional Documents-WUO_ERR'!A75, ":"))))</f>
        <v/>
      </c>
    </row>
    <row r="76">
      <c r="A76" s="39">
        <f>IF('Additional Documents'!B76 = "", "", IF('Additional Documents-WUO_ERR'!A76 = "", "Validated", HYPERLINK("#" &amp; ADDRESS(76, 'Additional Documents-WUO_TRK'!A76),_xlfn.TEXTAFTER('Additional Documents-WUO_ERR'!A76, ":"))))</f>
        <v/>
      </c>
    </row>
    <row r="77">
      <c r="A77" s="39">
        <f>IF('Additional Documents'!B77 = "", "", IF('Additional Documents-WUO_ERR'!A77 = "", "Validated", HYPERLINK("#" &amp; ADDRESS(77, 'Additional Documents-WUO_TRK'!A77),_xlfn.TEXTAFTER('Additional Documents-WUO_ERR'!A77, ":"))))</f>
        <v/>
      </c>
    </row>
    <row r="78">
      <c r="A78" s="39">
        <f>IF('Additional Documents'!B78 = "", "", IF('Additional Documents-WUO_ERR'!A78 = "", "Validated", HYPERLINK("#" &amp; ADDRESS(78, 'Additional Documents-WUO_TRK'!A78),_xlfn.TEXTAFTER('Additional Documents-WUO_ERR'!A78, ":"))))</f>
        <v/>
      </c>
    </row>
    <row r="79">
      <c r="A79" s="39">
        <f>IF('Additional Documents'!B79 = "", "", IF('Additional Documents-WUO_ERR'!A79 = "", "Validated", HYPERLINK("#" &amp; ADDRESS(79, 'Additional Documents-WUO_TRK'!A79),_xlfn.TEXTAFTER('Additional Documents-WUO_ERR'!A79, ":"))))</f>
        <v/>
      </c>
    </row>
    <row r="80">
      <c r="A80" s="39">
        <f>IF('Additional Documents'!B80 = "", "", IF('Additional Documents-WUO_ERR'!A80 = "", "Validated", HYPERLINK("#" &amp; ADDRESS(80, 'Additional Documents-WUO_TRK'!A80),_xlfn.TEXTAFTER('Additional Documents-WUO_ERR'!A80, ":"))))</f>
        <v/>
      </c>
    </row>
    <row r="81">
      <c r="A81" s="39">
        <f>IF('Additional Documents'!B81 = "", "", IF('Additional Documents-WUO_ERR'!A81 = "", "Validated", HYPERLINK("#" &amp; ADDRESS(81, 'Additional Documents-WUO_TRK'!A81),_xlfn.TEXTAFTER('Additional Documents-WUO_ERR'!A81, ":"))))</f>
        <v/>
      </c>
    </row>
    <row r="82">
      <c r="A82" s="39">
        <f>IF('Additional Documents'!B82 = "", "", IF('Additional Documents-WUO_ERR'!A82 = "", "Validated", HYPERLINK("#" &amp; ADDRESS(82, 'Additional Documents-WUO_TRK'!A82),_xlfn.TEXTAFTER('Additional Documents-WUO_ERR'!A82, ":"))))</f>
        <v/>
      </c>
    </row>
    <row r="83">
      <c r="A83" s="39">
        <f>IF('Additional Documents'!B83 = "", "", IF('Additional Documents-WUO_ERR'!A83 = "", "Validated", HYPERLINK("#" &amp; ADDRESS(83, 'Additional Documents-WUO_TRK'!A83),_xlfn.TEXTAFTER('Additional Documents-WUO_ERR'!A83, ":"))))</f>
        <v/>
      </c>
    </row>
    <row r="84">
      <c r="A84" s="39">
        <f>IF('Additional Documents'!B84 = "", "", IF('Additional Documents-WUO_ERR'!A84 = "", "Validated", HYPERLINK("#" &amp; ADDRESS(84, 'Additional Documents-WUO_TRK'!A84),_xlfn.TEXTAFTER('Additional Documents-WUO_ERR'!A84, ":"))))</f>
        <v/>
      </c>
    </row>
    <row r="85">
      <c r="A85" s="39">
        <f>IF('Additional Documents'!B85 = "", "", IF('Additional Documents-WUO_ERR'!A85 = "", "Validated", HYPERLINK("#" &amp; ADDRESS(85, 'Additional Documents-WUO_TRK'!A85),_xlfn.TEXTAFTER('Additional Documents-WUO_ERR'!A85, ":"))))</f>
        <v/>
      </c>
    </row>
    <row r="86">
      <c r="A86" s="39">
        <f>IF('Additional Documents'!B86 = "", "", IF('Additional Documents-WUO_ERR'!A86 = "", "Validated", HYPERLINK("#" &amp; ADDRESS(86, 'Additional Documents-WUO_TRK'!A86),_xlfn.TEXTAFTER('Additional Documents-WUO_ERR'!A86, ":"))))</f>
        <v/>
      </c>
    </row>
    <row r="87">
      <c r="A87" s="39">
        <f>IF('Additional Documents'!B87 = "", "", IF('Additional Documents-WUO_ERR'!A87 = "", "Validated", HYPERLINK("#" &amp; ADDRESS(87, 'Additional Documents-WUO_TRK'!A87),_xlfn.TEXTAFTER('Additional Documents-WUO_ERR'!A87, ":"))))</f>
        <v/>
      </c>
    </row>
    <row r="88">
      <c r="A88" s="39">
        <f>IF('Additional Documents'!B88 = "", "", IF('Additional Documents-WUO_ERR'!A88 = "", "Validated", HYPERLINK("#" &amp; ADDRESS(88, 'Additional Documents-WUO_TRK'!A88),_xlfn.TEXTAFTER('Additional Documents-WUO_ERR'!A88, ":"))))</f>
        <v/>
      </c>
    </row>
    <row r="89">
      <c r="A89" s="39">
        <f>IF('Additional Documents'!B89 = "", "", IF('Additional Documents-WUO_ERR'!A89 = "", "Validated", HYPERLINK("#" &amp; ADDRESS(89, 'Additional Documents-WUO_TRK'!A89),_xlfn.TEXTAFTER('Additional Documents-WUO_ERR'!A89, ":"))))</f>
        <v/>
      </c>
    </row>
    <row r="90">
      <c r="A90" s="39">
        <f>IF('Additional Documents'!B90 = "", "", IF('Additional Documents-WUO_ERR'!A90 = "", "Validated", HYPERLINK("#" &amp; ADDRESS(90, 'Additional Documents-WUO_TRK'!A90),_xlfn.TEXTAFTER('Additional Documents-WUO_ERR'!A90, ":"))))</f>
        <v/>
      </c>
    </row>
    <row r="91">
      <c r="A91" s="39">
        <f>IF('Additional Documents'!B91 = "", "", IF('Additional Documents-WUO_ERR'!A91 = "", "Validated", HYPERLINK("#" &amp; ADDRESS(91, 'Additional Documents-WUO_TRK'!A91),_xlfn.TEXTAFTER('Additional Documents-WUO_ERR'!A91, ":"))))</f>
        <v/>
      </c>
    </row>
    <row r="92">
      <c r="A92" s="39">
        <f>IF('Additional Documents'!B92 = "", "", IF('Additional Documents-WUO_ERR'!A92 = "", "Validated", HYPERLINK("#" &amp; ADDRESS(92, 'Additional Documents-WUO_TRK'!A92),_xlfn.TEXTAFTER('Additional Documents-WUO_ERR'!A92, ":"))))</f>
        <v/>
      </c>
    </row>
    <row r="93">
      <c r="A93" s="39">
        <f>IF('Additional Documents'!B93 = "", "", IF('Additional Documents-WUO_ERR'!A93 = "", "Validated", HYPERLINK("#" &amp; ADDRESS(93, 'Additional Documents-WUO_TRK'!A93),_xlfn.TEXTAFTER('Additional Documents-WUO_ERR'!A93, ":"))))</f>
        <v/>
      </c>
    </row>
    <row r="94">
      <c r="A94" s="39">
        <f>IF('Additional Documents'!B94 = "", "", IF('Additional Documents-WUO_ERR'!A94 = "", "Validated", HYPERLINK("#" &amp; ADDRESS(94, 'Additional Documents-WUO_TRK'!A94),_xlfn.TEXTAFTER('Additional Documents-WUO_ERR'!A94, ":"))))</f>
        <v/>
      </c>
    </row>
    <row r="95">
      <c r="A95" s="39">
        <f>IF('Additional Documents'!B95 = "", "", IF('Additional Documents-WUO_ERR'!A95 = "", "Validated", HYPERLINK("#" &amp; ADDRESS(95, 'Additional Documents-WUO_TRK'!A95),_xlfn.TEXTAFTER('Additional Documents-WUO_ERR'!A95, ":"))))</f>
        <v/>
      </c>
    </row>
    <row r="96">
      <c r="A96" s="39">
        <f>IF('Additional Documents'!B96 = "", "", IF('Additional Documents-WUO_ERR'!A96 = "", "Validated", HYPERLINK("#" &amp; ADDRESS(96, 'Additional Documents-WUO_TRK'!A96),_xlfn.TEXTAFTER('Additional Documents-WUO_ERR'!A96, ":"))))</f>
        <v/>
      </c>
    </row>
    <row r="97">
      <c r="A97" s="39">
        <f>IF('Additional Documents'!B97 = "", "", IF('Additional Documents-WUO_ERR'!A97 = "", "Validated", HYPERLINK("#" &amp; ADDRESS(97, 'Additional Documents-WUO_TRK'!A97),_xlfn.TEXTAFTER('Additional Documents-WUO_ERR'!A97, ":"))))</f>
        <v/>
      </c>
    </row>
    <row r="98">
      <c r="A98" s="39">
        <f>IF('Additional Documents'!B98 = "", "", IF('Additional Documents-WUO_ERR'!A98 = "", "Validated", HYPERLINK("#" &amp; ADDRESS(98, 'Additional Documents-WUO_TRK'!A98),_xlfn.TEXTAFTER('Additional Documents-WUO_ERR'!A98, ":"))))</f>
        <v/>
      </c>
    </row>
    <row r="99">
      <c r="A99" s="39">
        <f>IF('Additional Documents'!B99 = "", "", IF('Additional Documents-WUO_ERR'!A99 = "", "Validated", HYPERLINK("#" &amp; ADDRESS(99, 'Additional Documents-WUO_TRK'!A99),_xlfn.TEXTAFTER('Additional Documents-WUO_ERR'!A99, ":"))))</f>
        <v/>
      </c>
    </row>
    <row r="100">
      <c r="A100" s="39">
        <f>IF('Additional Documents'!B100 = "", "", IF('Additional Documents-WUO_ERR'!A100 = "", "Validated", HYPERLINK("#" &amp; ADDRESS(100, 'Additional Documents-WUO_TRK'!A100),_xlfn.TEXTAFTER('Additional Documents-WUO_ERR'!A100, ":"))))</f>
        <v/>
      </c>
    </row>
    <row r="101">
      <c r="A101" s="39">
        <f>IF('Additional Documents'!B101 = "", "", IF('Additional Documents-WUO_ERR'!A101 = "", "Validated", HYPERLINK("#" &amp; ADDRESS(101, 'Additional Documents-WUO_TRK'!A101),_xlfn.TEXTAFTER('Additional Documents-WUO_ERR'!A101, ":"))))</f>
        <v/>
      </c>
    </row>
    <row r="102">
      <c r="A102" s="39">
        <f>IF('Additional Documents'!B102 = "", "", IF('Additional Documents-WUO_ERR'!A102 = "", "Validated", HYPERLINK("#" &amp; ADDRESS(102, 'Additional Documents-WUO_TRK'!A102),_xlfn.TEXTAFTER('Additional Documents-WUO_ERR'!A102, ":"))))</f>
        <v/>
      </c>
    </row>
    <row r="103">
      <c r="A103" s="39">
        <f>IF('Additional Documents'!B103 = "", "", IF('Additional Documents-WUO_ERR'!A103 = "", "Validated", HYPERLINK("#" &amp; ADDRESS(103, 'Additional Documents-WUO_TRK'!A103),_xlfn.TEXTAFTER('Additional Documents-WUO_ERR'!A103, ":"))))</f>
        <v/>
      </c>
    </row>
    <row r="104">
      <c r="A104" s="39">
        <f>IF('Additional Documents'!B104 = "", "", IF('Additional Documents-WUO_ERR'!A104 = "", "Validated", HYPERLINK("#" &amp; ADDRESS(104, 'Additional Documents-WUO_TRK'!A104),_xlfn.TEXTAFTER('Additional Documents-WUO_ERR'!A104, ":"))))</f>
        <v/>
      </c>
    </row>
    <row r="105">
      <c r="A105" s="39">
        <f>IF('Additional Documents'!B105 = "", "", IF('Additional Documents-WUO_ERR'!A105 = "", "Validated", HYPERLINK("#" &amp; ADDRESS(105, 'Additional Documents-WUO_TRK'!A105),_xlfn.TEXTAFTER('Additional Documents-WUO_ERR'!A105, ":"))))</f>
        <v/>
      </c>
    </row>
    <row r="106">
      <c r="A106" s="39">
        <f>IF('Additional Documents'!B106 = "", "", IF('Additional Documents-WUO_ERR'!A106 = "", "Validated", HYPERLINK("#" &amp; ADDRESS(106, 'Additional Documents-WUO_TRK'!A106),_xlfn.TEXTAFTER('Additional Documents-WUO_ERR'!A106, ":"))))</f>
        <v/>
      </c>
    </row>
    <row r="107">
      <c r="A107" s="39">
        <f>IF('Additional Documents'!B107 = "", "", IF('Additional Documents-WUO_ERR'!A107 = "", "Validated", HYPERLINK("#" &amp; ADDRESS(107, 'Additional Documents-WUO_TRK'!A107),_xlfn.TEXTAFTER('Additional Documents-WUO_ERR'!A107, ":"))))</f>
        <v/>
      </c>
    </row>
    <row r="108">
      <c r="A108" s="39">
        <f>IF('Additional Documents'!B108 = "", "", IF('Additional Documents-WUO_ERR'!A108 = "", "Validated", HYPERLINK("#" &amp; ADDRESS(108, 'Additional Documents-WUO_TRK'!A108),_xlfn.TEXTAFTER('Additional Documents-WUO_ERR'!A108, ":"))))</f>
        <v/>
      </c>
    </row>
    <row r="109">
      <c r="A109" s="39">
        <f>IF('Additional Documents'!B109 = "", "", IF('Additional Documents-WUO_ERR'!A109 = "", "Validated", HYPERLINK("#" &amp; ADDRESS(109, 'Additional Documents-WUO_TRK'!A109),_xlfn.TEXTAFTER('Additional Documents-WUO_ERR'!A109, ":"))))</f>
        <v/>
      </c>
    </row>
    <row r="110">
      <c r="A110" s="39">
        <f>IF('Additional Documents'!B110 = "", "", IF('Additional Documents-WUO_ERR'!A110 = "", "Validated", HYPERLINK("#" &amp; ADDRESS(110, 'Additional Documents-WUO_TRK'!A110),_xlfn.TEXTAFTER('Additional Documents-WUO_ERR'!A110, ":"))))</f>
        <v/>
      </c>
    </row>
    <row r="111">
      <c r="A111" s="39">
        <f>IF('Additional Documents'!B111 = "", "", IF('Additional Documents-WUO_ERR'!A111 = "", "Validated", HYPERLINK("#" &amp; ADDRESS(111, 'Additional Documents-WUO_TRK'!A111),_xlfn.TEXTAFTER('Additional Documents-WUO_ERR'!A111, ":"))))</f>
        <v/>
      </c>
    </row>
    <row r="112">
      <c r="A112" s="39">
        <f>IF('Additional Documents'!B112 = "", "", IF('Additional Documents-WUO_ERR'!A112 = "", "Validated", HYPERLINK("#" &amp; ADDRESS(112, 'Additional Documents-WUO_TRK'!A112),_xlfn.TEXTAFTER('Additional Documents-WUO_ERR'!A112, ":"))))</f>
        <v/>
      </c>
    </row>
    <row r="113">
      <c r="A113" s="39">
        <f>IF('Additional Documents'!B113 = "", "", IF('Additional Documents-WUO_ERR'!A113 = "", "Validated", HYPERLINK("#" &amp; ADDRESS(113, 'Additional Documents-WUO_TRK'!A113),_xlfn.TEXTAFTER('Additional Documents-WUO_ERR'!A113, ":"))))</f>
        <v/>
      </c>
    </row>
    <row r="114">
      <c r="A114" s="39">
        <f>IF('Additional Documents'!B114 = "", "", IF('Additional Documents-WUO_ERR'!A114 = "", "Validated", HYPERLINK("#" &amp; ADDRESS(114, 'Additional Documents-WUO_TRK'!A114),_xlfn.TEXTAFTER('Additional Documents-WUO_ERR'!A114, ":"))))</f>
        <v/>
      </c>
    </row>
    <row r="115">
      <c r="A115" s="39">
        <f>IF('Additional Documents'!B115 = "", "", IF('Additional Documents-WUO_ERR'!A115 = "", "Validated", HYPERLINK("#" &amp; ADDRESS(115, 'Additional Documents-WUO_TRK'!A115),_xlfn.TEXTAFTER('Additional Documents-WUO_ERR'!A115, ":"))))</f>
        <v/>
      </c>
    </row>
    <row r="116">
      <c r="A116" s="39">
        <f>IF('Additional Documents'!B116 = "", "", IF('Additional Documents-WUO_ERR'!A116 = "", "Validated", HYPERLINK("#" &amp; ADDRESS(116, 'Additional Documents-WUO_TRK'!A116),_xlfn.TEXTAFTER('Additional Documents-WUO_ERR'!A116, ":"))))</f>
        <v/>
      </c>
    </row>
    <row r="117">
      <c r="A117" s="39">
        <f>IF('Additional Documents'!B117 = "", "", IF('Additional Documents-WUO_ERR'!A117 = "", "Validated", HYPERLINK("#" &amp; ADDRESS(117, 'Additional Documents-WUO_TRK'!A117),_xlfn.TEXTAFTER('Additional Documents-WUO_ERR'!A117, ":"))))</f>
        <v/>
      </c>
    </row>
    <row r="118">
      <c r="A118" s="39">
        <f>IF('Additional Documents'!B118 = "", "", IF('Additional Documents-WUO_ERR'!A118 = "", "Validated", HYPERLINK("#" &amp; ADDRESS(118, 'Additional Documents-WUO_TRK'!A118),_xlfn.TEXTAFTER('Additional Documents-WUO_ERR'!A118, ":"))))</f>
        <v/>
      </c>
    </row>
    <row r="119">
      <c r="A119" s="39">
        <f>IF('Additional Documents'!B119 = "", "", IF('Additional Documents-WUO_ERR'!A119 = "", "Validated", HYPERLINK("#" &amp; ADDRESS(119, 'Additional Documents-WUO_TRK'!A119),_xlfn.TEXTAFTER('Additional Documents-WUO_ERR'!A119, ":"))))</f>
        <v/>
      </c>
    </row>
    <row r="120">
      <c r="A120" s="39">
        <f>IF('Additional Documents'!B120 = "", "", IF('Additional Documents-WUO_ERR'!A120 = "", "Validated", HYPERLINK("#" &amp; ADDRESS(120, 'Additional Documents-WUO_TRK'!A120),_xlfn.TEXTAFTER('Additional Documents-WUO_ERR'!A120, ":"))))</f>
        <v/>
      </c>
    </row>
    <row r="121">
      <c r="A121" s="39">
        <f>IF('Additional Documents'!B121 = "", "", IF('Additional Documents-WUO_ERR'!A121 = "", "Validated", HYPERLINK("#" &amp; ADDRESS(121, 'Additional Documents-WUO_TRK'!A121),_xlfn.TEXTAFTER('Additional Documents-WUO_ERR'!A121, ":"))))</f>
        <v/>
      </c>
    </row>
    <row r="122">
      <c r="A122" s="39">
        <f>IF('Additional Documents'!B122 = "", "", IF('Additional Documents-WUO_ERR'!A122 = "", "Validated", HYPERLINK("#" &amp; ADDRESS(122, 'Additional Documents-WUO_TRK'!A122),_xlfn.TEXTAFTER('Additional Documents-WUO_ERR'!A122, ":"))))</f>
        <v/>
      </c>
    </row>
    <row r="123">
      <c r="A123" s="39">
        <f>IF('Additional Documents'!B123 = "", "", IF('Additional Documents-WUO_ERR'!A123 = "", "Validated", HYPERLINK("#" &amp; ADDRESS(123, 'Additional Documents-WUO_TRK'!A123),_xlfn.TEXTAFTER('Additional Documents-WUO_ERR'!A123, ":"))))</f>
        <v/>
      </c>
    </row>
    <row r="124">
      <c r="A124" s="39">
        <f>IF('Additional Documents'!B124 = "", "", IF('Additional Documents-WUO_ERR'!A124 = "", "Validated", HYPERLINK("#" &amp; ADDRESS(124, 'Additional Documents-WUO_TRK'!A124),_xlfn.TEXTAFTER('Additional Documents-WUO_ERR'!A124, ":"))))</f>
        <v/>
      </c>
    </row>
    <row r="125">
      <c r="A125" s="39">
        <f>IF('Additional Documents'!B125 = "", "", IF('Additional Documents-WUO_ERR'!A125 = "", "Validated", HYPERLINK("#" &amp; ADDRESS(125, 'Additional Documents-WUO_TRK'!A125),_xlfn.TEXTAFTER('Additional Documents-WUO_ERR'!A125, ":"))))</f>
        <v/>
      </c>
    </row>
    <row r="126">
      <c r="A126" s="39">
        <f>IF('Additional Documents'!B126 = "", "", IF('Additional Documents-WUO_ERR'!A126 = "", "Validated", HYPERLINK("#" &amp; ADDRESS(126, 'Additional Documents-WUO_TRK'!A126),_xlfn.TEXTAFTER('Additional Documents-WUO_ERR'!A126, ":"))))</f>
        <v/>
      </c>
    </row>
    <row r="127">
      <c r="A127" s="39">
        <f>IF('Additional Documents'!B127 = "", "", IF('Additional Documents-WUO_ERR'!A127 = "", "Validated", HYPERLINK("#" &amp; ADDRESS(127, 'Additional Documents-WUO_TRK'!A127),_xlfn.TEXTAFTER('Additional Documents-WUO_ERR'!A127, ":"))))</f>
        <v/>
      </c>
    </row>
    <row r="128">
      <c r="A128" s="39">
        <f>IF('Additional Documents'!B128 = "", "", IF('Additional Documents-WUO_ERR'!A128 = "", "Validated", HYPERLINK("#" &amp; ADDRESS(128, 'Additional Documents-WUO_TRK'!A128),_xlfn.TEXTAFTER('Additional Documents-WUO_ERR'!A128, ":"))))</f>
        <v/>
      </c>
    </row>
    <row r="129">
      <c r="A129" s="39">
        <f>IF('Additional Documents'!B129 = "", "", IF('Additional Documents-WUO_ERR'!A129 = "", "Validated", HYPERLINK("#" &amp; ADDRESS(129, 'Additional Documents-WUO_TRK'!A129),_xlfn.TEXTAFTER('Additional Documents-WUO_ERR'!A129, ":"))))</f>
        <v/>
      </c>
    </row>
    <row r="130">
      <c r="A130" s="39">
        <f>IF('Additional Documents'!B130 = "", "", IF('Additional Documents-WUO_ERR'!A130 = "", "Validated", HYPERLINK("#" &amp; ADDRESS(130, 'Additional Documents-WUO_TRK'!A130),_xlfn.TEXTAFTER('Additional Documents-WUO_ERR'!A130, ":"))))</f>
        <v/>
      </c>
    </row>
    <row r="131">
      <c r="A131" s="39">
        <f>IF('Additional Documents'!B131 = "", "", IF('Additional Documents-WUO_ERR'!A131 = "", "Validated", HYPERLINK("#" &amp; ADDRESS(131, 'Additional Documents-WUO_TRK'!A131),_xlfn.TEXTAFTER('Additional Documents-WUO_ERR'!A131, ":"))))</f>
        <v/>
      </c>
    </row>
    <row r="132">
      <c r="A132" s="39">
        <f>IF('Additional Documents'!B132 = "", "", IF('Additional Documents-WUO_ERR'!A132 = "", "Validated", HYPERLINK("#" &amp; ADDRESS(132, 'Additional Documents-WUO_TRK'!A132),_xlfn.TEXTAFTER('Additional Documents-WUO_ERR'!A132, ":"))))</f>
        <v/>
      </c>
    </row>
    <row r="133">
      <c r="A133" s="39">
        <f>IF('Additional Documents'!B133 = "", "", IF('Additional Documents-WUO_ERR'!A133 = "", "Validated", HYPERLINK("#" &amp; ADDRESS(133, 'Additional Documents-WUO_TRK'!A133),_xlfn.TEXTAFTER('Additional Documents-WUO_ERR'!A133, ":"))))</f>
        <v/>
      </c>
    </row>
    <row r="134">
      <c r="A134" s="39">
        <f>IF('Additional Documents'!B134 = "", "", IF('Additional Documents-WUO_ERR'!A134 = "", "Validated", HYPERLINK("#" &amp; ADDRESS(134, 'Additional Documents-WUO_TRK'!A134),_xlfn.TEXTAFTER('Additional Documents-WUO_ERR'!A134, ":"))))</f>
        <v/>
      </c>
    </row>
    <row r="135">
      <c r="A135" s="39">
        <f>IF('Additional Documents'!B135 = "", "", IF('Additional Documents-WUO_ERR'!A135 = "", "Validated", HYPERLINK("#" &amp; ADDRESS(135, 'Additional Documents-WUO_TRK'!A135),_xlfn.TEXTAFTER('Additional Documents-WUO_ERR'!A135, ":"))))</f>
        <v/>
      </c>
    </row>
    <row r="136">
      <c r="A136" s="39">
        <f>IF('Additional Documents'!B136 = "", "", IF('Additional Documents-WUO_ERR'!A136 = "", "Validated", HYPERLINK("#" &amp; ADDRESS(136, 'Additional Documents-WUO_TRK'!A136),_xlfn.TEXTAFTER('Additional Documents-WUO_ERR'!A136, ":"))))</f>
        <v/>
      </c>
    </row>
    <row r="137">
      <c r="A137" s="39">
        <f>IF('Additional Documents'!B137 = "", "", IF('Additional Documents-WUO_ERR'!A137 = "", "Validated", HYPERLINK("#" &amp; ADDRESS(137, 'Additional Documents-WUO_TRK'!A137),_xlfn.TEXTAFTER('Additional Documents-WUO_ERR'!A137, ":"))))</f>
        <v/>
      </c>
    </row>
    <row r="138">
      <c r="A138" s="39">
        <f>IF('Additional Documents'!B138 = "", "", IF('Additional Documents-WUO_ERR'!A138 = "", "Validated", HYPERLINK("#" &amp; ADDRESS(138, 'Additional Documents-WUO_TRK'!A138),_xlfn.TEXTAFTER('Additional Documents-WUO_ERR'!A138, ":"))))</f>
        <v/>
      </c>
    </row>
    <row r="139">
      <c r="A139" s="39">
        <f>IF('Additional Documents'!B139 = "", "", IF('Additional Documents-WUO_ERR'!A139 = "", "Validated", HYPERLINK("#" &amp; ADDRESS(139, 'Additional Documents-WUO_TRK'!A139),_xlfn.TEXTAFTER('Additional Documents-WUO_ERR'!A139, ":"))))</f>
        <v/>
      </c>
    </row>
    <row r="140">
      <c r="A140" s="39">
        <f>IF('Additional Documents'!B140 = "", "", IF('Additional Documents-WUO_ERR'!A140 = "", "Validated", HYPERLINK("#" &amp; ADDRESS(140, 'Additional Documents-WUO_TRK'!A140),_xlfn.TEXTAFTER('Additional Documents-WUO_ERR'!A140, ":"))))</f>
        <v/>
      </c>
    </row>
    <row r="141">
      <c r="A141" s="39">
        <f>IF('Additional Documents'!B141 = "", "", IF('Additional Documents-WUO_ERR'!A141 = "", "Validated", HYPERLINK("#" &amp; ADDRESS(141, 'Additional Documents-WUO_TRK'!A141),_xlfn.TEXTAFTER('Additional Documents-WUO_ERR'!A141, ":"))))</f>
        <v/>
      </c>
    </row>
    <row r="142">
      <c r="A142" s="39">
        <f>IF('Additional Documents'!B142 = "", "", IF('Additional Documents-WUO_ERR'!A142 = "", "Validated", HYPERLINK("#" &amp; ADDRESS(142, 'Additional Documents-WUO_TRK'!A142),_xlfn.TEXTAFTER('Additional Documents-WUO_ERR'!A142, ":"))))</f>
        <v/>
      </c>
    </row>
    <row r="143">
      <c r="A143" s="39">
        <f>IF('Additional Documents'!B143 = "", "", IF('Additional Documents-WUO_ERR'!A143 = "", "Validated", HYPERLINK("#" &amp; ADDRESS(143, 'Additional Documents-WUO_TRK'!A143),_xlfn.TEXTAFTER('Additional Documents-WUO_ERR'!A143, ":"))))</f>
        <v/>
      </c>
    </row>
    <row r="144">
      <c r="A144" s="39">
        <f>IF('Additional Documents'!B144 = "", "", IF('Additional Documents-WUO_ERR'!A144 = "", "Validated", HYPERLINK("#" &amp; ADDRESS(144, 'Additional Documents-WUO_TRK'!A144),_xlfn.TEXTAFTER('Additional Documents-WUO_ERR'!A144, ":"))))</f>
        <v/>
      </c>
    </row>
    <row r="145">
      <c r="A145" s="39">
        <f>IF('Additional Documents'!B145 = "", "", IF('Additional Documents-WUO_ERR'!A145 = "", "Validated", HYPERLINK("#" &amp; ADDRESS(145, 'Additional Documents-WUO_TRK'!A145),_xlfn.TEXTAFTER('Additional Documents-WUO_ERR'!A145, ":"))))</f>
        <v/>
      </c>
    </row>
    <row r="146">
      <c r="A146" s="39">
        <f>IF('Additional Documents'!B146 = "", "", IF('Additional Documents-WUO_ERR'!A146 = "", "Validated", HYPERLINK("#" &amp; ADDRESS(146, 'Additional Documents-WUO_TRK'!A146),_xlfn.TEXTAFTER('Additional Documents-WUO_ERR'!A146, ":"))))</f>
        <v/>
      </c>
    </row>
    <row r="147">
      <c r="A147" s="39">
        <f>IF('Additional Documents'!B147 = "", "", IF('Additional Documents-WUO_ERR'!A147 = "", "Validated", HYPERLINK("#" &amp; ADDRESS(147, 'Additional Documents-WUO_TRK'!A147),_xlfn.TEXTAFTER('Additional Documents-WUO_ERR'!A147, ":"))))</f>
        <v/>
      </c>
    </row>
    <row r="148">
      <c r="A148" s="39">
        <f>IF('Additional Documents'!B148 = "", "", IF('Additional Documents-WUO_ERR'!A148 = "", "Validated", HYPERLINK("#" &amp; ADDRESS(148, 'Additional Documents-WUO_TRK'!A148),_xlfn.TEXTAFTER('Additional Documents-WUO_ERR'!A148, ":"))))</f>
        <v/>
      </c>
    </row>
    <row r="149">
      <c r="A149" s="39">
        <f>IF('Additional Documents'!B149 = "", "", IF('Additional Documents-WUO_ERR'!A149 = "", "Validated", HYPERLINK("#" &amp; ADDRESS(149, 'Additional Documents-WUO_TRK'!A149),_xlfn.TEXTAFTER('Additional Documents-WUO_ERR'!A149, ":"))))</f>
        <v/>
      </c>
    </row>
    <row r="150">
      <c r="A150" s="39">
        <f>IF('Additional Documents'!B150 = "", "", IF('Additional Documents-WUO_ERR'!A150 = "", "Validated", HYPERLINK("#" &amp; ADDRESS(150, 'Additional Documents-WUO_TRK'!A150),_xlfn.TEXTAFTER('Additional Documents-WUO_ERR'!A150, ":"))))</f>
        <v/>
      </c>
    </row>
    <row r="151">
      <c r="A151" s="39">
        <f>IF('Additional Documents'!B151 = "", "", IF('Additional Documents-WUO_ERR'!A151 = "", "Validated", HYPERLINK("#" &amp; ADDRESS(151, 'Additional Documents-WUO_TRK'!A151),_xlfn.TEXTAFTER('Additional Documents-WUO_ERR'!A151, ":"))))</f>
        <v/>
      </c>
    </row>
    <row r="152">
      <c r="A152" s="39">
        <f>IF('Additional Documents'!B152 = "", "", IF('Additional Documents-WUO_ERR'!A152 = "", "Validated", HYPERLINK("#" &amp; ADDRESS(152, 'Additional Documents-WUO_TRK'!A152),_xlfn.TEXTAFTER('Additional Documents-WUO_ERR'!A152, ":"))))</f>
        <v/>
      </c>
    </row>
    <row r="153">
      <c r="A153" s="39">
        <f>IF('Additional Documents'!B153 = "", "", IF('Additional Documents-WUO_ERR'!A153 = "", "Validated", HYPERLINK("#" &amp; ADDRESS(153, 'Additional Documents-WUO_TRK'!A153),_xlfn.TEXTAFTER('Additional Documents-WUO_ERR'!A153, ":"))))</f>
        <v/>
      </c>
    </row>
    <row r="154">
      <c r="A154" s="39">
        <f>IF('Additional Documents'!B154 = "", "", IF('Additional Documents-WUO_ERR'!A154 = "", "Validated", HYPERLINK("#" &amp; ADDRESS(154, 'Additional Documents-WUO_TRK'!A154),_xlfn.TEXTAFTER('Additional Documents-WUO_ERR'!A154, ":"))))</f>
        <v/>
      </c>
    </row>
    <row r="155">
      <c r="A155" s="39">
        <f>IF('Additional Documents'!B155 = "", "", IF('Additional Documents-WUO_ERR'!A155 = "", "Validated", HYPERLINK("#" &amp; ADDRESS(155, 'Additional Documents-WUO_TRK'!A155),_xlfn.TEXTAFTER('Additional Documents-WUO_ERR'!A155, ":"))))</f>
        <v/>
      </c>
    </row>
    <row r="156">
      <c r="A156" s="39">
        <f>IF('Additional Documents'!B156 = "", "", IF('Additional Documents-WUO_ERR'!A156 = "", "Validated", HYPERLINK("#" &amp; ADDRESS(156, 'Additional Documents-WUO_TRK'!A156),_xlfn.TEXTAFTER('Additional Documents-WUO_ERR'!A156, ":"))))</f>
        <v/>
      </c>
    </row>
    <row r="157">
      <c r="A157" s="39">
        <f>IF('Additional Documents'!B157 = "", "", IF('Additional Documents-WUO_ERR'!A157 = "", "Validated", HYPERLINK("#" &amp; ADDRESS(157, 'Additional Documents-WUO_TRK'!A157),_xlfn.TEXTAFTER('Additional Documents-WUO_ERR'!A157, ":"))))</f>
        <v/>
      </c>
    </row>
    <row r="158">
      <c r="A158" s="39">
        <f>IF('Additional Documents'!B158 = "", "", IF('Additional Documents-WUO_ERR'!A158 = "", "Validated", HYPERLINK("#" &amp; ADDRESS(158, 'Additional Documents-WUO_TRK'!A158),_xlfn.TEXTAFTER('Additional Documents-WUO_ERR'!A158, ":"))))</f>
        <v/>
      </c>
    </row>
    <row r="159">
      <c r="A159" s="39">
        <f>IF('Additional Documents'!B159 = "", "", IF('Additional Documents-WUO_ERR'!A159 = "", "Validated", HYPERLINK("#" &amp; ADDRESS(159, 'Additional Documents-WUO_TRK'!A159),_xlfn.TEXTAFTER('Additional Documents-WUO_ERR'!A159, ":"))))</f>
        <v/>
      </c>
    </row>
    <row r="160">
      <c r="A160" s="39">
        <f>IF('Additional Documents'!B160 = "", "", IF('Additional Documents-WUO_ERR'!A160 = "", "Validated", HYPERLINK("#" &amp; ADDRESS(160, 'Additional Documents-WUO_TRK'!A160),_xlfn.TEXTAFTER('Additional Documents-WUO_ERR'!A160, ":"))))</f>
        <v/>
      </c>
    </row>
    <row r="161">
      <c r="A161" s="39">
        <f>IF('Additional Documents'!B161 = "", "", IF('Additional Documents-WUO_ERR'!A161 = "", "Validated", HYPERLINK("#" &amp; ADDRESS(161, 'Additional Documents-WUO_TRK'!A161),_xlfn.TEXTAFTER('Additional Documents-WUO_ERR'!A161, ":"))))</f>
        <v/>
      </c>
    </row>
    <row r="162">
      <c r="A162" s="39">
        <f>IF('Additional Documents'!B162 = "", "", IF('Additional Documents-WUO_ERR'!A162 = "", "Validated", HYPERLINK("#" &amp; ADDRESS(162, 'Additional Documents-WUO_TRK'!A162),_xlfn.TEXTAFTER('Additional Documents-WUO_ERR'!A162, ":"))))</f>
        <v/>
      </c>
    </row>
    <row r="163">
      <c r="A163" s="39">
        <f>IF('Additional Documents'!B163 = "", "", IF('Additional Documents-WUO_ERR'!A163 = "", "Validated", HYPERLINK("#" &amp; ADDRESS(163, 'Additional Documents-WUO_TRK'!A163),_xlfn.TEXTAFTER('Additional Documents-WUO_ERR'!A163, ":"))))</f>
        <v/>
      </c>
    </row>
    <row r="164">
      <c r="A164" s="39">
        <f>IF('Additional Documents'!B164 = "", "", IF('Additional Documents-WUO_ERR'!A164 = "", "Validated", HYPERLINK("#" &amp; ADDRESS(164, 'Additional Documents-WUO_TRK'!A164),_xlfn.TEXTAFTER('Additional Documents-WUO_ERR'!A164, ":"))))</f>
        <v/>
      </c>
    </row>
    <row r="165">
      <c r="A165" s="39">
        <f>IF('Additional Documents'!B165 = "", "", IF('Additional Documents-WUO_ERR'!A165 = "", "Validated", HYPERLINK("#" &amp; ADDRESS(165, 'Additional Documents-WUO_TRK'!A165),_xlfn.TEXTAFTER('Additional Documents-WUO_ERR'!A165, ":"))))</f>
        <v/>
      </c>
    </row>
    <row r="166">
      <c r="A166" s="39">
        <f>IF('Additional Documents'!B166 = "", "", IF('Additional Documents-WUO_ERR'!A166 = "", "Validated", HYPERLINK("#" &amp; ADDRESS(166, 'Additional Documents-WUO_TRK'!A166),_xlfn.TEXTAFTER('Additional Documents-WUO_ERR'!A166, ":"))))</f>
        <v/>
      </c>
    </row>
    <row r="167">
      <c r="A167" s="39">
        <f>IF('Additional Documents'!B167 = "", "", IF('Additional Documents-WUO_ERR'!A167 = "", "Validated", HYPERLINK("#" &amp; ADDRESS(167, 'Additional Documents-WUO_TRK'!A167),_xlfn.TEXTAFTER('Additional Documents-WUO_ERR'!A167, ":"))))</f>
        <v/>
      </c>
    </row>
    <row r="168">
      <c r="A168" s="39">
        <f>IF('Additional Documents'!B168 = "", "", IF('Additional Documents-WUO_ERR'!A168 = "", "Validated", HYPERLINK("#" &amp; ADDRESS(168, 'Additional Documents-WUO_TRK'!A168),_xlfn.TEXTAFTER('Additional Documents-WUO_ERR'!A168, ":"))))</f>
        <v/>
      </c>
    </row>
    <row r="169">
      <c r="A169" s="39">
        <f>IF('Additional Documents'!B169 = "", "", IF('Additional Documents-WUO_ERR'!A169 = "", "Validated", HYPERLINK("#" &amp; ADDRESS(169, 'Additional Documents-WUO_TRK'!A169),_xlfn.TEXTAFTER('Additional Documents-WUO_ERR'!A169, ":"))))</f>
        <v/>
      </c>
    </row>
    <row r="170">
      <c r="A170" s="39">
        <f>IF('Additional Documents'!B170 = "", "", IF('Additional Documents-WUO_ERR'!A170 = "", "Validated", HYPERLINK("#" &amp; ADDRESS(170, 'Additional Documents-WUO_TRK'!A170),_xlfn.TEXTAFTER('Additional Documents-WUO_ERR'!A170, ":"))))</f>
        <v/>
      </c>
    </row>
    <row r="171">
      <c r="A171" s="39">
        <f>IF('Additional Documents'!B171 = "", "", IF('Additional Documents-WUO_ERR'!A171 = "", "Validated", HYPERLINK("#" &amp; ADDRESS(171, 'Additional Documents-WUO_TRK'!A171),_xlfn.TEXTAFTER('Additional Documents-WUO_ERR'!A171, ":"))))</f>
        <v/>
      </c>
    </row>
    <row r="172">
      <c r="A172" s="39">
        <f>IF('Additional Documents'!B172 = "", "", IF('Additional Documents-WUO_ERR'!A172 = "", "Validated", HYPERLINK("#" &amp; ADDRESS(172, 'Additional Documents-WUO_TRK'!A172),_xlfn.TEXTAFTER('Additional Documents-WUO_ERR'!A172, ":"))))</f>
        <v/>
      </c>
    </row>
    <row r="173">
      <c r="A173" s="39">
        <f>IF('Additional Documents'!B173 = "", "", IF('Additional Documents-WUO_ERR'!A173 = "", "Validated", HYPERLINK("#" &amp; ADDRESS(173, 'Additional Documents-WUO_TRK'!A173),_xlfn.TEXTAFTER('Additional Documents-WUO_ERR'!A173, ":"))))</f>
        <v/>
      </c>
    </row>
    <row r="174">
      <c r="A174" s="39">
        <f>IF('Additional Documents'!B174 = "", "", IF('Additional Documents-WUO_ERR'!A174 = "", "Validated", HYPERLINK("#" &amp; ADDRESS(174, 'Additional Documents-WUO_TRK'!A174),_xlfn.TEXTAFTER('Additional Documents-WUO_ERR'!A174, ":"))))</f>
        <v/>
      </c>
    </row>
    <row r="175">
      <c r="A175" s="39">
        <f>IF('Additional Documents'!B175 = "", "", IF('Additional Documents-WUO_ERR'!A175 = "", "Validated", HYPERLINK("#" &amp; ADDRESS(175, 'Additional Documents-WUO_TRK'!A175),_xlfn.TEXTAFTER('Additional Documents-WUO_ERR'!A175, ":"))))</f>
        <v/>
      </c>
    </row>
    <row r="176">
      <c r="A176" s="39">
        <f>IF('Additional Documents'!B176 = "", "", IF('Additional Documents-WUO_ERR'!A176 = "", "Validated", HYPERLINK("#" &amp; ADDRESS(176, 'Additional Documents-WUO_TRK'!A176),_xlfn.TEXTAFTER('Additional Documents-WUO_ERR'!A176, ":"))))</f>
        <v/>
      </c>
    </row>
    <row r="177">
      <c r="A177" s="39">
        <f>IF('Additional Documents'!B177 = "", "", IF('Additional Documents-WUO_ERR'!A177 = "", "Validated", HYPERLINK("#" &amp; ADDRESS(177, 'Additional Documents-WUO_TRK'!A177),_xlfn.TEXTAFTER('Additional Documents-WUO_ERR'!A177, ":"))))</f>
        <v/>
      </c>
    </row>
    <row r="178">
      <c r="A178" s="39">
        <f>IF('Additional Documents'!B178 = "", "", IF('Additional Documents-WUO_ERR'!A178 = "", "Validated", HYPERLINK("#" &amp; ADDRESS(178, 'Additional Documents-WUO_TRK'!A178),_xlfn.TEXTAFTER('Additional Documents-WUO_ERR'!A178, ":"))))</f>
        <v/>
      </c>
    </row>
    <row r="179">
      <c r="A179" s="39">
        <f>IF('Additional Documents'!B179 = "", "", IF('Additional Documents-WUO_ERR'!A179 = "", "Validated", HYPERLINK("#" &amp; ADDRESS(179, 'Additional Documents-WUO_TRK'!A179),_xlfn.TEXTAFTER('Additional Documents-WUO_ERR'!A179, ":"))))</f>
        <v/>
      </c>
    </row>
    <row r="180">
      <c r="A180" s="39">
        <f>IF('Additional Documents'!B180 = "", "", IF('Additional Documents-WUO_ERR'!A180 = "", "Validated", HYPERLINK("#" &amp; ADDRESS(180, 'Additional Documents-WUO_TRK'!A180),_xlfn.TEXTAFTER('Additional Documents-WUO_ERR'!A180, ":"))))</f>
        <v/>
      </c>
    </row>
    <row r="181">
      <c r="A181" s="39">
        <f>IF('Additional Documents'!B181 = "", "", IF('Additional Documents-WUO_ERR'!A181 = "", "Validated", HYPERLINK("#" &amp; ADDRESS(181, 'Additional Documents-WUO_TRK'!A181),_xlfn.TEXTAFTER('Additional Documents-WUO_ERR'!A181, ":"))))</f>
        <v/>
      </c>
    </row>
    <row r="182">
      <c r="A182" s="39">
        <f>IF('Additional Documents'!B182 = "", "", IF('Additional Documents-WUO_ERR'!A182 = "", "Validated", HYPERLINK("#" &amp; ADDRESS(182, 'Additional Documents-WUO_TRK'!A182),_xlfn.TEXTAFTER('Additional Documents-WUO_ERR'!A182, ":"))))</f>
        <v/>
      </c>
    </row>
    <row r="183">
      <c r="A183" s="39">
        <f>IF('Additional Documents'!B183 = "", "", IF('Additional Documents-WUO_ERR'!A183 = "", "Validated", HYPERLINK("#" &amp; ADDRESS(183, 'Additional Documents-WUO_TRK'!A183),_xlfn.TEXTAFTER('Additional Documents-WUO_ERR'!A183, ":"))))</f>
        <v/>
      </c>
    </row>
    <row r="184">
      <c r="A184" s="39">
        <f>IF('Additional Documents'!B184 = "", "", IF('Additional Documents-WUO_ERR'!A184 = "", "Validated", HYPERLINK("#" &amp; ADDRESS(184, 'Additional Documents-WUO_TRK'!A184),_xlfn.TEXTAFTER('Additional Documents-WUO_ERR'!A184, ":"))))</f>
        <v/>
      </c>
    </row>
    <row r="185">
      <c r="A185" s="39">
        <f>IF('Additional Documents'!B185 = "", "", IF('Additional Documents-WUO_ERR'!A185 = "", "Validated", HYPERLINK("#" &amp; ADDRESS(185, 'Additional Documents-WUO_TRK'!A185),_xlfn.TEXTAFTER('Additional Documents-WUO_ERR'!A185, ":"))))</f>
        <v/>
      </c>
    </row>
    <row r="186">
      <c r="A186" s="39">
        <f>IF('Additional Documents'!B186 = "", "", IF('Additional Documents-WUO_ERR'!A186 = "", "Validated", HYPERLINK("#" &amp; ADDRESS(186, 'Additional Documents-WUO_TRK'!A186),_xlfn.TEXTAFTER('Additional Documents-WUO_ERR'!A186, ":"))))</f>
        <v/>
      </c>
    </row>
    <row r="187">
      <c r="A187" s="39">
        <f>IF('Additional Documents'!B187 = "", "", IF('Additional Documents-WUO_ERR'!A187 = "", "Validated", HYPERLINK("#" &amp; ADDRESS(187, 'Additional Documents-WUO_TRK'!A187),_xlfn.TEXTAFTER('Additional Documents-WUO_ERR'!A187, ":"))))</f>
        <v/>
      </c>
    </row>
    <row r="188">
      <c r="A188" s="39">
        <f>IF('Additional Documents'!B188 = "", "", IF('Additional Documents-WUO_ERR'!A188 = "", "Validated", HYPERLINK("#" &amp; ADDRESS(188, 'Additional Documents-WUO_TRK'!A188),_xlfn.TEXTAFTER('Additional Documents-WUO_ERR'!A188, ":"))))</f>
        <v/>
      </c>
    </row>
    <row r="189">
      <c r="A189" s="39">
        <f>IF('Additional Documents'!B189 = "", "", IF('Additional Documents-WUO_ERR'!A189 = "", "Validated", HYPERLINK("#" &amp; ADDRESS(189, 'Additional Documents-WUO_TRK'!A189),_xlfn.TEXTAFTER('Additional Documents-WUO_ERR'!A189, ":"))))</f>
        <v/>
      </c>
    </row>
    <row r="190">
      <c r="A190" s="39">
        <f>IF('Additional Documents'!B190 = "", "", IF('Additional Documents-WUO_ERR'!A190 = "", "Validated", HYPERLINK("#" &amp; ADDRESS(190, 'Additional Documents-WUO_TRK'!A190),_xlfn.TEXTAFTER('Additional Documents-WUO_ERR'!A190, ":"))))</f>
        <v/>
      </c>
    </row>
    <row r="191">
      <c r="A191" s="39">
        <f>IF('Additional Documents'!B191 = "", "", IF('Additional Documents-WUO_ERR'!A191 = "", "Validated", HYPERLINK("#" &amp; ADDRESS(191, 'Additional Documents-WUO_TRK'!A191),_xlfn.TEXTAFTER('Additional Documents-WUO_ERR'!A191, ":"))))</f>
        <v/>
      </c>
    </row>
    <row r="192">
      <c r="A192" s="39">
        <f>IF('Additional Documents'!B192 = "", "", IF('Additional Documents-WUO_ERR'!A192 = "", "Validated", HYPERLINK("#" &amp; ADDRESS(192, 'Additional Documents-WUO_TRK'!A192),_xlfn.TEXTAFTER('Additional Documents-WUO_ERR'!A192, ":"))))</f>
        <v/>
      </c>
    </row>
    <row r="193">
      <c r="A193" s="39">
        <f>IF('Additional Documents'!B193 = "", "", IF('Additional Documents-WUO_ERR'!A193 = "", "Validated", HYPERLINK("#" &amp; ADDRESS(193, 'Additional Documents-WUO_TRK'!A193),_xlfn.TEXTAFTER('Additional Documents-WUO_ERR'!A193, ":"))))</f>
        <v/>
      </c>
    </row>
    <row r="194">
      <c r="A194" s="39">
        <f>IF('Additional Documents'!B194 = "", "", IF('Additional Documents-WUO_ERR'!A194 = "", "Validated", HYPERLINK("#" &amp; ADDRESS(194, 'Additional Documents-WUO_TRK'!A194),_xlfn.TEXTAFTER('Additional Documents-WUO_ERR'!A194, ":"))))</f>
        <v/>
      </c>
    </row>
    <row r="195">
      <c r="A195" s="39">
        <f>IF('Additional Documents'!B195 = "", "", IF('Additional Documents-WUO_ERR'!A195 = "", "Validated", HYPERLINK("#" &amp; ADDRESS(195, 'Additional Documents-WUO_TRK'!A195),_xlfn.TEXTAFTER('Additional Documents-WUO_ERR'!A195, ":"))))</f>
        <v/>
      </c>
    </row>
    <row r="196">
      <c r="A196" s="39">
        <f>IF('Additional Documents'!B196 = "", "", IF('Additional Documents-WUO_ERR'!A196 = "", "Validated", HYPERLINK("#" &amp; ADDRESS(196, 'Additional Documents-WUO_TRK'!A196),_xlfn.TEXTAFTER('Additional Documents-WUO_ERR'!A196, ":"))))</f>
        <v/>
      </c>
    </row>
    <row r="197">
      <c r="A197" s="39">
        <f>IF('Additional Documents'!B197 = "", "", IF('Additional Documents-WUO_ERR'!A197 = "", "Validated", HYPERLINK("#" &amp; ADDRESS(197, 'Additional Documents-WUO_TRK'!A197),_xlfn.TEXTAFTER('Additional Documents-WUO_ERR'!A197, ":"))))</f>
        <v/>
      </c>
    </row>
    <row r="198">
      <c r="A198" s="39">
        <f>IF('Additional Documents'!B198 = "", "", IF('Additional Documents-WUO_ERR'!A198 = "", "Validated", HYPERLINK("#" &amp; ADDRESS(198, 'Additional Documents-WUO_TRK'!A198),_xlfn.TEXTAFTER('Additional Documents-WUO_ERR'!A198, ":"))))</f>
        <v/>
      </c>
    </row>
    <row r="199">
      <c r="A199" s="39">
        <f>IF('Additional Documents'!B199 = "", "", IF('Additional Documents-WUO_ERR'!A199 = "", "Validated", HYPERLINK("#" &amp; ADDRESS(199, 'Additional Documents-WUO_TRK'!A199),_xlfn.TEXTAFTER('Additional Documents-WUO_ERR'!A199, ":"))))</f>
        <v/>
      </c>
    </row>
    <row r="200">
      <c r="A200" s="39">
        <f>IF('Additional Documents'!B200 = "", "", IF('Additional Documents-WUO_ERR'!A200 = "", "Validated", HYPERLINK("#" &amp; ADDRESS(200, 'Additional Documents-WUO_TRK'!A200),_xlfn.TEXTAFTER('Additional Documents-WUO_ERR'!A200, ":"))))</f>
        <v/>
      </c>
    </row>
    <row r="201">
      <c r="A201" s="39">
        <f>IF('Additional Documents'!B201 = "", "", IF('Additional Documents-WUO_ERR'!A201 = "", "Validated", HYPERLINK("#" &amp; ADDRESS(201, 'Additional Documents-WUO_TRK'!A201),_xlfn.TEXTAFTER('Additional Documents-WUO_ERR'!A201, ":"))))</f>
        <v/>
      </c>
    </row>
    <row r="202">
      <c r="A202" s="39">
        <f>IF('Additional Documents'!B202 = "", "", IF('Additional Documents-WUO_ERR'!A202 = "", "Validated", HYPERLINK("#" &amp; ADDRESS(202, 'Additional Documents-WUO_TRK'!A202),_xlfn.TEXTAFTER('Additional Documents-WUO_ERR'!A202, ":"))))</f>
        <v/>
      </c>
    </row>
    <row r="203">
      <c r="A203" s="39">
        <f>IF('Additional Documents'!B203 = "", "", IF('Additional Documents-WUO_ERR'!A203 = "", "Validated", HYPERLINK("#" &amp; ADDRESS(203, 'Additional Documents-WUO_TRK'!A203),_xlfn.TEXTAFTER('Additional Documents-WUO_ERR'!A203, ":"))))</f>
        <v/>
      </c>
    </row>
    <row r="204">
      <c r="A204" s="39">
        <f>IF('Additional Documents'!B204 = "", "", IF('Additional Documents-WUO_ERR'!A204 = "", "Validated", HYPERLINK("#" &amp; ADDRESS(204, 'Additional Documents-WUO_TRK'!A204),_xlfn.TEXTAFTER('Additional Documents-WUO_ERR'!A204, ":"))))</f>
        <v/>
      </c>
    </row>
    <row r="205">
      <c r="A205" s="39">
        <f>IF('Additional Documents'!B205 = "", "", IF('Additional Documents-WUO_ERR'!A205 = "", "Validated", HYPERLINK("#" &amp; ADDRESS(205, 'Additional Documents-WUO_TRK'!A205),_xlfn.TEXTAFTER('Additional Documents-WUO_ERR'!A205, ":"))))</f>
        <v/>
      </c>
    </row>
    <row r="206">
      <c r="A206" s="39">
        <f>IF('Additional Documents'!B206 = "", "", IF('Additional Documents-WUO_ERR'!A206 = "", "Validated", HYPERLINK("#" &amp; ADDRESS(206, 'Additional Documents-WUO_TRK'!A206),_xlfn.TEXTAFTER('Additional Documents-WUO_ERR'!A206, ":"))))</f>
        <v/>
      </c>
    </row>
    <row r="207">
      <c r="A207" s="39">
        <f>IF('Additional Documents'!B207 = "", "", IF('Additional Documents-WUO_ERR'!A207 = "", "Validated", HYPERLINK("#" &amp; ADDRESS(207, 'Additional Documents-WUO_TRK'!A207),_xlfn.TEXTAFTER('Additional Documents-WUO_ERR'!A207, ":"))))</f>
        <v/>
      </c>
    </row>
    <row r="208">
      <c r="A208" s="39">
        <f>IF('Additional Documents'!B208 = "", "", IF('Additional Documents-WUO_ERR'!A208 = "", "Validated", HYPERLINK("#" &amp; ADDRESS(208, 'Additional Documents-WUO_TRK'!A208),_xlfn.TEXTAFTER('Additional Documents-WUO_ERR'!A208, ":"))))</f>
        <v/>
      </c>
    </row>
    <row r="209">
      <c r="A209" s="39">
        <f>IF('Additional Documents'!B209 = "", "", IF('Additional Documents-WUO_ERR'!A209 = "", "Validated", HYPERLINK("#" &amp; ADDRESS(209, 'Additional Documents-WUO_TRK'!A209),_xlfn.TEXTAFTER('Additional Documents-WUO_ERR'!A209, ":"))))</f>
        <v/>
      </c>
    </row>
    <row r="210">
      <c r="A210" s="39">
        <f>IF('Additional Documents'!B210 = "", "", IF('Additional Documents-WUO_ERR'!A210 = "", "Validated", HYPERLINK("#" &amp; ADDRESS(210, 'Additional Documents-WUO_TRK'!A210),_xlfn.TEXTAFTER('Additional Documents-WUO_ERR'!A210, ":"))))</f>
        <v/>
      </c>
    </row>
    <row r="211">
      <c r="A211" s="39">
        <f>IF('Additional Documents'!B211 = "", "", IF('Additional Documents-WUO_ERR'!A211 = "", "Validated", HYPERLINK("#" &amp; ADDRESS(211, 'Additional Documents-WUO_TRK'!A211),_xlfn.TEXTAFTER('Additional Documents-WUO_ERR'!A211, ":"))))</f>
        <v/>
      </c>
    </row>
    <row r="212">
      <c r="A212" s="39">
        <f>IF('Additional Documents'!B212 = "", "", IF('Additional Documents-WUO_ERR'!A212 = "", "Validated", HYPERLINK("#" &amp; ADDRESS(212, 'Additional Documents-WUO_TRK'!A212),_xlfn.TEXTAFTER('Additional Documents-WUO_ERR'!A212, ":"))))</f>
        <v/>
      </c>
    </row>
    <row r="213">
      <c r="A213" s="39">
        <f>IF('Additional Documents'!B213 = "", "", IF('Additional Documents-WUO_ERR'!A213 = "", "Validated", HYPERLINK("#" &amp; ADDRESS(213, 'Additional Documents-WUO_TRK'!A213),_xlfn.TEXTAFTER('Additional Documents-WUO_ERR'!A213, ":"))))</f>
        <v/>
      </c>
    </row>
    <row r="214">
      <c r="A214" s="39">
        <f>IF('Additional Documents'!B214 = "", "", IF('Additional Documents-WUO_ERR'!A214 = "", "Validated", HYPERLINK("#" &amp; ADDRESS(214, 'Additional Documents-WUO_TRK'!A214),_xlfn.TEXTAFTER('Additional Documents-WUO_ERR'!A214, ":"))))</f>
        <v/>
      </c>
    </row>
    <row r="215">
      <c r="A215" s="39">
        <f>IF('Additional Documents'!B215 = "", "", IF('Additional Documents-WUO_ERR'!A215 = "", "Validated", HYPERLINK("#" &amp; ADDRESS(215, 'Additional Documents-WUO_TRK'!A215),_xlfn.TEXTAFTER('Additional Documents-WUO_ERR'!A215, ":"))))</f>
        <v/>
      </c>
    </row>
    <row r="216">
      <c r="A216" s="39">
        <f>IF('Additional Documents'!B216 = "", "", IF('Additional Documents-WUO_ERR'!A216 = "", "Validated", HYPERLINK("#" &amp; ADDRESS(216, 'Additional Documents-WUO_TRK'!A216),_xlfn.TEXTAFTER('Additional Documents-WUO_ERR'!A216, ":"))))</f>
        <v/>
      </c>
    </row>
    <row r="217">
      <c r="A217" s="39">
        <f>IF('Additional Documents'!B217 = "", "", IF('Additional Documents-WUO_ERR'!A217 = "", "Validated", HYPERLINK("#" &amp; ADDRESS(217, 'Additional Documents-WUO_TRK'!A217),_xlfn.TEXTAFTER('Additional Documents-WUO_ERR'!A217, ":"))))</f>
        <v/>
      </c>
    </row>
    <row r="218">
      <c r="A218" s="39">
        <f>IF('Additional Documents'!B218 = "", "", IF('Additional Documents-WUO_ERR'!A218 = "", "Validated", HYPERLINK("#" &amp; ADDRESS(218, 'Additional Documents-WUO_TRK'!A218),_xlfn.TEXTAFTER('Additional Documents-WUO_ERR'!A218, ":"))))</f>
        <v/>
      </c>
    </row>
    <row r="219">
      <c r="A219" s="39">
        <f>IF('Additional Documents'!B219 = "", "", IF('Additional Documents-WUO_ERR'!A219 = "", "Validated", HYPERLINK("#" &amp; ADDRESS(219, 'Additional Documents-WUO_TRK'!A219),_xlfn.TEXTAFTER('Additional Documents-WUO_ERR'!A219, ":"))))</f>
        <v/>
      </c>
    </row>
    <row r="220">
      <c r="A220" s="39">
        <f>IF('Additional Documents'!B220 = "", "", IF('Additional Documents-WUO_ERR'!A220 = "", "Validated", HYPERLINK("#" &amp; ADDRESS(220, 'Additional Documents-WUO_TRK'!A220),_xlfn.TEXTAFTER('Additional Documents-WUO_ERR'!A220, ":"))))</f>
        <v/>
      </c>
    </row>
    <row r="221">
      <c r="A221" s="39">
        <f>IF('Additional Documents'!B221 = "", "", IF('Additional Documents-WUO_ERR'!A221 = "", "Validated", HYPERLINK("#" &amp; ADDRESS(221, 'Additional Documents-WUO_TRK'!A221),_xlfn.TEXTAFTER('Additional Documents-WUO_ERR'!A221, ":"))))</f>
        <v/>
      </c>
    </row>
    <row r="222">
      <c r="A222" s="39">
        <f>IF('Additional Documents'!B222 = "", "", IF('Additional Documents-WUO_ERR'!A222 = "", "Validated", HYPERLINK("#" &amp; ADDRESS(222, 'Additional Documents-WUO_TRK'!A222),_xlfn.TEXTAFTER('Additional Documents-WUO_ERR'!A222, ":"))))</f>
        <v/>
      </c>
    </row>
    <row r="223">
      <c r="A223" s="39">
        <f>IF('Additional Documents'!B223 = "", "", IF('Additional Documents-WUO_ERR'!A223 = "", "Validated", HYPERLINK("#" &amp; ADDRESS(223, 'Additional Documents-WUO_TRK'!A223),_xlfn.TEXTAFTER('Additional Documents-WUO_ERR'!A223, ":"))))</f>
        <v/>
      </c>
    </row>
    <row r="224">
      <c r="A224" s="39">
        <f>IF('Additional Documents'!B224 = "", "", IF('Additional Documents-WUO_ERR'!A224 = "", "Validated", HYPERLINK("#" &amp; ADDRESS(224, 'Additional Documents-WUO_TRK'!A224),_xlfn.TEXTAFTER('Additional Documents-WUO_ERR'!A224, ":"))))</f>
        <v/>
      </c>
    </row>
    <row r="225">
      <c r="A225" s="39">
        <f>IF('Additional Documents'!B225 = "", "", IF('Additional Documents-WUO_ERR'!A225 = "", "Validated", HYPERLINK("#" &amp; ADDRESS(225, 'Additional Documents-WUO_TRK'!A225),_xlfn.TEXTAFTER('Additional Documents-WUO_ERR'!A225, ":"))))</f>
        <v/>
      </c>
    </row>
    <row r="226">
      <c r="A226" s="39">
        <f>IF('Additional Documents'!B226 = "", "", IF('Additional Documents-WUO_ERR'!A226 = "", "Validated", HYPERLINK("#" &amp; ADDRESS(226, 'Additional Documents-WUO_TRK'!A226),_xlfn.TEXTAFTER('Additional Documents-WUO_ERR'!A226, ":"))))</f>
        <v/>
      </c>
    </row>
    <row r="227">
      <c r="A227" s="39">
        <f>IF('Additional Documents'!B227 = "", "", IF('Additional Documents-WUO_ERR'!A227 = "", "Validated", HYPERLINK("#" &amp; ADDRESS(227, 'Additional Documents-WUO_TRK'!A227),_xlfn.TEXTAFTER('Additional Documents-WUO_ERR'!A227, ":"))))</f>
        <v/>
      </c>
    </row>
    <row r="228">
      <c r="A228" s="39">
        <f>IF('Additional Documents'!B228 = "", "", IF('Additional Documents-WUO_ERR'!A228 = "", "Validated", HYPERLINK("#" &amp; ADDRESS(228, 'Additional Documents-WUO_TRK'!A228),_xlfn.TEXTAFTER('Additional Documents-WUO_ERR'!A228, ":"))))</f>
        <v/>
      </c>
    </row>
    <row r="229">
      <c r="A229" s="39">
        <f>IF('Additional Documents'!B229 = "", "", IF('Additional Documents-WUO_ERR'!A229 = "", "Validated", HYPERLINK("#" &amp; ADDRESS(229, 'Additional Documents-WUO_TRK'!A229),_xlfn.TEXTAFTER('Additional Documents-WUO_ERR'!A229, ":"))))</f>
        <v/>
      </c>
    </row>
    <row r="230">
      <c r="A230" s="39">
        <f>IF('Additional Documents'!B230 = "", "", IF('Additional Documents-WUO_ERR'!A230 = "", "Validated", HYPERLINK("#" &amp; ADDRESS(230, 'Additional Documents-WUO_TRK'!A230),_xlfn.TEXTAFTER('Additional Documents-WUO_ERR'!A230, ":"))))</f>
        <v/>
      </c>
    </row>
    <row r="231">
      <c r="A231" s="39">
        <f>IF('Additional Documents'!B231 = "", "", IF('Additional Documents-WUO_ERR'!A231 = "", "Validated", HYPERLINK("#" &amp; ADDRESS(231, 'Additional Documents-WUO_TRK'!A231),_xlfn.TEXTAFTER('Additional Documents-WUO_ERR'!A231, ":"))))</f>
        <v/>
      </c>
    </row>
    <row r="232">
      <c r="A232" s="39">
        <f>IF('Additional Documents'!B232 = "", "", IF('Additional Documents-WUO_ERR'!A232 = "", "Validated", HYPERLINK("#" &amp; ADDRESS(232, 'Additional Documents-WUO_TRK'!A232),_xlfn.TEXTAFTER('Additional Documents-WUO_ERR'!A232, ":"))))</f>
        <v/>
      </c>
    </row>
    <row r="233">
      <c r="A233" s="39">
        <f>IF('Additional Documents'!B233 = "", "", IF('Additional Documents-WUO_ERR'!A233 = "", "Validated", HYPERLINK("#" &amp; ADDRESS(233, 'Additional Documents-WUO_TRK'!A233),_xlfn.TEXTAFTER('Additional Documents-WUO_ERR'!A233, ":"))))</f>
        <v/>
      </c>
    </row>
    <row r="234">
      <c r="A234" s="39">
        <f>IF('Additional Documents'!B234 = "", "", IF('Additional Documents-WUO_ERR'!A234 = "", "Validated", HYPERLINK("#" &amp; ADDRESS(234, 'Additional Documents-WUO_TRK'!A234),_xlfn.TEXTAFTER('Additional Documents-WUO_ERR'!A234, ":"))))</f>
        <v/>
      </c>
    </row>
    <row r="235">
      <c r="A235" s="39">
        <f>IF('Additional Documents'!B235 = "", "", IF('Additional Documents-WUO_ERR'!A235 = "", "Validated", HYPERLINK("#" &amp; ADDRESS(235, 'Additional Documents-WUO_TRK'!A235),_xlfn.TEXTAFTER('Additional Documents-WUO_ERR'!A235, ":"))))</f>
        <v/>
      </c>
    </row>
    <row r="236">
      <c r="A236" s="39">
        <f>IF('Additional Documents'!B236 = "", "", IF('Additional Documents-WUO_ERR'!A236 = "", "Validated", HYPERLINK("#" &amp; ADDRESS(236, 'Additional Documents-WUO_TRK'!A236),_xlfn.TEXTAFTER('Additional Documents-WUO_ERR'!A236, ":"))))</f>
        <v/>
      </c>
    </row>
    <row r="237">
      <c r="A237" s="39">
        <f>IF('Additional Documents'!B237 = "", "", IF('Additional Documents-WUO_ERR'!A237 = "", "Validated", HYPERLINK("#" &amp; ADDRESS(237, 'Additional Documents-WUO_TRK'!A237),_xlfn.TEXTAFTER('Additional Documents-WUO_ERR'!A237, ":"))))</f>
        <v/>
      </c>
    </row>
    <row r="238">
      <c r="A238" s="39">
        <f>IF('Additional Documents'!B238 = "", "", IF('Additional Documents-WUO_ERR'!A238 = "", "Validated", HYPERLINK("#" &amp; ADDRESS(238, 'Additional Documents-WUO_TRK'!A238),_xlfn.TEXTAFTER('Additional Documents-WUO_ERR'!A238, ":"))))</f>
        <v/>
      </c>
    </row>
    <row r="239">
      <c r="A239" s="39">
        <f>IF('Additional Documents'!B239 = "", "", IF('Additional Documents-WUO_ERR'!A239 = "", "Validated", HYPERLINK("#" &amp; ADDRESS(239, 'Additional Documents-WUO_TRK'!A239),_xlfn.TEXTAFTER('Additional Documents-WUO_ERR'!A239, ":"))))</f>
        <v/>
      </c>
    </row>
    <row r="240">
      <c r="A240" s="39">
        <f>IF('Additional Documents'!B240 = "", "", IF('Additional Documents-WUO_ERR'!A240 = "", "Validated", HYPERLINK("#" &amp; ADDRESS(240, 'Additional Documents-WUO_TRK'!A240),_xlfn.TEXTAFTER('Additional Documents-WUO_ERR'!A240, ":"))))</f>
        <v/>
      </c>
    </row>
    <row r="241">
      <c r="A241" s="39">
        <f>IF('Additional Documents'!B241 = "", "", IF('Additional Documents-WUO_ERR'!A241 = "", "Validated", HYPERLINK("#" &amp; ADDRESS(241, 'Additional Documents-WUO_TRK'!A241),_xlfn.TEXTAFTER('Additional Documents-WUO_ERR'!A241, ":"))))</f>
        <v/>
      </c>
    </row>
    <row r="242">
      <c r="A242" s="39">
        <f>IF('Additional Documents'!B242 = "", "", IF('Additional Documents-WUO_ERR'!A242 = "", "Validated", HYPERLINK("#" &amp; ADDRESS(242, 'Additional Documents-WUO_TRK'!A242),_xlfn.TEXTAFTER('Additional Documents-WUO_ERR'!A242, ":"))))</f>
        <v/>
      </c>
    </row>
    <row r="243">
      <c r="A243" s="39">
        <f>IF('Additional Documents'!B243 = "", "", IF('Additional Documents-WUO_ERR'!A243 = "", "Validated", HYPERLINK("#" &amp; ADDRESS(243, 'Additional Documents-WUO_TRK'!A243),_xlfn.TEXTAFTER('Additional Documents-WUO_ERR'!A243, ":"))))</f>
        <v/>
      </c>
    </row>
    <row r="244">
      <c r="A244" s="39">
        <f>IF('Additional Documents'!B244 = "", "", IF('Additional Documents-WUO_ERR'!A244 = "", "Validated", HYPERLINK("#" &amp; ADDRESS(244, 'Additional Documents-WUO_TRK'!A244),_xlfn.TEXTAFTER('Additional Documents-WUO_ERR'!A244, ":"))))</f>
        <v/>
      </c>
    </row>
    <row r="245">
      <c r="A245" s="39">
        <f>IF('Additional Documents'!B245 = "", "", IF('Additional Documents-WUO_ERR'!A245 = "", "Validated", HYPERLINK("#" &amp; ADDRESS(245, 'Additional Documents-WUO_TRK'!A245),_xlfn.TEXTAFTER('Additional Documents-WUO_ERR'!A245, ":"))))</f>
        <v/>
      </c>
    </row>
    <row r="246">
      <c r="A246" s="39">
        <f>IF('Additional Documents'!B246 = "", "", IF('Additional Documents-WUO_ERR'!A246 = "", "Validated", HYPERLINK("#" &amp; ADDRESS(246, 'Additional Documents-WUO_TRK'!A246),_xlfn.TEXTAFTER('Additional Documents-WUO_ERR'!A246, ":"))))</f>
        <v/>
      </c>
    </row>
    <row r="247">
      <c r="A247" s="39">
        <f>IF('Additional Documents'!B247 = "", "", IF('Additional Documents-WUO_ERR'!A247 = "", "Validated", HYPERLINK("#" &amp; ADDRESS(247, 'Additional Documents-WUO_TRK'!A247),_xlfn.TEXTAFTER('Additional Documents-WUO_ERR'!A247, ":"))))</f>
        <v/>
      </c>
    </row>
    <row r="248">
      <c r="A248" s="39">
        <f>IF('Additional Documents'!B248 = "", "", IF('Additional Documents-WUO_ERR'!A248 = "", "Validated", HYPERLINK("#" &amp; ADDRESS(248, 'Additional Documents-WUO_TRK'!A248),_xlfn.TEXTAFTER('Additional Documents-WUO_ERR'!A248, ":"))))</f>
        <v/>
      </c>
    </row>
    <row r="249">
      <c r="A249" s="39">
        <f>IF('Additional Documents'!B249 = "", "", IF('Additional Documents-WUO_ERR'!A249 = "", "Validated", HYPERLINK("#" &amp; ADDRESS(249, 'Additional Documents-WUO_TRK'!A249),_xlfn.TEXTAFTER('Additional Documents-WUO_ERR'!A249, ":"))))</f>
        <v/>
      </c>
    </row>
    <row r="250">
      <c r="A250" s="39">
        <f>IF('Additional Documents'!B250 = "", "", IF('Additional Documents-WUO_ERR'!A250 = "", "Validated", HYPERLINK("#" &amp; ADDRESS(250, 'Additional Documents-WUO_TRK'!A250),_xlfn.TEXTAFTER('Additional Documents-WUO_ERR'!A250, ":"))))</f>
        <v/>
      </c>
    </row>
    <row r="251">
      <c r="A251" s="39">
        <f>IF('Additional Documents'!B251 = "", "", IF('Additional Documents-WUO_ERR'!A251 = "", "Validated", HYPERLINK("#" &amp; ADDRESS(251, 'Additional Documents-WUO_TRK'!A251),_xlfn.TEXTAFTER('Additional Documents-WUO_ERR'!A251, ":"))))</f>
        <v/>
      </c>
    </row>
    <row r="252">
      <c r="A252" s="39">
        <f>IF('Additional Documents'!B252 = "", "", IF('Additional Documents-WUO_ERR'!A252 = "", "Validated", HYPERLINK("#" &amp; ADDRESS(252, 'Additional Documents-WUO_TRK'!A252),_xlfn.TEXTAFTER('Additional Documents-WUO_ERR'!A252, ":"))))</f>
        <v/>
      </c>
    </row>
    <row r="253">
      <c r="A253" s="39">
        <f>IF('Additional Documents'!B253 = "", "", IF('Additional Documents-WUO_ERR'!A253 = "", "Validated", HYPERLINK("#" &amp; ADDRESS(253, 'Additional Documents-WUO_TRK'!A253),_xlfn.TEXTAFTER('Additional Documents-WUO_ERR'!A253, ":"))))</f>
        <v/>
      </c>
    </row>
    <row r="254">
      <c r="A254" s="39">
        <f>IF('Additional Documents'!B254 = "", "", IF('Additional Documents-WUO_ERR'!A254 = "", "Validated", HYPERLINK("#" &amp; ADDRESS(254, 'Additional Documents-WUO_TRK'!A254),_xlfn.TEXTAFTER('Additional Documents-WUO_ERR'!A254, ":"))))</f>
        <v/>
      </c>
    </row>
    <row r="255">
      <c r="A255" s="39">
        <f>IF('Additional Documents'!B255 = "", "", IF('Additional Documents-WUO_ERR'!A255 = "", "Validated", HYPERLINK("#" &amp; ADDRESS(255, 'Additional Documents-WUO_TRK'!A255),_xlfn.TEXTAFTER('Additional Documents-WUO_ERR'!A255, ":"))))</f>
        <v/>
      </c>
    </row>
    <row r="256">
      <c r="A256" s="39">
        <f>IF('Additional Documents'!B256 = "", "", IF('Additional Documents-WUO_ERR'!A256 = "", "Validated", HYPERLINK("#" &amp; ADDRESS(256, 'Additional Documents-WUO_TRK'!A256),_xlfn.TEXTAFTER('Additional Documents-WUO_ERR'!A256, ":"))))</f>
        <v/>
      </c>
    </row>
    <row r="257">
      <c r="A257" s="39">
        <f>IF('Additional Documents'!B257 = "", "", IF('Additional Documents-WUO_ERR'!A257 = "", "Validated", HYPERLINK("#" &amp; ADDRESS(257, 'Additional Documents-WUO_TRK'!A257),_xlfn.TEXTAFTER('Additional Documents-WUO_ERR'!A257, ":"))))</f>
        <v/>
      </c>
    </row>
    <row r="258">
      <c r="A258" s="39">
        <f>IF('Additional Documents'!B258 = "", "", IF('Additional Documents-WUO_ERR'!A258 = "", "Validated", HYPERLINK("#" &amp; ADDRESS(258, 'Additional Documents-WUO_TRK'!A258),_xlfn.TEXTAFTER('Additional Documents-WUO_ERR'!A258, ":"))))</f>
        <v/>
      </c>
    </row>
    <row r="259">
      <c r="A259" s="39">
        <f>IF('Additional Documents'!B259 = "", "", IF('Additional Documents-WUO_ERR'!A259 = "", "Validated", HYPERLINK("#" &amp; ADDRESS(259, 'Additional Documents-WUO_TRK'!A259),_xlfn.TEXTAFTER('Additional Documents-WUO_ERR'!A259, ":"))))</f>
        <v/>
      </c>
    </row>
    <row r="260">
      <c r="A260" s="39">
        <f>IF('Additional Documents'!B260 = "", "", IF('Additional Documents-WUO_ERR'!A260 = "", "Validated", HYPERLINK("#" &amp; ADDRESS(260, 'Additional Documents-WUO_TRK'!A260),_xlfn.TEXTAFTER('Additional Documents-WUO_ERR'!A260, ":"))))</f>
        <v/>
      </c>
    </row>
    <row r="261">
      <c r="A261" s="39">
        <f>IF('Additional Documents'!B261 = "", "", IF('Additional Documents-WUO_ERR'!A261 = "", "Validated", HYPERLINK("#" &amp; ADDRESS(261, 'Additional Documents-WUO_TRK'!A261),_xlfn.TEXTAFTER('Additional Documents-WUO_ERR'!A261, ":"))))</f>
        <v/>
      </c>
    </row>
    <row r="262">
      <c r="A262" s="39">
        <f>IF('Additional Documents'!B262 = "", "", IF('Additional Documents-WUO_ERR'!A262 = "", "Validated", HYPERLINK("#" &amp; ADDRESS(262, 'Additional Documents-WUO_TRK'!A262),_xlfn.TEXTAFTER('Additional Documents-WUO_ERR'!A262, ":"))))</f>
        <v/>
      </c>
    </row>
    <row r="263">
      <c r="A263" s="39">
        <f>IF('Additional Documents'!B263 = "", "", IF('Additional Documents-WUO_ERR'!A263 = "", "Validated", HYPERLINK("#" &amp; ADDRESS(263, 'Additional Documents-WUO_TRK'!A263),_xlfn.TEXTAFTER('Additional Documents-WUO_ERR'!A263, ":"))))</f>
        <v/>
      </c>
    </row>
    <row r="264">
      <c r="A264" s="39">
        <f>IF('Additional Documents'!B264 = "", "", IF('Additional Documents-WUO_ERR'!A264 = "", "Validated", HYPERLINK("#" &amp; ADDRESS(264, 'Additional Documents-WUO_TRK'!A264),_xlfn.TEXTAFTER('Additional Documents-WUO_ERR'!A264, ":"))))</f>
        <v/>
      </c>
    </row>
    <row r="265">
      <c r="A265" s="39">
        <f>IF('Additional Documents'!B265 = "", "", IF('Additional Documents-WUO_ERR'!A265 = "", "Validated", HYPERLINK("#" &amp; ADDRESS(265, 'Additional Documents-WUO_TRK'!A265),_xlfn.TEXTAFTER('Additional Documents-WUO_ERR'!A265, ":"))))</f>
        <v/>
      </c>
    </row>
    <row r="266">
      <c r="A266" s="39">
        <f>IF('Additional Documents'!B266 = "", "", IF('Additional Documents-WUO_ERR'!A266 = "", "Validated", HYPERLINK("#" &amp; ADDRESS(266, 'Additional Documents-WUO_TRK'!A266),_xlfn.TEXTAFTER('Additional Documents-WUO_ERR'!A266, ":"))))</f>
        <v/>
      </c>
    </row>
    <row r="267">
      <c r="A267" s="39">
        <f>IF('Additional Documents'!B267 = "", "", IF('Additional Documents-WUO_ERR'!A267 = "", "Validated", HYPERLINK("#" &amp; ADDRESS(267, 'Additional Documents-WUO_TRK'!A267),_xlfn.TEXTAFTER('Additional Documents-WUO_ERR'!A267, ":"))))</f>
        <v/>
      </c>
    </row>
    <row r="268">
      <c r="A268" s="39">
        <f>IF('Additional Documents'!B268 = "", "", IF('Additional Documents-WUO_ERR'!A268 = "", "Validated", HYPERLINK("#" &amp; ADDRESS(268, 'Additional Documents-WUO_TRK'!A268),_xlfn.TEXTAFTER('Additional Documents-WUO_ERR'!A268, ":"))))</f>
        <v/>
      </c>
    </row>
    <row r="269">
      <c r="A269" s="39">
        <f>IF('Additional Documents'!B269 = "", "", IF('Additional Documents-WUO_ERR'!A269 = "", "Validated", HYPERLINK("#" &amp; ADDRESS(269, 'Additional Documents-WUO_TRK'!A269),_xlfn.TEXTAFTER('Additional Documents-WUO_ERR'!A269, ":"))))</f>
        <v/>
      </c>
    </row>
    <row r="270">
      <c r="A270" s="39">
        <f>IF('Additional Documents'!B270 = "", "", IF('Additional Documents-WUO_ERR'!A270 = "", "Validated", HYPERLINK("#" &amp; ADDRESS(270, 'Additional Documents-WUO_TRK'!A270),_xlfn.TEXTAFTER('Additional Documents-WUO_ERR'!A270, ":"))))</f>
        <v/>
      </c>
    </row>
    <row r="271">
      <c r="A271" s="39">
        <f>IF('Additional Documents'!B271 = "", "", IF('Additional Documents-WUO_ERR'!A271 = "", "Validated", HYPERLINK("#" &amp; ADDRESS(271, 'Additional Documents-WUO_TRK'!A271),_xlfn.TEXTAFTER('Additional Documents-WUO_ERR'!A271, ":"))))</f>
        <v/>
      </c>
    </row>
    <row r="272">
      <c r="A272" s="39">
        <f>IF('Additional Documents'!B272 = "", "", IF('Additional Documents-WUO_ERR'!A272 = "", "Validated", HYPERLINK("#" &amp; ADDRESS(272, 'Additional Documents-WUO_TRK'!A272),_xlfn.TEXTAFTER('Additional Documents-WUO_ERR'!A272, ":"))))</f>
        <v/>
      </c>
    </row>
    <row r="273">
      <c r="A273" s="39">
        <f>IF('Additional Documents'!B273 = "", "", IF('Additional Documents-WUO_ERR'!A273 = "", "Validated", HYPERLINK("#" &amp; ADDRESS(273, 'Additional Documents-WUO_TRK'!A273),_xlfn.TEXTAFTER('Additional Documents-WUO_ERR'!A273, ":"))))</f>
        <v/>
      </c>
    </row>
    <row r="274">
      <c r="A274" s="39">
        <f>IF('Additional Documents'!B274 = "", "", IF('Additional Documents-WUO_ERR'!A274 = "", "Validated", HYPERLINK("#" &amp; ADDRESS(274, 'Additional Documents-WUO_TRK'!A274),_xlfn.TEXTAFTER('Additional Documents-WUO_ERR'!A274, ":"))))</f>
        <v/>
      </c>
    </row>
    <row r="275">
      <c r="A275" s="39">
        <f>IF('Additional Documents'!B275 = "", "", IF('Additional Documents-WUO_ERR'!A275 = "", "Validated", HYPERLINK("#" &amp; ADDRESS(275, 'Additional Documents-WUO_TRK'!A275),_xlfn.TEXTAFTER('Additional Documents-WUO_ERR'!A275, ":"))))</f>
        <v/>
      </c>
    </row>
    <row r="276">
      <c r="A276" s="39">
        <f>IF('Additional Documents'!B276 = "", "", IF('Additional Documents-WUO_ERR'!A276 = "", "Validated", HYPERLINK("#" &amp; ADDRESS(276, 'Additional Documents-WUO_TRK'!A276),_xlfn.TEXTAFTER('Additional Documents-WUO_ERR'!A276, ":"))))</f>
        <v/>
      </c>
    </row>
    <row r="277">
      <c r="A277" s="39">
        <f>IF('Additional Documents'!B277 = "", "", IF('Additional Documents-WUO_ERR'!A277 = "", "Validated", HYPERLINK("#" &amp; ADDRESS(277, 'Additional Documents-WUO_TRK'!A277),_xlfn.TEXTAFTER('Additional Documents-WUO_ERR'!A277, ":"))))</f>
        <v/>
      </c>
    </row>
    <row r="278">
      <c r="A278" s="39">
        <f>IF('Additional Documents'!B278 = "", "", IF('Additional Documents-WUO_ERR'!A278 = "", "Validated", HYPERLINK("#" &amp; ADDRESS(278, 'Additional Documents-WUO_TRK'!A278),_xlfn.TEXTAFTER('Additional Documents-WUO_ERR'!A278, ":"))))</f>
        <v/>
      </c>
    </row>
    <row r="279">
      <c r="A279" s="39">
        <f>IF('Additional Documents'!B279 = "", "", IF('Additional Documents-WUO_ERR'!A279 = "", "Validated", HYPERLINK("#" &amp; ADDRESS(279, 'Additional Documents-WUO_TRK'!A279),_xlfn.TEXTAFTER('Additional Documents-WUO_ERR'!A279, ":"))))</f>
        <v/>
      </c>
    </row>
    <row r="280">
      <c r="A280" s="39">
        <f>IF('Additional Documents'!B280 = "", "", IF('Additional Documents-WUO_ERR'!A280 = "", "Validated", HYPERLINK("#" &amp; ADDRESS(280, 'Additional Documents-WUO_TRK'!A280),_xlfn.TEXTAFTER('Additional Documents-WUO_ERR'!A280, ":"))))</f>
        <v/>
      </c>
    </row>
    <row r="281">
      <c r="A281" s="39">
        <f>IF('Additional Documents'!B281 = "", "", IF('Additional Documents-WUO_ERR'!A281 = "", "Validated", HYPERLINK("#" &amp; ADDRESS(281, 'Additional Documents-WUO_TRK'!A281),_xlfn.TEXTAFTER('Additional Documents-WUO_ERR'!A281, ":"))))</f>
        <v/>
      </c>
    </row>
    <row r="282">
      <c r="A282" s="39">
        <f>IF('Additional Documents'!B282 = "", "", IF('Additional Documents-WUO_ERR'!A282 = "", "Validated", HYPERLINK("#" &amp; ADDRESS(282, 'Additional Documents-WUO_TRK'!A282),_xlfn.TEXTAFTER('Additional Documents-WUO_ERR'!A282, ":"))))</f>
        <v/>
      </c>
    </row>
    <row r="283">
      <c r="A283" s="39">
        <f>IF('Additional Documents'!B283 = "", "", IF('Additional Documents-WUO_ERR'!A283 = "", "Validated", HYPERLINK("#" &amp; ADDRESS(283, 'Additional Documents-WUO_TRK'!A283),_xlfn.TEXTAFTER('Additional Documents-WUO_ERR'!A283, ":"))))</f>
        <v/>
      </c>
    </row>
    <row r="284">
      <c r="A284" s="39">
        <f>IF('Additional Documents'!B284 = "", "", IF('Additional Documents-WUO_ERR'!A284 = "", "Validated", HYPERLINK("#" &amp; ADDRESS(284, 'Additional Documents-WUO_TRK'!A284),_xlfn.TEXTAFTER('Additional Documents-WUO_ERR'!A284, ":"))))</f>
        <v/>
      </c>
    </row>
    <row r="285">
      <c r="A285" s="39">
        <f>IF('Additional Documents'!B285 = "", "", IF('Additional Documents-WUO_ERR'!A285 = "", "Validated", HYPERLINK("#" &amp; ADDRESS(285, 'Additional Documents-WUO_TRK'!A285),_xlfn.TEXTAFTER('Additional Documents-WUO_ERR'!A285, ":"))))</f>
        <v/>
      </c>
    </row>
    <row r="286">
      <c r="A286" s="39">
        <f>IF('Additional Documents'!B286 = "", "", IF('Additional Documents-WUO_ERR'!A286 = "", "Validated", HYPERLINK("#" &amp; ADDRESS(286, 'Additional Documents-WUO_TRK'!A286),_xlfn.TEXTAFTER('Additional Documents-WUO_ERR'!A286, ":"))))</f>
        <v/>
      </c>
    </row>
    <row r="287">
      <c r="A287" s="39">
        <f>IF('Additional Documents'!B287 = "", "", IF('Additional Documents-WUO_ERR'!A287 = "", "Validated", HYPERLINK("#" &amp; ADDRESS(287, 'Additional Documents-WUO_TRK'!A287),_xlfn.TEXTAFTER('Additional Documents-WUO_ERR'!A287, ":"))))</f>
        <v/>
      </c>
    </row>
    <row r="288">
      <c r="A288" s="39">
        <f>IF('Additional Documents'!B288 = "", "", IF('Additional Documents-WUO_ERR'!A288 = "", "Validated", HYPERLINK("#" &amp; ADDRESS(288, 'Additional Documents-WUO_TRK'!A288),_xlfn.TEXTAFTER('Additional Documents-WUO_ERR'!A288, ":"))))</f>
        <v/>
      </c>
    </row>
    <row r="289">
      <c r="A289" s="39">
        <f>IF('Additional Documents'!B289 = "", "", IF('Additional Documents-WUO_ERR'!A289 = "", "Validated", HYPERLINK("#" &amp; ADDRESS(289, 'Additional Documents-WUO_TRK'!A289),_xlfn.TEXTAFTER('Additional Documents-WUO_ERR'!A289, ":"))))</f>
        <v/>
      </c>
    </row>
    <row r="290">
      <c r="A290" s="39">
        <f>IF('Additional Documents'!B290 = "", "", IF('Additional Documents-WUO_ERR'!A290 = "", "Validated", HYPERLINK("#" &amp; ADDRESS(290, 'Additional Documents-WUO_TRK'!A290),_xlfn.TEXTAFTER('Additional Documents-WUO_ERR'!A290, ":"))))</f>
        <v/>
      </c>
    </row>
    <row r="291">
      <c r="A291" s="39">
        <f>IF('Additional Documents'!B291 = "", "", IF('Additional Documents-WUO_ERR'!A291 = "", "Validated", HYPERLINK("#" &amp; ADDRESS(291, 'Additional Documents-WUO_TRK'!A291),_xlfn.TEXTAFTER('Additional Documents-WUO_ERR'!A291, ":"))))</f>
        <v/>
      </c>
    </row>
    <row r="292">
      <c r="A292" s="39">
        <f>IF('Additional Documents'!B292 = "", "", IF('Additional Documents-WUO_ERR'!A292 = "", "Validated", HYPERLINK("#" &amp; ADDRESS(292, 'Additional Documents-WUO_TRK'!A292),_xlfn.TEXTAFTER('Additional Documents-WUO_ERR'!A292, ":"))))</f>
        <v/>
      </c>
    </row>
    <row r="293">
      <c r="A293" s="39">
        <f>IF('Additional Documents'!B293 = "", "", IF('Additional Documents-WUO_ERR'!A293 = "", "Validated", HYPERLINK("#" &amp; ADDRESS(293, 'Additional Documents-WUO_TRK'!A293),_xlfn.TEXTAFTER('Additional Documents-WUO_ERR'!A293, ":"))))</f>
        <v/>
      </c>
    </row>
    <row r="294">
      <c r="A294" s="39">
        <f>IF('Additional Documents'!B294 = "", "", IF('Additional Documents-WUO_ERR'!A294 = "", "Validated", HYPERLINK("#" &amp; ADDRESS(294, 'Additional Documents-WUO_TRK'!A294),_xlfn.TEXTAFTER('Additional Documents-WUO_ERR'!A294, ":"))))</f>
        <v/>
      </c>
    </row>
    <row r="295">
      <c r="A295" s="39">
        <f>IF('Additional Documents'!B295 = "", "", IF('Additional Documents-WUO_ERR'!A295 = "", "Validated", HYPERLINK("#" &amp; ADDRESS(295, 'Additional Documents-WUO_TRK'!A295),_xlfn.TEXTAFTER('Additional Documents-WUO_ERR'!A295, ":"))))</f>
        <v/>
      </c>
    </row>
    <row r="296">
      <c r="A296" s="39">
        <f>IF('Additional Documents'!B296 = "", "", IF('Additional Documents-WUO_ERR'!A296 = "", "Validated", HYPERLINK("#" &amp; ADDRESS(296, 'Additional Documents-WUO_TRK'!A296),_xlfn.TEXTAFTER('Additional Documents-WUO_ERR'!A296, ":"))))</f>
        <v/>
      </c>
    </row>
    <row r="297">
      <c r="A297" s="39">
        <f>IF('Additional Documents'!B297 = "", "", IF('Additional Documents-WUO_ERR'!A297 = "", "Validated", HYPERLINK("#" &amp; ADDRESS(297, 'Additional Documents-WUO_TRK'!A297),_xlfn.TEXTAFTER('Additional Documents-WUO_ERR'!A297, ":"))))</f>
        <v/>
      </c>
    </row>
    <row r="298">
      <c r="A298" s="39">
        <f>IF('Additional Documents'!B298 = "", "", IF('Additional Documents-WUO_ERR'!A298 = "", "Validated", HYPERLINK("#" &amp; ADDRESS(298, 'Additional Documents-WUO_TRK'!A298),_xlfn.TEXTAFTER('Additional Documents-WUO_ERR'!A298, ":"))))</f>
        <v/>
      </c>
    </row>
    <row r="299">
      <c r="A299" s="39">
        <f>IF('Additional Documents'!B299 = "", "", IF('Additional Documents-WUO_ERR'!A299 = "", "Validated", HYPERLINK("#" &amp; ADDRESS(299, 'Additional Documents-WUO_TRK'!A299),_xlfn.TEXTAFTER('Additional Documents-WUO_ERR'!A299, ":"))))</f>
        <v/>
      </c>
    </row>
    <row r="300">
      <c r="A300" s="39">
        <f>IF('Additional Documents'!B300 = "", "", IF('Additional Documents-WUO_ERR'!A300 = "", "Validated", HYPERLINK("#" &amp; ADDRESS(300, 'Additional Documents-WUO_TRK'!A300),_xlfn.TEXTAFTER('Additional Documents-WUO_ERR'!A300, ":"))))</f>
        <v/>
      </c>
    </row>
    <row r="301">
      <c r="A301" s="39">
        <f>IF('Additional Documents'!B301 = "", "", IF('Additional Documents-WUO_ERR'!A301 = "", "Validated", HYPERLINK("#" &amp; ADDRESS(301, 'Additional Documents-WUO_TRK'!A301),_xlfn.TEXTAFTER('Additional Documents-WUO_ERR'!A301, ":"))))</f>
        <v/>
      </c>
    </row>
    <row r="302">
      <c r="A302" s="39">
        <f>IF('Additional Documents'!B302 = "", "", IF('Additional Documents-WUO_ERR'!A302 = "", "Validated", HYPERLINK("#" &amp; ADDRESS(302, 'Additional Documents-WUO_TRK'!A302),_xlfn.TEXTAFTER('Additional Documents-WUO_ERR'!A302, ":"))))</f>
        <v/>
      </c>
    </row>
    <row r="303">
      <c r="A303" s="39">
        <f>IF('Additional Documents'!B303 = "", "", IF('Additional Documents-WUO_ERR'!A303 = "", "Validated", HYPERLINK("#" &amp; ADDRESS(303, 'Additional Documents-WUO_TRK'!A303),_xlfn.TEXTAFTER('Additional Documents-WUO_ERR'!A303, ":"))))</f>
        <v/>
      </c>
    </row>
    <row r="304">
      <c r="A304" s="39">
        <f>IF('Additional Documents'!B304 = "", "", IF('Additional Documents-WUO_ERR'!A304 = "", "Validated", HYPERLINK("#" &amp; ADDRESS(304, 'Additional Documents-WUO_TRK'!A304),_xlfn.TEXTAFTER('Additional Documents-WUO_ERR'!A304, ":"))))</f>
        <v/>
      </c>
    </row>
    <row r="305">
      <c r="A305" s="39">
        <f>IF('Additional Documents'!B305 = "", "", IF('Additional Documents-WUO_ERR'!A305 = "", "Validated", HYPERLINK("#" &amp; ADDRESS(305, 'Additional Documents-WUO_TRK'!A305),_xlfn.TEXTAFTER('Additional Documents-WUO_ERR'!A305, ":"))))</f>
        <v/>
      </c>
    </row>
    <row r="306">
      <c r="A306" s="39">
        <f>IF('Additional Documents'!B306 = "", "", IF('Additional Documents-WUO_ERR'!A306 = "", "Validated", HYPERLINK("#" &amp; ADDRESS(306, 'Additional Documents-WUO_TRK'!A306),_xlfn.TEXTAFTER('Additional Documents-WUO_ERR'!A306, ":"))))</f>
        <v/>
      </c>
    </row>
    <row r="307">
      <c r="A307" s="39">
        <f>IF('Additional Documents'!B307 = "", "", IF('Additional Documents-WUO_ERR'!A307 = "", "Validated", HYPERLINK("#" &amp; ADDRESS(307, 'Additional Documents-WUO_TRK'!A307),_xlfn.TEXTAFTER('Additional Documents-WUO_ERR'!A307, ":"))))</f>
        <v/>
      </c>
    </row>
    <row r="308">
      <c r="A308" s="39">
        <f>IF('Additional Documents'!B308 = "", "", IF('Additional Documents-WUO_ERR'!A308 = "", "Validated", HYPERLINK("#" &amp; ADDRESS(308, 'Additional Documents-WUO_TRK'!A308),_xlfn.TEXTAFTER('Additional Documents-WUO_ERR'!A308, ":"))))</f>
        <v/>
      </c>
    </row>
    <row r="309">
      <c r="A309" s="39">
        <f>IF('Additional Documents'!B309 = "", "", IF('Additional Documents-WUO_ERR'!A309 = "", "Validated", HYPERLINK("#" &amp; ADDRESS(309, 'Additional Documents-WUO_TRK'!A309),_xlfn.TEXTAFTER('Additional Documents-WUO_ERR'!A309, ":"))))</f>
        <v/>
      </c>
    </row>
    <row r="310">
      <c r="A310" s="39">
        <f>IF('Additional Documents'!B310 = "", "", IF('Additional Documents-WUO_ERR'!A310 = "", "Validated", HYPERLINK("#" &amp; ADDRESS(310, 'Additional Documents-WUO_TRK'!A310),_xlfn.TEXTAFTER('Additional Documents-WUO_ERR'!A310, ":"))))</f>
        <v/>
      </c>
    </row>
    <row r="311">
      <c r="A311" s="39">
        <f>IF('Additional Documents'!B311 = "", "", IF('Additional Documents-WUO_ERR'!A311 = "", "Validated", HYPERLINK("#" &amp; ADDRESS(311, 'Additional Documents-WUO_TRK'!A311),_xlfn.TEXTAFTER('Additional Documents-WUO_ERR'!A311, ":"))))</f>
        <v/>
      </c>
    </row>
    <row r="312">
      <c r="A312" s="39">
        <f>IF('Additional Documents'!B312 = "", "", IF('Additional Documents-WUO_ERR'!A312 = "", "Validated", HYPERLINK("#" &amp; ADDRESS(312, 'Additional Documents-WUO_TRK'!A312),_xlfn.TEXTAFTER('Additional Documents-WUO_ERR'!A312, ":"))))</f>
        <v/>
      </c>
    </row>
    <row r="313">
      <c r="A313" s="39">
        <f>IF('Additional Documents'!B313 = "", "", IF('Additional Documents-WUO_ERR'!A313 = "", "Validated", HYPERLINK("#" &amp; ADDRESS(313, 'Additional Documents-WUO_TRK'!A313),_xlfn.TEXTAFTER('Additional Documents-WUO_ERR'!A313, ":"))))</f>
        <v/>
      </c>
    </row>
    <row r="314">
      <c r="A314" s="39">
        <f>IF('Additional Documents'!B314 = "", "", IF('Additional Documents-WUO_ERR'!A314 = "", "Validated", HYPERLINK("#" &amp; ADDRESS(314, 'Additional Documents-WUO_TRK'!A314),_xlfn.TEXTAFTER('Additional Documents-WUO_ERR'!A314, ":"))))</f>
        <v/>
      </c>
    </row>
    <row r="315">
      <c r="A315" s="39">
        <f>IF('Additional Documents'!B315 = "", "", IF('Additional Documents-WUO_ERR'!A315 = "", "Validated", HYPERLINK("#" &amp; ADDRESS(315, 'Additional Documents-WUO_TRK'!A315),_xlfn.TEXTAFTER('Additional Documents-WUO_ERR'!A315, ":"))))</f>
        <v/>
      </c>
    </row>
    <row r="316">
      <c r="A316" s="39">
        <f>IF('Additional Documents'!B316 = "", "", IF('Additional Documents-WUO_ERR'!A316 = "", "Validated", HYPERLINK("#" &amp; ADDRESS(316, 'Additional Documents-WUO_TRK'!A316),_xlfn.TEXTAFTER('Additional Documents-WUO_ERR'!A316, ":"))))</f>
        <v/>
      </c>
    </row>
    <row r="317">
      <c r="A317" s="39">
        <f>IF('Additional Documents'!B317 = "", "", IF('Additional Documents-WUO_ERR'!A317 = "", "Validated", HYPERLINK("#" &amp; ADDRESS(317, 'Additional Documents-WUO_TRK'!A317),_xlfn.TEXTAFTER('Additional Documents-WUO_ERR'!A317, ":"))))</f>
        <v/>
      </c>
    </row>
    <row r="318">
      <c r="A318" s="39">
        <f>IF('Additional Documents'!B318 = "", "", IF('Additional Documents-WUO_ERR'!A318 = "", "Validated", HYPERLINK("#" &amp; ADDRESS(318, 'Additional Documents-WUO_TRK'!A318),_xlfn.TEXTAFTER('Additional Documents-WUO_ERR'!A318, ":"))))</f>
        <v/>
      </c>
    </row>
    <row r="319">
      <c r="A319" s="39">
        <f>IF('Additional Documents'!B319 = "", "", IF('Additional Documents-WUO_ERR'!A319 = "", "Validated", HYPERLINK("#" &amp; ADDRESS(319, 'Additional Documents-WUO_TRK'!A319),_xlfn.TEXTAFTER('Additional Documents-WUO_ERR'!A319, ":"))))</f>
        <v/>
      </c>
    </row>
    <row r="320">
      <c r="A320" s="39">
        <f>IF('Additional Documents'!B320 = "", "", IF('Additional Documents-WUO_ERR'!A320 = "", "Validated", HYPERLINK("#" &amp; ADDRESS(320, 'Additional Documents-WUO_TRK'!A320),_xlfn.TEXTAFTER('Additional Documents-WUO_ERR'!A320, ":"))))</f>
        <v/>
      </c>
    </row>
    <row r="321">
      <c r="A321" s="39">
        <f>IF('Additional Documents'!B321 = "", "", IF('Additional Documents-WUO_ERR'!A321 = "", "Validated", HYPERLINK("#" &amp; ADDRESS(321, 'Additional Documents-WUO_TRK'!A321),_xlfn.TEXTAFTER('Additional Documents-WUO_ERR'!A321, ":"))))</f>
        <v/>
      </c>
    </row>
    <row r="322">
      <c r="A322" s="39">
        <f>IF('Additional Documents'!B322 = "", "", IF('Additional Documents-WUO_ERR'!A322 = "", "Validated", HYPERLINK("#" &amp; ADDRESS(322, 'Additional Documents-WUO_TRK'!A322),_xlfn.TEXTAFTER('Additional Documents-WUO_ERR'!A322, ":"))))</f>
        <v/>
      </c>
    </row>
    <row r="323">
      <c r="A323" s="39">
        <f>IF('Additional Documents'!B323 = "", "", IF('Additional Documents-WUO_ERR'!A323 = "", "Validated", HYPERLINK("#" &amp; ADDRESS(323, 'Additional Documents-WUO_TRK'!A323),_xlfn.TEXTAFTER('Additional Documents-WUO_ERR'!A323, ":"))))</f>
        <v/>
      </c>
    </row>
    <row r="324">
      <c r="A324" s="39">
        <f>IF('Additional Documents'!B324 = "", "", IF('Additional Documents-WUO_ERR'!A324 = "", "Validated", HYPERLINK("#" &amp; ADDRESS(324, 'Additional Documents-WUO_TRK'!A324),_xlfn.TEXTAFTER('Additional Documents-WUO_ERR'!A324, ":"))))</f>
        <v/>
      </c>
    </row>
    <row r="325">
      <c r="A325" s="39">
        <f>IF('Additional Documents'!B325 = "", "", IF('Additional Documents-WUO_ERR'!A325 = "", "Validated", HYPERLINK("#" &amp; ADDRESS(325, 'Additional Documents-WUO_TRK'!A325),_xlfn.TEXTAFTER('Additional Documents-WUO_ERR'!A325, ":"))))</f>
        <v/>
      </c>
    </row>
    <row r="326">
      <c r="A326" s="39">
        <f>IF('Additional Documents'!B326 = "", "", IF('Additional Documents-WUO_ERR'!A326 = "", "Validated", HYPERLINK("#" &amp; ADDRESS(326, 'Additional Documents-WUO_TRK'!A326),_xlfn.TEXTAFTER('Additional Documents-WUO_ERR'!A326, ":"))))</f>
        <v/>
      </c>
    </row>
    <row r="327">
      <c r="A327" s="39">
        <f>IF('Additional Documents'!B327 = "", "", IF('Additional Documents-WUO_ERR'!A327 = "", "Validated", HYPERLINK("#" &amp; ADDRESS(327, 'Additional Documents-WUO_TRK'!A327),_xlfn.TEXTAFTER('Additional Documents-WUO_ERR'!A327, ":"))))</f>
        <v/>
      </c>
    </row>
    <row r="328">
      <c r="A328" s="39">
        <f>IF('Additional Documents'!B328 = "", "", IF('Additional Documents-WUO_ERR'!A328 = "", "Validated", HYPERLINK("#" &amp; ADDRESS(328, 'Additional Documents-WUO_TRK'!A328),_xlfn.TEXTAFTER('Additional Documents-WUO_ERR'!A328, ":"))))</f>
        <v/>
      </c>
    </row>
    <row r="329">
      <c r="A329" s="39">
        <f>IF('Additional Documents'!B329 = "", "", IF('Additional Documents-WUO_ERR'!A329 = "", "Validated", HYPERLINK("#" &amp; ADDRESS(329, 'Additional Documents-WUO_TRK'!A329),_xlfn.TEXTAFTER('Additional Documents-WUO_ERR'!A329, ":"))))</f>
        <v/>
      </c>
    </row>
    <row r="330">
      <c r="A330" s="39">
        <f>IF('Additional Documents'!B330 = "", "", IF('Additional Documents-WUO_ERR'!A330 = "", "Validated", HYPERLINK("#" &amp; ADDRESS(330, 'Additional Documents-WUO_TRK'!A330),_xlfn.TEXTAFTER('Additional Documents-WUO_ERR'!A330, ":"))))</f>
        <v/>
      </c>
    </row>
    <row r="331">
      <c r="A331" s="39">
        <f>IF('Additional Documents'!B331 = "", "", IF('Additional Documents-WUO_ERR'!A331 = "", "Validated", HYPERLINK("#" &amp; ADDRESS(331, 'Additional Documents-WUO_TRK'!A331),_xlfn.TEXTAFTER('Additional Documents-WUO_ERR'!A331, ":"))))</f>
        <v/>
      </c>
    </row>
    <row r="332">
      <c r="A332" s="39">
        <f>IF('Additional Documents'!B332 = "", "", IF('Additional Documents-WUO_ERR'!A332 = "", "Validated", HYPERLINK("#" &amp; ADDRESS(332, 'Additional Documents-WUO_TRK'!A332),_xlfn.TEXTAFTER('Additional Documents-WUO_ERR'!A332, ":"))))</f>
        <v/>
      </c>
    </row>
    <row r="333">
      <c r="A333" s="39">
        <f>IF('Additional Documents'!B333 = "", "", IF('Additional Documents-WUO_ERR'!A333 = "", "Validated", HYPERLINK("#" &amp; ADDRESS(333, 'Additional Documents-WUO_TRK'!A333),_xlfn.TEXTAFTER('Additional Documents-WUO_ERR'!A333, ":"))))</f>
        <v/>
      </c>
    </row>
    <row r="334">
      <c r="A334" s="39">
        <f>IF('Additional Documents'!B334 = "", "", IF('Additional Documents-WUO_ERR'!A334 = "", "Validated", HYPERLINK("#" &amp; ADDRESS(334, 'Additional Documents-WUO_TRK'!A334),_xlfn.TEXTAFTER('Additional Documents-WUO_ERR'!A334, ":"))))</f>
        <v/>
      </c>
    </row>
    <row r="335">
      <c r="A335" s="39">
        <f>IF('Additional Documents'!B335 = "", "", IF('Additional Documents-WUO_ERR'!A335 = "", "Validated", HYPERLINK("#" &amp; ADDRESS(335, 'Additional Documents-WUO_TRK'!A335),_xlfn.TEXTAFTER('Additional Documents-WUO_ERR'!A335, ":"))))</f>
        <v/>
      </c>
    </row>
    <row r="336">
      <c r="A336" s="39">
        <f>IF('Additional Documents'!B336 = "", "", IF('Additional Documents-WUO_ERR'!A336 = "", "Validated", HYPERLINK("#" &amp; ADDRESS(336, 'Additional Documents-WUO_TRK'!A336),_xlfn.TEXTAFTER('Additional Documents-WUO_ERR'!A336, ":"))))</f>
        <v/>
      </c>
    </row>
    <row r="337">
      <c r="A337" s="39">
        <f>IF('Additional Documents'!B337 = "", "", IF('Additional Documents-WUO_ERR'!A337 = "", "Validated", HYPERLINK("#" &amp; ADDRESS(337, 'Additional Documents-WUO_TRK'!A337),_xlfn.TEXTAFTER('Additional Documents-WUO_ERR'!A337, ":"))))</f>
        <v/>
      </c>
    </row>
    <row r="338">
      <c r="A338" s="39">
        <f>IF('Additional Documents'!B338 = "", "", IF('Additional Documents-WUO_ERR'!A338 = "", "Validated", HYPERLINK("#" &amp; ADDRESS(338, 'Additional Documents-WUO_TRK'!A338),_xlfn.TEXTAFTER('Additional Documents-WUO_ERR'!A338, ":"))))</f>
        <v/>
      </c>
    </row>
    <row r="339">
      <c r="A339" s="39">
        <f>IF('Additional Documents'!B339 = "", "", IF('Additional Documents-WUO_ERR'!A339 = "", "Validated", HYPERLINK("#" &amp; ADDRESS(339, 'Additional Documents-WUO_TRK'!A339),_xlfn.TEXTAFTER('Additional Documents-WUO_ERR'!A339, ":"))))</f>
        <v/>
      </c>
    </row>
    <row r="340">
      <c r="A340" s="39">
        <f>IF('Additional Documents'!B340 = "", "", IF('Additional Documents-WUO_ERR'!A340 = "", "Validated", HYPERLINK("#" &amp; ADDRESS(340, 'Additional Documents-WUO_TRK'!A340),_xlfn.TEXTAFTER('Additional Documents-WUO_ERR'!A340, ":"))))</f>
        <v/>
      </c>
    </row>
    <row r="341">
      <c r="A341" s="39">
        <f>IF('Additional Documents'!B341 = "", "", IF('Additional Documents-WUO_ERR'!A341 = "", "Validated", HYPERLINK("#" &amp; ADDRESS(341, 'Additional Documents-WUO_TRK'!A341),_xlfn.TEXTAFTER('Additional Documents-WUO_ERR'!A341, ":"))))</f>
        <v/>
      </c>
    </row>
    <row r="342">
      <c r="A342" s="39">
        <f>IF('Additional Documents'!B342 = "", "", IF('Additional Documents-WUO_ERR'!A342 = "", "Validated", HYPERLINK("#" &amp; ADDRESS(342, 'Additional Documents-WUO_TRK'!A342),_xlfn.TEXTAFTER('Additional Documents-WUO_ERR'!A342, ":"))))</f>
        <v/>
      </c>
    </row>
    <row r="343">
      <c r="A343" s="39">
        <f>IF('Additional Documents'!B343 = "", "", IF('Additional Documents-WUO_ERR'!A343 = "", "Validated", HYPERLINK("#" &amp; ADDRESS(343, 'Additional Documents-WUO_TRK'!A343),_xlfn.TEXTAFTER('Additional Documents-WUO_ERR'!A343, ":"))))</f>
        <v/>
      </c>
    </row>
    <row r="344">
      <c r="A344" s="39">
        <f>IF('Additional Documents'!B344 = "", "", IF('Additional Documents-WUO_ERR'!A344 = "", "Validated", HYPERLINK("#" &amp; ADDRESS(344, 'Additional Documents-WUO_TRK'!A344),_xlfn.TEXTAFTER('Additional Documents-WUO_ERR'!A344, ":"))))</f>
        <v/>
      </c>
    </row>
    <row r="345">
      <c r="A345" s="39">
        <f>IF('Additional Documents'!B345 = "", "", IF('Additional Documents-WUO_ERR'!A345 = "", "Validated", HYPERLINK("#" &amp; ADDRESS(345, 'Additional Documents-WUO_TRK'!A345),_xlfn.TEXTAFTER('Additional Documents-WUO_ERR'!A345, ":"))))</f>
        <v/>
      </c>
    </row>
    <row r="346">
      <c r="A346" s="39">
        <f>IF('Additional Documents'!B346 = "", "", IF('Additional Documents-WUO_ERR'!A346 = "", "Validated", HYPERLINK("#" &amp; ADDRESS(346, 'Additional Documents-WUO_TRK'!A346),_xlfn.TEXTAFTER('Additional Documents-WUO_ERR'!A346, ":"))))</f>
        <v/>
      </c>
    </row>
    <row r="347">
      <c r="A347" s="39">
        <f>IF('Additional Documents'!B347 = "", "", IF('Additional Documents-WUO_ERR'!A347 = "", "Validated", HYPERLINK("#" &amp; ADDRESS(347, 'Additional Documents-WUO_TRK'!A347),_xlfn.TEXTAFTER('Additional Documents-WUO_ERR'!A347, ":"))))</f>
        <v/>
      </c>
    </row>
    <row r="348">
      <c r="A348" s="39">
        <f>IF('Additional Documents'!B348 = "", "", IF('Additional Documents-WUO_ERR'!A348 = "", "Validated", HYPERLINK("#" &amp; ADDRESS(348, 'Additional Documents-WUO_TRK'!A348),_xlfn.TEXTAFTER('Additional Documents-WUO_ERR'!A348, ":"))))</f>
        <v/>
      </c>
    </row>
    <row r="349">
      <c r="A349" s="39">
        <f>IF('Additional Documents'!B349 = "", "", IF('Additional Documents-WUO_ERR'!A349 = "", "Validated", HYPERLINK("#" &amp; ADDRESS(349, 'Additional Documents-WUO_TRK'!A349),_xlfn.TEXTAFTER('Additional Documents-WUO_ERR'!A349, ":"))))</f>
        <v/>
      </c>
    </row>
    <row r="350">
      <c r="A350" s="39">
        <f>IF('Additional Documents'!B350 = "", "", IF('Additional Documents-WUO_ERR'!A350 = "", "Validated", HYPERLINK("#" &amp; ADDRESS(350, 'Additional Documents-WUO_TRK'!A350),_xlfn.TEXTAFTER('Additional Documents-WUO_ERR'!A350, ":"))))</f>
        <v/>
      </c>
    </row>
    <row r="351">
      <c r="A351" s="39">
        <f>IF('Additional Documents'!B351 = "", "", IF('Additional Documents-WUO_ERR'!A351 = "", "Validated", HYPERLINK("#" &amp; ADDRESS(351, 'Additional Documents-WUO_TRK'!A351),_xlfn.TEXTAFTER('Additional Documents-WUO_ERR'!A351, ":"))))</f>
        <v/>
      </c>
    </row>
    <row r="352">
      <c r="A352" s="39">
        <f>IF('Additional Documents'!B352 = "", "", IF('Additional Documents-WUO_ERR'!A352 = "", "Validated", HYPERLINK("#" &amp; ADDRESS(352, 'Additional Documents-WUO_TRK'!A352),_xlfn.TEXTAFTER('Additional Documents-WUO_ERR'!A352, ":"))))</f>
        <v/>
      </c>
    </row>
    <row r="353">
      <c r="A353" s="39">
        <f>IF('Additional Documents'!B353 = "", "", IF('Additional Documents-WUO_ERR'!A353 = "", "Validated", HYPERLINK("#" &amp; ADDRESS(353, 'Additional Documents-WUO_TRK'!A353),_xlfn.TEXTAFTER('Additional Documents-WUO_ERR'!A353, ":"))))</f>
        <v/>
      </c>
    </row>
    <row r="354">
      <c r="A354" s="39">
        <f>IF('Additional Documents'!B354 = "", "", IF('Additional Documents-WUO_ERR'!A354 = "", "Validated", HYPERLINK("#" &amp; ADDRESS(354, 'Additional Documents-WUO_TRK'!A354),_xlfn.TEXTAFTER('Additional Documents-WUO_ERR'!A354, ":"))))</f>
        <v/>
      </c>
    </row>
    <row r="355">
      <c r="A355" s="39">
        <f>IF('Additional Documents'!B355 = "", "", IF('Additional Documents-WUO_ERR'!A355 = "", "Validated", HYPERLINK("#" &amp; ADDRESS(355, 'Additional Documents-WUO_TRK'!A355),_xlfn.TEXTAFTER('Additional Documents-WUO_ERR'!A355, ":"))))</f>
        <v/>
      </c>
    </row>
    <row r="356">
      <c r="A356" s="39">
        <f>IF('Additional Documents'!B356 = "", "", IF('Additional Documents-WUO_ERR'!A356 = "", "Validated", HYPERLINK("#" &amp; ADDRESS(356, 'Additional Documents-WUO_TRK'!A356),_xlfn.TEXTAFTER('Additional Documents-WUO_ERR'!A356, ":"))))</f>
        <v/>
      </c>
    </row>
    <row r="357">
      <c r="A357" s="39">
        <f>IF('Additional Documents'!B357 = "", "", IF('Additional Documents-WUO_ERR'!A357 = "", "Validated", HYPERLINK("#" &amp; ADDRESS(357, 'Additional Documents-WUO_TRK'!A357),_xlfn.TEXTAFTER('Additional Documents-WUO_ERR'!A357, ":"))))</f>
        <v/>
      </c>
    </row>
    <row r="358">
      <c r="A358" s="39">
        <f>IF('Additional Documents'!B358 = "", "", IF('Additional Documents-WUO_ERR'!A358 = "", "Validated", HYPERLINK("#" &amp; ADDRESS(358, 'Additional Documents-WUO_TRK'!A358),_xlfn.TEXTAFTER('Additional Documents-WUO_ERR'!A358, ":"))))</f>
        <v/>
      </c>
    </row>
    <row r="359">
      <c r="A359" s="39">
        <f>IF('Additional Documents'!B359 = "", "", IF('Additional Documents-WUO_ERR'!A359 = "", "Validated", HYPERLINK("#" &amp; ADDRESS(359, 'Additional Documents-WUO_TRK'!A359),_xlfn.TEXTAFTER('Additional Documents-WUO_ERR'!A359, ":"))))</f>
        <v/>
      </c>
    </row>
    <row r="360">
      <c r="A360" s="39">
        <f>IF('Additional Documents'!B360 = "", "", IF('Additional Documents-WUO_ERR'!A360 = "", "Validated", HYPERLINK("#" &amp; ADDRESS(360, 'Additional Documents-WUO_TRK'!A360),_xlfn.TEXTAFTER('Additional Documents-WUO_ERR'!A360, ":"))))</f>
        <v/>
      </c>
    </row>
    <row r="361">
      <c r="A361" s="39">
        <f>IF('Additional Documents'!B361 = "", "", IF('Additional Documents-WUO_ERR'!A361 = "", "Validated", HYPERLINK("#" &amp; ADDRESS(361, 'Additional Documents-WUO_TRK'!A361),_xlfn.TEXTAFTER('Additional Documents-WUO_ERR'!A361, ":"))))</f>
        <v/>
      </c>
    </row>
    <row r="362">
      <c r="A362" s="39">
        <f>IF('Additional Documents'!B362 = "", "", IF('Additional Documents-WUO_ERR'!A362 = "", "Validated", HYPERLINK("#" &amp; ADDRESS(362, 'Additional Documents-WUO_TRK'!A362),_xlfn.TEXTAFTER('Additional Documents-WUO_ERR'!A362, ":"))))</f>
        <v/>
      </c>
    </row>
    <row r="363">
      <c r="A363" s="39">
        <f>IF('Additional Documents'!B363 = "", "", IF('Additional Documents-WUO_ERR'!A363 = "", "Validated", HYPERLINK("#" &amp; ADDRESS(363, 'Additional Documents-WUO_TRK'!A363),_xlfn.TEXTAFTER('Additional Documents-WUO_ERR'!A363, ":"))))</f>
        <v/>
      </c>
    </row>
    <row r="364">
      <c r="A364" s="39">
        <f>IF('Additional Documents'!B364 = "", "", IF('Additional Documents-WUO_ERR'!A364 = "", "Validated", HYPERLINK("#" &amp; ADDRESS(364, 'Additional Documents-WUO_TRK'!A364),_xlfn.TEXTAFTER('Additional Documents-WUO_ERR'!A364, ":"))))</f>
        <v/>
      </c>
    </row>
    <row r="365">
      <c r="A365" s="39">
        <f>IF('Additional Documents'!B365 = "", "", IF('Additional Documents-WUO_ERR'!A365 = "", "Validated", HYPERLINK("#" &amp; ADDRESS(365, 'Additional Documents-WUO_TRK'!A365),_xlfn.TEXTAFTER('Additional Documents-WUO_ERR'!A365, ":"))))</f>
        <v/>
      </c>
    </row>
    <row r="366">
      <c r="A366" s="39">
        <f>IF('Additional Documents'!B366 = "", "", IF('Additional Documents-WUO_ERR'!A366 = "", "Validated", HYPERLINK("#" &amp; ADDRESS(366, 'Additional Documents-WUO_TRK'!A366),_xlfn.TEXTAFTER('Additional Documents-WUO_ERR'!A366, ":"))))</f>
        <v/>
      </c>
    </row>
    <row r="367">
      <c r="A367" s="39">
        <f>IF('Additional Documents'!B367 = "", "", IF('Additional Documents-WUO_ERR'!A367 = "", "Validated", HYPERLINK("#" &amp; ADDRESS(367, 'Additional Documents-WUO_TRK'!A367),_xlfn.TEXTAFTER('Additional Documents-WUO_ERR'!A367, ":"))))</f>
        <v/>
      </c>
    </row>
    <row r="368">
      <c r="A368" s="39">
        <f>IF('Additional Documents'!B368 = "", "", IF('Additional Documents-WUO_ERR'!A368 = "", "Validated", HYPERLINK("#" &amp; ADDRESS(368, 'Additional Documents-WUO_TRK'!A368),_xlfn.TEXTAFTER('Additional Documents-WUO_ERR'!A368, ":"))))</f>
        <v/>
      </c>
    </row>
    <row r="369">
      <c r="A369" s="39">
        <f>IF('Additional Documents'!B369 = "", "", IF('Additional Documents-WUO_ERR'!A369 = "", "Validated", HYPERLINK("#" &amp; ADDRESS(369, 'Additional Documents-WUO_TRK'!A369),_xlfn.TEXTAFTER('Additional Documents-WUO_ERR'!A369, ":"))))</f>
        <v/>
      </c>
    </row>
    <row r="370">
      <c r="A370" s="39">
        <f>IF('Additional Documents'!B370 = "", "", IF('Additional Documents-WUO_ERR'!A370 = "", "Validated", HYPERLINK("#" &amp; ADDRESS(370, 'Additional Documents-WUO_TRK'!A370),_xlfn.TEXTAFTER('Additional Documents-WUO_ERR'!A370, ":"))))</f>
        <v/>
      </c>
    </row>
    <row r="371">
      <c r="A371" s="39">
        <f>IF('Additional Documents'!B371 = "", "", IF('Additional Documents-WUO_ERR'!A371 = "", "Validated", HYPERLINK("#" &amp; ADDRESS(371, 'Additional Documents-WUO_TRK'!A371),_xlfn.TEXTAFTER('Additional Documents-WUO_ERR'!A371, ":"))))</f>
        <v/>
      </c>
    </row>
    <row r="372">
      <c r="A372" s="39">
        <f>IF('Additional Documents'!B372 = "", "", IF('Additional Documents-WUO_ERR'!A372 = "", "Validated", HYPERLINK("#" &amp; ADDRESS(372, 'Additional Documents-WUO_TRK'!A372),_xlfn.TEXTAFTER('Additional Documents-WUO_ERR'!A372, ":"))))</f>
        <v/>
      </c>
    </row>
    <row r="373">
      <c r="A373" s="39">
        <f>IF('Additional Documents'!B373 = "", "", IF('Additional Documents-WUO_ERR'!A373 = "", "Validated", HYPERLINK("#" &amp; ADDRESS(373, 'Additional Documents-WUO_TRK'!A373),_xlfn.TEXTAFTER('Additional Documents-WUO_ERR'!A373, ":"))))</f>
        <v/>
      </c>
    </row>
    <row r="374">
      <c r="A374" s="39">
        <f>IF('Additional Documents'!B374 = "", "", IF('Additional Documents-WUO_ERR'!A374 = "", "Validated", HYPERLINK("#" &amp; ADDRESS(374, 'Additional Documents-WUO_TRK'!A374),_xlfn.TEXTAFTER('Additional Documents-WUO_ERR'!A374, ":"))))</f>
        <v/>
      </c>
    </row>
    <row r="375">
      <c r="A375" s="39">
        <f>IF('Additional Documents'!B375 = "", "", IF('Additional Documents-WUO_ERR'!A375 = "", "Validated", HYPERLINK("#" &amp; ADDRESS(375, 'Additional Documents-WUO_TRK'!A375),_xlfn.TEXTAFTER('Additional Documents-WUO_ERR'!A375, ":"))))</f>
        <v/>
      </c>
    </row>
    <row r="376">
      <c r="A376" s="39">
        <f>IF('Additional Documents'!B376 = "", "", IF('Additional Documents-WUO_ERR'!A376 = "", "Validated", HYPERLINK("#" &amp; ADDRESS(376, 'Additional Documents-WUO_TRK'!A376),_xlfn.TEXTAFTER('Additional Documents-WUO_ERR'!A376, ":"))))</f>
        <v/>
      </c>
    </row>
    <row r="377">
      <c r="A377" s="39">
        <f>IF('Additional Documents'!B377 = "", "", IF('Additional Documents-WUO_ERR'!A377 = "", "Validated", HYPERLINK("#" &amp; ADDRESS(377, 'Additional Documents-WUO_TRK'!A377),_xlfn.TEXTAFTER('Additional Documents-WUO_ERR'!A377, ":"))))</f>
        <v/>
      </c>
    </row>
    <row r="378">
      <c r="A378" s="39">
        <f>IF('Additional Documents'!B378 = "", "", IF('Additional Documents-WUO_ERR'!A378 = "", "Validated", HYPERLINK("#" &amp; ADDRESS(378, 'Additional Documents-WUO_TRK'!A378),_xlfn.TEXTAFTER('Additional Documents-WUO_ERR'!A378, ":"))))</f>
        <v/>
      </c>
    </row>
    <row r="379">
      <c r="A379" s="39">
        <f>IF('Additional Documents'!B379 = "", "", IF('Additional Documents-WUO_ERR'!A379 = "", "Validated", HYPERLINK("#" &amp; ADDRESS(379, 'Additional Documents-WUO_TRK'!A379),_xlfn.TEXTAFTER('Additional Documents-WUO_ERR'!A379, ":"))))</f>
        <v/>
      </c>
    </row>
    <row r="380">
      <c r="A380" s="39">
        <f>IF('Additional Documents'!B380 = "", "", IF('Additional Documents-WUO_ERR'!A380 = "", "Validated", HYPERLINK("#" &amp; ADDRESS(380, 'Additional Documents-WUO_TRK'!A380),_xlfn.TEXTAFTER('Additional Documents-WUO_ERR'!A380, ":"))))</f>
        <v/>
      </c>
    </row>
    <row r="381">
      <c r="A381" s="39">
        <f>IF('Additional Documents'!B381 = "", "", IF('Additional Documents-WUO_ERR'!A381 = "", "Validated", HYPERLINK("#" &amp; ADDRESS(381, 'Additional Documents-WUO_TRK'!A381),_xlfn.TEXTAFTER('Additional Documents-WUO_ERR'!A381, ":"))))</f>
        <v/>
      </c>
    </row>
    <row r="382">
      <c r="A382" s="39">
        <f>IF('Additional Documents'!B382 = "", "", IF('Additional Documents-WUO_ERR'!A382 = "", "Validated", HYPERLINK("#" &amp; ADDRESS(382, 'Additional Documents-WUO_TRK'!A382),_xlfn.TEXTAFTER('Additional Documents-WUO_ERR'!A382, ":"))))</f>
        <v/>
      </c>
    </row>
    <row r="383">
      <c r="A383" s="39">
        <f>IF('Additional Documents'!B383 = "", "", IF('Additional Documents-WUO_ERR'!A383 = "", "Validated", HYPERLINK("#" &amp; ADDRESS(383, 'Additional Documents-WUO_TRK'!A383),_xlfn.TEXTAFTER('Additional Documents-WUO_ERR'!A383, ":"))))</f>
        <v/>
      </c>
    </row>
    <row r="384">
      <c r="A384" s="39">
        <f>IF('Additional Documents'!B384 = "", "", IF('Additional Documents-WUO_ERR'!A384 = "", "Validated", HYPERLINK("#" &amp; ADDRESS(384, 'Additional Documents-WUO_TRK'!A384),_xlfn.TEXTAFTER('Additional Documents-WUO_ERR'!A384, ":"))))</f>
        <v/>
      </c>
    </row>
    <row r="385">
      <c r="A385" s="39">
        <f>IF('Additional Documents'!B385 = "", "", IF('Additional Documents-WUO_ERR'!A385 = "", "Validated", HYPERLINK("#" &amp; ADDRESS(385, 'Additional Documents-WUO_TRK'!A385),_xlfn.TEXTAFTER('Additional Documents-WUO_ERR'!A385, ":"))))</f>
        <v/>
      </c>
    </row>
    <row r="386">
      <c r="A386" s="39">
        <f>IF('Additional Documents'!B386 = "", "", IF('Additional Documents-WUO_ERR'!A386 = "", "Validated", HYPERLINK("#" &amp; ADDRESS(386, 'Additional Documents-WUO_TRK'!A386),_xlfn.TEXTAFTER('Additional Documents-WUO_ERR'!A386, ":"))))</f>
        <v/>
      </c>
    </row>
    <row r="387">
      <c r="A387" s="39">
        <f>IF('Additional Documents'!B387 = "", "", IF('Additional Documents-WUO_ERR'!A387 = "", "Validated", HYPERLINK("#" &amp; ADDRESS(387, 'Additional Documents-WUO_TRK'!A387),_xlfn.TEXTAFTER('Additional Documents-WUO_ERR'!A387, ":"))))</f>
        <v/>
      </c>
    </row>
    <row r="388">
      <c r="A388" s="39">
        <f>IF('Additional Documents'!B388 = "", "", IF('Additional Documents-WUO_ERR'!A388 = "", "Validated", HYPERLINK("#" &amp; ADDRESS(388, 'Additional Documents-WUO_TRK'!A388),_xlfn.TEXTAFTER('Additional Documents-WUO_ERR'!A388, ":"))))</f>
        <v/>
      </c>
    </row>
    <row r="389">
      <c r="A389" s="39">
        <f>IF('Additional Documents'!B389 = "", "", IF('Additional Documents-WUO_ERR'!A389 = "", "Validated", HYPERLINK("#" &amp; ADDRESS(389, 'Additional Documents-WUO_TRK'!A389),_xlfn.TEXTAFTER('Additional Documents-WUO_ERR'!A389, ":"))))</f>
        <v/>
      </c>
    </row>
    <row r="390">
      <c r="A390" s="39">
        <f>IF('Additional Documents'!B390 = "", "", IF('Additional Documents-WUO_ERR'!A390 = "", "Validated", HYPERLINK("#" &amp; ADDRESS(390, 'Additional Documents-WUO_TRK'!A390),_xlfn.TEXTAFTER('Additional Documents-WUO_ERR'!A390, ":"))))</f>
        <v/>
      </c>
    </row>
    <row r="391">
      <c r="A391" s="39">
        <f>IF('Additional Documents'!B391 = "", "", IF('Additional Documents-WUO_ERR'!A391 = "", "Validated", HYPERLINK("#" &amp; ADDRESS(391, 'Additional Documents-WUO_TRK'!A391),_xlfn.TEXTAFTER('Additional Documents-WUO_ERR'!A391, ":"))))</f>
        <v/>
      </c>
    </row>
    <row r="392">
      <c r="A392" s="39">
        <f>IF('Additional Documents'!B392 = "", "", IF('Additional Documents-WUO_ERR'!A392 = "", "Validated", HYPERLINK("#" &amp; ADDRESS(392, 'Additional Documents-WUO_TRK'!A392),_xlfn.TEXTAFTER('Additional Documents-WUO_ERR'!A392, ":"))))</f>
        <v/>
      </c>
    </row>
    <row r="393">
      <c r="A393" s="39">
        <f>IF('Additional Documents'!B393 = "", "", IF('Additional Documents-WUO_ERR'!A393 = "", "Validated", HYPERLINK("#" &amp; ADDRESS(393, 'Additional Documents-WUO_TRK'!A393),_xlfn.TEXTAFTER('Additional Documents-WUO_ERR'!A393, ":"))))</f>
        <v/>
      </c>
    </row>
    <row r="394">
      <c r="A394" s="39">
        <f>IF('Additional Documents'!B394 = "", "", IF('Additional Documents-WUO_ERR'!A394 = "", "Validated", HYPERLINK("#" &amp; ADDRESS(394, 'Additional Documents-WUO_TRK'!A394),_xlfn.TEXTAFTER('Additional Documents-WUO_ERR'!A394, ":"))))</f>
        <v/>
      </c>
    </row>
    <row r="395">
      <c r="A395" s="39">
        <f>IF('Additional Documents'!B395 = "", "", IF('Additional Documents-WUO_ERR'!A395 = "", "Validated", HYPERLINK("#" &amp; ADDRESS(395, 'Additional Documents-WUO_TRK'!A395),_xlfn.TEXTAFTER('Additional Documents-WUO_ERR'!A395, ":"))))</f>
        <v/>
      </c>
    </row>
    <row r="396">
      <c r="A396" s="39">
        <f>IF('Additional Documents'!B396 = "", "", IF('Additional Documents-WUO_ERR'!A396 = "", "Validated", HYPERLINK("#" &amp; ADDRESS(396, 'Additional Documents-WUO_TRK'!A396),_xlfn.TEXTAFTER('Additional Documents-WUO_ERR'!A396, ":"))))</f>
        <v/>
      </c>
    </row>
    <row r="397">
      <c r="A397" s="39">
        <f>IF('Additional Documents'!B397 = "", "", IF('Additional Documents-WUO_ERR'!A397 = "", "Validated", HYPERLINK("#" &amp; ADDRESS(397, 'Additional Documents-WUO_TRK'!A397),_xlfn.TEXTAFTER('Additional Documents-WUO_ERR'!A397, ":"))))</f>
        <v/>
      </c>
    </row>
    <row r="398">
      <c r="A398" s="39">
        <f>IF('Additional Documents'!B398 = "", "", IF('Additional Documents-WUO_ERR'!A398 = "", "Validated", HYPERLINK("#" &amp; ADDRESS(398, 'Additional Documents-WUO_TRK'!A398),_xlfn.TEXTAFTER('Additional Documents-WUO_ERR'!A398, ":"))))</f>
        <v/>
      </c>
    </row>
    <row r="399">
      <c r="A399" s="39">
        <f>IF('Additional Documents'!B399 = "", "", IF('Additional Documents-WUO_ERR'!A399 = "", "Validated", HYPERLINK("#" &amp; ADDRESS(399, 'Additional Documents-WUO_TRK'!A399),_xlfn.TEXTAFTER('Additional Documents-WUO_ERR'!A399, ":"))))</f>
        <v/>
      </c>
    </row>
    <row r="400">
      <c r="A400" s="39">
        <f>IF('Additional Documents'!B400 = "", "", IF('Additional Documents-WUO_ERR'!A400 = "", "Validated", HYPERLINK("#" &amp; ADDRESS(400, 'Additional Documents-WUO_TRK'!A400),_xlfn.TEXTAFTER('Additional Documents-WUO_ERR'!A400, ":"))))</f>
        <v/>
      </c>
    </row>
    <row r="401">
      <c r="A401" s="39">
        <f>IF('Additional Documents'!B401 = "", "", IF('Additional Documents-WUO_ERR'!A401 = "", "Validated", HYPERLINK("#" &amp; ADDRESS(401, 'Additional Documents-WUO_TRK'!A401),_xlfn.TEXTAFTER('Additional Documents-WUO_ERR'!A401, ":"))))</f>
        <v/>
      </c>
    </row>
    <row r="402">
      <c r="A402" s="39">
        <f>IF('Additional Documents'!B402 = "", "", IF('Additional Documents-WUO_ERR'!A402 = "", "Validated", HYPERLINK("#" &amp; ADDRESS(402, 'Additional Documents-WUO_TRK'!A402),_xlfn.TEXTAFTER('Additional Documents-WUO_ERR'!A402, ":"))))</f>
        <v/>
      </c>
    </row>
    <row r="403">
      <c r="A403" s="39">
        <f>IF('Additional Documents'!B403 = "", "", IF('Additional Documents-WUO_ERR'!A403 = "", "Validated", HYPERLINK("#" &amp; ADDRESS(403, 'Additional Documents-WUO_TRK'!A403),_xlfn.TEXTAFTER('Additional Documents-WUO_ERR'!A403, ":"))))</f>
        <v/>
      </c>
    </row>
    <row r="404">
      <c r="A404" s="39">
        <f>IF('Additional Documents'!B404 = "", "", IF('Additional Documents-WUO_ERR'!A404 = "", "Validated", HYPERLINK("#" &amp; ADDRESS(404, 'Additional Documents-WUO_TRK'!A404),_xlfn.TEXTAFTER('Additional Documents-WUO_ERR'!A404, ":"))))</f>
        <v/>
      </c>
    </row>
    <row r="405">
      <c r="A405" s="39">
        <f>IF('Additional Documents'!B405 = "", "", IF('Additional Documents-WUO_ERR'!A405 = "", "Validated", HYPERLINK("#" &amp; ADDRESS(405, 'Additional Documents-WUO_TRK'!A405),_xlfn.TEXTAFTER('Additional Documents-WUO_ERR'!A405, ":"))))</f>
        <v/>
      </c>
    </row>
    <row r="406">
      <c r="A406" s="39">
        <f>IF('Additional Documents'!B406 = "", "", IF('Additional Documents-WUO_ERR'!A406 = "", "Validated", HYPERLINK("#" &amp; ADDRESS(406, 'Additional Documents-WUO_TRK'!A406),_xlfn.TEXTAFTER('Additional Documents-WUO_ERR'!A406, ":"))))</f>
        <v/>
      </c>
    </row>
    <row r="407">
      <c r="A407" s="39">
        <f>IF('Additional Documents'!B407 = "", "", IF('Additional Documents-WUO_ERR'!A407 = "", "Validated", HYPERLINK("#" &amp; ADDRESS(407, 'Additional Documents-WUO_TRK'!A407),_xlfn.TEXTAFTER('Additional Documents-WUO_ERR'!A407, ":"))))</f>
        <v/>
      </c>
    </row>
    <row r="408">
      <c r="A408" s="39">
        <f>IF('Additional Documents'!B408 = "", "", IF('Additional Documents-WUO_ERR'!A408 = "", "Validated", HYPERLINK("#" &amp; ADDRESS(408, 'Additional Documents-WUO_TRK'!A408),_xlfn.TEXTAFTER('Additional Documents-WUO_ERR'!A408, ":"))))</f>
        <v/>
      </c>
    </row>
    <row r="409">
      <c r="A409" s="39">
        <f>IF('Additional Documents'!B409 = "", "", IF('Additional Documents-WUO_ERR'!A409 = "", "Validated", HYPERLINK("#" &amp; ADDRESS(409, 'Additional Documents-WUO_TRK'!A409),_xlfn.TEXTAFTER('Additional Documents-WUO_ERR'!A409, ":"))))</f>
        <v/>
      </c>
    </row>
    <row r="410">
      <c r="A410" s="39">
        <f>IF('Additional Documents'!B410 = "", "", IF('Additional Documents-WUO_ERR'!A410 = "", "Validated", HYPERLINK("#" &amp; ADDRESS(410, 'Additional Documents-WUO_TRK'!A410),_xlfn.TEXTAFTER('Additional Documents-WUO_ERR'!A410, ":"))))</f>
        <v/>
      </c>
    </row>
    <row r="411">
      <c r="A411" s="39">
        <f>IF('Additional Documents'!B411 = "", "", IF('Additional Documents-WUO_ERR'!A411 = "", "Validated", HYPERLINK("#" &amp; ADDRESS(411, 'Additional Documents-WUO_TRK'!A411),_xlfn.TEXTAFTER('Additional Documents-WUO_ERR'!A411, ":"))))</f>
        <v/>
      </c>
    </row>
    <row r="412">
      <c r="A412" s="39">
        <f>IF('Additional Documents'!B412 = "", "", IF('Additional Documents-WUO_ERR'!A412 = "", "Validated", HYPERLINK("#" &amp; ADDRESS(412, 'Additional Documents-WUO_TRK'!A412),_xlfn.TEXTAFTER('Additional Documents-WUO_ERR'!A412, ":"))))</f>
        <v/>
      </c>
    </row>
    <row r="413">
      <c r="A413" s="39">
        <f>IF('Additional Documents'!B413 = "", "", IF('Additional Documents-WUO_ERR'!A413 = "", "Validated", HYPERLINK("#" &amp; ADDRESS(413, 'Additional Documents-WUO_TRK'!A413),_xlfn.TEXTAFTER('Additional Documents-WUO_ERR'!A413, ":"))))</f>
        <v/>
      </c>
    </row>
    <row r="414">
      <c r="A414" s="39">
        <f>IF('Additional Documents'!B414 = "", "", IF('Additional Documents-WUO_ERR'!A414 = "", "Validated", HYPERLINK("#" &amp; ADDRESS(414, 'Additional Documents-WUO_TRK'!A414),_xlfn.TEXTAFTER('Additional Documents-WUO_ERR'!A414, ":"))))</f>
        <v/>
      </c>
    </row>
    <row r="415">
      <c r="A415" s="39">
        <f>IF('Additional Documents'!B415 = "", "", IF('Additional Documents-WUO_ERR'!A415 = "", "Validated", HYPERLINK("#" &amp; ADDRESS(415, 'Additional Documents-WUO_TRK'!A415),_xlfn.TEXTAFTER('Additional Documents-WUO_ERR'!A415, ":"))))</f>
        <v/>
      </c>
    </row>
    <row r="416">
      <c r="A416" s="39">
        <f>IF('Additional Documents'!B416 = "", "", IF('Additional Documents-WUO_ERR'!A416 = "", "Validated", HYPERLINK("#" &amp; ADDRESS(416, 'Additional Documents-WUO_TRK'!A416),_xlfn.TEXTAFTER('Additional Documents-WUO_ERR'!A416, ":"))))</f>
        <v/>
      </c>
    </row>
    <row r="417">
      <c r="A417" s="39">
        <f>IF('Additional Documents'!B417 = "", "", IF('Additional Documents-WUO_ERR'!A417 = "", "Validated", HYPERLINK("#" &amp; ADDRESS(417, 'Additional Documents-WUO_TRK'!A417),_xlfn.TEXTAFTER('Additional Documents-WUO_ERR'!A417, ":"))))</f>
        <v/>
      </c>
    </row>
    <row r="418">
      <c r="A418" s="39">
        <f>IF('Additional Documents'!B418 = "", "", IF('Additional Documents-WUO_ERR'!A418 = "", "Validated", HYPERLINK("#" &amp; ADDRESS(418, 'Additional Documents-WUO_TRK'!A418),_xlfn.TEXTAFTER('Additional Documents-WUO_ERR'!A418, ":"))))</f>
        <v/>
      </c>
    </row>
    <row r="419">
      <c r="A419" s="39">
        <f>IF('Additional Documents'!B419 = "", "", IF('Additional Documents-WUO_ERR'!A419 = "", "Validated", HYPERLINK("#" &amp; ADDRESS(419, 'Additional Documents-WUO_TRK'!A419),_xlfn.TEXTAFTER('Additional Documents-WUO_ERR'!A419, ":"))))</f>
        <v/>
      </c>
    </row>
    <row r="420">
      <c r="A420" s="39">
        <f>IF('Additional Documents'!B420 = "", "", IF('Additional Documents-WUO_ERR'!A420 = "", "Validated", HYPERLINK("#" &amp; ADDRESS(420, 'Additional Documents-WUO_TRK'!A420),_xlfn.TEXTAFTER('Additional Documents-WUO_ERR'!A420, ":"))))</f>
        <v/>
      </c>
    </row>
    <row r="421">
      <c r="A421" s="39">
        <f>IF('Additional Documents'!B421 = "", "", IF('Additional Documents-WUO_ERR'!A421 = "", "Validated", HYPERLINK("#" &amp; ADDRESS(421, 'Additional Documents-WUO_TRK'!A421),_xlfn.TEXTAFTER('Additional Documents-WUO_ERR'!A421, ":"))))</f>
        <v/>
      </c>
    </row>
    <row r="422">
      <c r="A422" s="39">
        <f>IF('Additional Documents'!B422 = "", "", IF('Additional Documents-WUO_ERR'!A422 = "", "Validated", HYPERLINK("#" &amp; ADDRESS(422, 'Additional Documents-WUO_TRK'!A422),_xlfn.TEXTAFTER('Additional Documents-WUO_ERR'!A422, ":"))))</f>
        <v/>
      </c>
    </row>
    <row r="423">
      <c r="A423" s="39">
        <f>IF('Additional Documents'!B423 = "", "", IF('Additional Documents-WUO_ERR'!A423 = "", "Validated", HYPERLINK("#" &amp; ADDRESS(423, 'Additional Documents-WUO_TRK'!A423),_xlfn.TEXTAFTER('Additional Documents-WUO_ERR'!A423, ":"))))</f>
        <v/>
      </c>
    </row>
    <row r="424">
      <c r="A424" s="39">
        <f>IF('Additional Documents'!B424 = "", "", IF('Additional Documents-WUO_ERR'!A424 = "", "Validated", HYPERLINK("#" &amp; ADDRESS(424, 'Additional Documents-WUO_TRK'!A424),_xlfn.TEXTAFTER('Additional Documents-WUO_ERR'!A424, ":"))))</f>
        <v/>
      </c>
    </row>
    <row r="425">
      <c r="A425" s="39">
        <f>IF('Additional Documents'!B425 = "", "", IF('Additional Documents-WUO_ERR'!A425 = "", "Validated", HYPERLINK("#" &amp; ADDRESS(425, 'Additional Documents-WUO_TRK'!A425),_xlfn.TEXTAFTER('Additional Documents-WUO_ERR'!A425, ":"))))</f>
        <v/>
      </c>
    </row>
    <row r="426">
      <c r="A426" s="39">
        <f>IF('Additional Documents'!B426 = "", "", IF('Additional Documents-WUO_ERR'!A426 = "", "Validated", HYPERLINK("#" &amp; ADDRESS(426, 'Additional Documents-WUO_TRK'!A426),_xlfn.TEXTAFTER('Additional Documents-WUO_ERR'!A426, ":"))))</f>
        <v/>
      </c>
    </row>
    <row r="427">
      <c r="A427" s="39">
        <f>IF('Additional Documents'!B427 = "", "", IF('Additional Documents-WUO_ERR'!A427 = "", "Validated", HYPERLINK("#" &amp; ADDRESS(427, 'Additional Documents-WUO_TRK'!A427),_xlfn.TEXTAFTER('Additional Documents-WUO_ERR'!A427, ":"))))</f>
        <v/>
      </c>
    </row>
    <row r="428">
      <c r="A428" s="39">
        <f>IF('Additional Documents'!B428 = "", "", IF('Additional Documents-WUO_ERR'!A428 = "", "Validated", HYPERLINK("#" &amp; ADDRESS(428, 'Additional Documents-WUO_TRK'!A428),_xlfn.TEXTAFTER('Additional Documents-WUO_ERR'!A428, ":"))))</f>
        <v/>
      </c>
    </row>
    <row r="429">
      <c r="A429" s="39">
        <f>IF('Additional Documents'!B429 = "", "", IF('Additional Documents-WUO_ERR'!A429 = "", "Validated", HYPERLINK("#" &amp; ADDRESS(429, 'Additional Documents-WUO_TRK'!A429),_xlfn.TEXTAFTER('Additional Documents-WUO_ERR'!A429, ":"))))</f>
        <v/>
      </c>
    </row>
    <row r="430">
      <c r="A430" s="39">
        <f>IF('Additional Documents'!B430 = "", "", IF('Additional Documents-WUO_ERR'!A430 = "", "Validated", HYPERLINK("#" &amp; ADDRESS(430, 'Additional Documents-WUO_TRK'!A430),_xlfn.TEXTAFTER('Additional Documents-WUO_ERR'!A430, ":"))))</f>
        <v/>
      </c>
    </row>
    <row r="431">
      <c r="A431" s="39">
        <f>IF('Additional Documents'!B431 = "", "", IF('Additional Documents-WUO_ERR'!A431 = "", "Validated", HYPERLINK("#" &amp; ADDRESS(431, 'Additional Documents-WUO_TRK'!A431),_xlfn.TEXTAFTER('Additional Documents-WUO_ERR'!A431, ":"))))</f>
        <v/>
      </c>
    </row>
    <row r="432">
      <c r="A432" s="39">
        <f>IF('Additional Documents'!B432 = "", "", IF('Additional Documents-WUO_ERR'!A432 = "", "Validated", HYPERLINK("#" &amp; ADDRESS(432, 'Additional Documents-WUO_TRK'!A432),_xlfn.TEXTAFTER('Additional Documents-WUO_ERR'!A432, ":"))))</f>
        <v/>
      </c>
    </row>
    <row r="433">
      <c r="A433" s="39">
        <f>IF('Additional Documents'!B433 = "", "", IF('Additional Documents-WUO_ERR'!A433 = "", "Validated", HYPERLINK("#" &amp; ADDRESS(433, 'Additional Documents-WUO_TRK'!A433),_xlfn.TEXTAFTER('Additional Documents-WUO_ERR'!A433, ":"))))</f>
        <v/>
      </c>
    </row>
    <row r="434">
      <c r="A434" s="39">
        <f>IF('Additional Documents'!B434 = "", "", IF('Additional Documents-WUO_ERR'!A434 = "", "Validated", HYPERLINK("#" &amp; ADDRESS(434, 'Additional Documents-WUO_TRK'!A434),_xlfn.TEXTAFTER('Additional Documents-WUO_ERR'!A434, ":"))))</f>
        <v/>
      </c>
    </row>
    <row r="435">
      <c r="A435" s="39">
        <f>IF('Additional Documents'!B435 = "", "", IF('Additional Documents-WUO_ERR'!A435 = "", "Validated", HYPERLINK("#" &amp; ADDRESS(435, 'Additional Documents-WUO_TRK'!A435),_xlfn.TEXTAFTER('Additional Documents-WUO_ERR'!A435, ":"))))</f>
        <v/>
      </c>
    </row>
    <row r="436">
      <c r="A436" s="39">
        <f>IF('Additional Documents'!B436 = "", "", IF('Additional Documents-WUO_ERR'!A436 = "", "Validated", HYPERLINK("#" &amp; ADDRESS(436, 'Additional Documents-WUO_TRK'!A436),_xlfn.TEXTAFTER('Additional Documents-WUO_ERR'!A436, ":"))))</f>
        <v/>
      </c>
    </row>
    <row r="437">
      <c r="A437" s="39">
        <f>IF('Additional Documents'!B437 = "", "", IF('Additional Documents-WUO_ERR'!A437 = "", "Validated", HYPERLINK("#" &amp; ADDRESS(437, 'Additional Documents-WUO_TRK'!A437),_xlfn.TEXTAFTER('Additional Documents-WUO_ERR'!A437, ":"))))</f>
        <v/>
      </c>
    </row>
    <row r="438">
      <c r="A438" s="39">
        <f>IF('Additional Documents'!B438 = "", "", IF('Additional Documents-WUO_ERR'!A438 = "", "Validated", HYPERLINK("#" &amp; ADDRESS(438, 'Additional Documents-WUO_TRK'!A438),_xlfn.TEXTAFTER('Additional Documents-WUO_ERR'!A438, ":"))))</f>
        <v/>
      </c>
    </row>
    <row r="439">
      <c r="A439" s="39">
        <f>IF('Additional Documents'!B439 = "", "", IF('Additional Documents-WUO_ERR'!A439 = "", "Validated", HYPERLINK("#" &amp; ADDRESS(439, 'Additional Documents-WUO_TRK'!A439),_xlfn.TEXTAFTER('Additional Documents-WUO_ERR'!A439, ":"))))</f>
        <v/>
      </c>
    </row>
    <row r="440">
      <c r="A440" s="39">
        <f>IF('Additional Documents'!B440 = "", "", IF('Additional Documents-WUO_ERR'!A440 = "", "Validated", HYPERLINK("#" &amp; ADDRESS(440, 'Additional Documents-WUO_TRK'!A440),_xlfn.TEXTAFTER('Additional Documents-WUO_ERR'!A440, ":"))))</f>
        <v/>
      </c>
    </row>
    <row r="441">
      <c r="A441" s="39">
        <f>IF('Additional Documents'!B441 = "", "", IF('Additional Documents-WUO_ERR'!A441 = "", "Validated", HYPERLINK("#" &amp; ADDRESS(441, 'Additional Documents-WUO_TRK'!A441),_xlfn.TEXTAFTER('Additional Documents-WUO_ERR'!A441, ":"))))</f>
        <v/>
      </c>
    </row>
    <row r="442">
      <c r="A442" s="39">
        <f>IF('Additional Documents'!B442 = "", "", IF('Additional Documents-WUO_ERR'!A442 = "", "Validated", HYPERLINK("#" &amp; ADDRESS(442, 'Additional Documents-WUO_TRK'!A442),_xlfn.TEXTAFTER('Additional Documents-WUO_ERR'!A442, ":"))))</f>
        <v/>
      </c>
    </row>
    <row r="443">
      <c r="A443" s="39">
        <f>IF('Additional Documents'!B443 = "", "", IF('Additional Documents-WUO_ERR'!A443 = "", "Validated", HYPERLINK("#" &amp; ADDRESS(443, 'Additional Documents-WUO_TRK'!A443),_xlfn.TEXTAFTER('Additional Documents-WUO_ERR'!A443, ":"))))</f>
        <v/>
      </c>
    </row>
    <row r="444">
      <c r="A444" s="39">
        <f>IF('Additional Documents'!B444 = "", "", IF('Additional Documents-WUO_ERR'!A444 = "", "Validated", HYPERLINK("#" &amp; ADDRESS(444, 'Additional Documents-WUO_TRK'!A444),_xlfn.TEXTAFTER('Additional Documents-WUO_ERR'!A444, ":"))))</f>
        <v/>
      </c>
    </row>
    <row r="445">
      <c r="A445" s="39">
        <f>IF('Additional Documents'!B445 = "", "", IF('Additional Documents-WUO_ERR'!A445 = "", "Validated", HYPERLINK("#" &amp; ADDRESS(445, 'Additional Documents-WUO_TRK'!A445),_xlfn.TEXTAFTER('Additional Documents-WUO_ERR'!A445, ":"))))</f>
        <v/>
      </c>
    </row>
    <row r="446">
      <c r="A446" s="39">
        <f>IF('Additional Documents'!B446 = "", "", IF('Additional Documents-WUO_ERR'!A446 = "", "Validated", HYPERLINK("#" &amp; ADDRESS(446, 'Additional Documents-WUO_TRK'!A446),_xlfn.TEXTAFTER('Additional Documents-WUO_ERR'!A446, ":"))))</f>
        <v/>
      </c>
    </row>
    <row r="447">
      <c r="A447" s="39">
        <f>IF('Additional Documents'!B447 = "", "", IF('Additional Documents-WUO_ERR'!A447 = "", "Validated", HYPERLINK("#" &amp; ADDRESS(447, 'Additional Documents-WUO_TRK'!A447),_xlfn.TEXTAFTER('Additional Documents-WUO_ERR'!A447, ":"))))</f>
        <v/>
      </c>
    </row>
    <row r="448">
      <c r="A448" s="39">
        <f>IF('Additional Documents'!B448 = "", "", IF('Additional Documents-WUO_ERR'!A448 = "", "Validated", HYPERLINK("#" &amp; ADDRESS(448, 'Additional Documents-WUO_TRK'!A448),_xlfn.TEXTAFTER('Additional Documents-WUO_ERR'!A448, ":"))))</f>
        <v/>
      </c>
    </row>
    <row r="449">
      <c r="A449" s="39">
        <f>IF('Additional Documents'!B449 = "", "", IF('Additional Documents-WUO_ERR'!A449 = "", "Validated", HYPERLINK("#" &amp; ADDRESS(449, 'Additional Documents-WUO_TRK'!A449),_xlfn.TEXTAFTER('Additional Documents-WUO_ERR'!A449, ":"))))</f>
        <v/>
      </c>
    </row>
    <row r="450">
      <c r="A450" s="39">
        <f>IF('Additional Documents'!B450 = "", "", IF('Additional Documents-WUO_ERR'!A450 = "", "Validated", HYPERLINK("#" &amp; ADDRESS(450, 'Additional Documents-WUO_TRK'!A450),_xlfn.TEXTAFTER('Additional Documents-WUO_ERR'!A450, ":"))))</f>
        <v/>
      </c>
    </row>
    <row r="451">
      <c r="A451" s="39">
        <f>IF('Additional Documents'!B451 = "", "", IF('Additional Documents-WUO_ERR'!A451 = "", "Validated", HYPERLINK("#" &amp; ADDRESS(451, 'Additional Documents-WUO_TRK'!A451),_xlfn.TEXTAFTER('Additional Documents-WUO_ERR'!A451, ":"))))</f>
        <v/>
      </c>
    </row>
    <row r="452">
      <c r="A452" s="39">
        <f>IF('Additional Documents'!B452 = "", "", IF('Additional Documents-WUO_ERR'!A452 = "", "Validated", HYPERLINK("#" &amp; ADDRESS(452, 'Additional Documents-WUO_TRK'!A452),_xlfn.TEXTAFTER('Additional Documents-WUO_ERR'!A452, ":"))))</f>
        <v/>
      </c>
    </row>
    <row r="453">
      <c r="A453" s="39">
        <f>IF('Additional Documents'!B453 = "", "", IF('Additional Documents-WUO_ERR'!A453 = "", "Validated", HYPERLINK("#" &amp; ADDRESS(453, 'Additional Documents-WUO_TRK'!A453),_xlfn.TEXTAFTER('Additional Documents-WUO_ERR'!A453, ":"))))</f>
        <v/>
      </c>
    </row>
    <row r="454">
      <c r="A454" s="39">
        <f>IF('Additional Documents'!B454 = "", "", IF('Additional Documents-WUO_ERR'!A454 = "", "Validated", HYPERLINK("#" &amp; ADDRESS(454, 'Additional Documents-WUO_TRK'!A454),_xlfn.TEXTAFTER('Additional Documents-WUO_ERR'!A454, ":"))))</f>
        <v/>
      </c>
    </row>
    <row r="455">
      <c r="A455" s="39">
        <f>IF('Additional Documents'!B455 = "", "", IF('Additional Documents-WUO_ERR'!A455 = "", "Validated", HYPERLINK("#" &amp; ADDRESS(455, 'Additional Documents-WUO_TRK'!A455),_xlfn.TEXTAFTER('Additional Documents-WUO_ERR'!A455, ":"))))</f>
        <v/>
      </c>
    </row>
    <row r="456">
      <c r="A456" s="39">
        <f>IF('Additional Documents'!B456 = "", "", IF('Additional Documents-WUO_ERR'!A456 = "", "Validated", HYPERLINK("#" &amp; ADDRESS(456, 'Additional Documents-WUO_TRK'!A456),_xlfn.TEXTAFTER('Additional Documents-WUO_ERR'!A456, ":"))))</f>
        <v/>
      </c>
    </row>
    <row r="457">
      <c r="A457" s="39">
        <f>IF('Additional Documents'!B457 = "", "", IF('Additional Documents-WUO_ERR'!A457 = "", "Validated", HYPERLINK("#" &amp; ADDRESS(457, 'Additional Documents-WUO_TRK'!A457),_xlfn.TEXTAFTER('Additional Documents-WUO_ERR'!A457, ":"))))</f>
        <v/>
      </c>
    </row>
    <row r="458">
      <c r="A458" s="39">
        <f>IF('Additional Documents'!B458 = "", "", IF('Additional Documents-WUO_ERR'!A458 = "", "Validated", HYPERLINK("#" &amp; ADDRESS(458, 'Additional Documents-WUO_TRK'!A458),_xlfn.TEXTAFTER('Additional Documents-WUO_ERR'!A458, ":"))))</f>
        <v/>
      </c>
    </row>
    <row r="459">
      <c r="A459" s="39">
        <f>IF('Additional Documents'!B459 = "", "", IF('Additional Documents-WUO_ERR'!A459 = "", "Validated", HYPERLINK("#" &amp; ADDRESS(459, 'Additional Documents-WUO_TRK'!A459),_xlfn.TEXTAFTER('Additional Documents-WUO_ERR'!A459, ":"))))</f>
        <v/>
      </c>
    </row>
    <row r="460">
      <c r="A460" s="39">
        <f>IF('Additional Documents'!B460 = "", "", IF('Additional Documents-WUO_ERR'!A460 = "", "Validated", HYPERLINK("#" &amp; ADDRESS(460, 'Additional Documents-WUO_TRK'!A460),_xlfn.TEXTAFTER('Additional Documents-WUO_ERR'!A460, ":"))))</f>
        <v/>
      </c>
    </row>
    <row r="461">
      <c r="A461" s="39">
        <f>IF('Additional Documents'!B461 = "", "", IF('Additional Documents-WUO_ERR'!A461 = "", "Validated", HYPERLINK("#" &amp; ADDRESS(461, 'Additional Documents-WUO_TRK'!A461),_xlfn.TEXTAFTER('Additional Documents-WUO_ERR'!A461, ":"))))</f>
        <v/>
      </c>
    </row>
    <row r="462">
      <c r="A462" s="39">
        <f>IF('Additional Documents'!B462 = "", "", IF('Additional Documents-WUO_ERR'!A462 = "", "Validated", HYPERLINK("#" &amp; ADDRESS(462, 'Additional Documents-WUO_TRK'!A462),_xlfn.TEXTAFTER('Additional Documents-WUO_ERR'!A462, ":"))))</f>
        <v/>
      </c>
    </row>
    <row r="463">
      <c r="A463" s="39">
        <f>IF('Additional Documents'!B463 = "", "", IF('Additional Documents-WUO_ERR'!A463 = "", "Validated", HYPERLINK("#" &amp; ADDRESS(463, 'Additional Documents-WUO_TRK'!A463),_xlfn.TEXTAFTER('Additional Documents-WUO_ERR'!A463, ":"))))</f>
        <v/>
      </c>
    </row>
    <row r="464">
      <c r="A464" s="39">
        <f>IF('Additional Documents'!B464 = "", "", IF('Additional Documents-WUO_ERR'!A464 = "", "Validated", HYPERLINK("#" &amp; ADDRESS(464, 'Additional Documents-WUO_TRK'!A464),_xlfn.TEXTAFTER('Additional Documents-WUO_ERR'!A464, ":"))))</f>
        <v/>
      </c>
    </row>
    <row r="465">
      <c r="A465" s="39">
        <f>IF('Additional Documents'!B465 = "", "", IF('Additional Documents-WUO_ERR'!A465 = "", "Validated", HYPERLINK("#" &amp; ADDRESS(465, 'Additional Documents-WUO_TRK'!A465),_xlfn.TEXTAFTER('Additional Documents-WUO_ERR'!A465, ":"))))</f>
        <v/>
      </c>
    </row>
    <row r="466">
      <c r="A466" s="39">
        <f>IF('Additional Documents'!B466 = "", "", IF('Additional Documents-WUO_ERR'!A466 = "", "Validated", HYPERLINK("#" &amp; ADDRESS(466, 'Additional Documents-WUO_TRK'!A466),_xlfn.TEXTAFTER('Additional Documents-WUO_ERR'!A466, ":"))))</f>
        <v/>
      </c>
    </row>
    <row r="467">
      <c r="A467" s="39">
        <f>IF('Additional Documents'!B467 = "", "", IF('Additional Documents-WUO_ERR'!A467 = "", "Validated", HYPERLINK("#" &amp; ADDRESS(467, 'Additional Documents-WUO_TRK'!A467),_xlfn.TEXTAFTER('Additional Documents-WUO_ERR'!A467, ":"))))</f>
        <v/>
      </c>
    </row>
    <row r="468">
      <c r="A468" s="39">
        <f>IF('Additional Documents'!B468 = "", "", IF('Additional Documents-WUO_ERR'!A468 = "", "Validated", HYPERLINK("#" &amp; ADDRESS(468, 'Additional Documents-WUO_TRK'!A468),_xlfn.TEXTAFTER('Additional Documents-WUO_ERR'!A468, ":"))))</f>
        <v/>
      </c>
    </row>
    <row r="469">
      <c r="A469" s="39">
        <f>IF('Additional Documents'!B469 = "", "", IF('Additional Documents-WUO_ERR'!A469 = "", "Validated", HYPERLINK("#" &amp; ADDRESS(469, 'Additional Documents-WUO_TRK'!A469),_xlfn.TEXTAFTER('Additional Documents-WUO_ERR'!A469, ":"))))</f>
        <v/>
      </c>
    </row>
    <row r="470">
      <c r="A470" s="39">
        <f>IF('Additional Documents'!B470 = "", "", IF('Additional Documents-WUO_ERR'!A470 = "", "Validated", HYPERLINK("#" &amp; ADDRESS(470, 'Additional Documents-WUO_TRK'!A470),_xlfn.TEXTAFTER('Additional Documents-WUO_ERR'!A470, ":"))))</f>
        <v/>
      </c>
    </row>
    <row r="471">
      <c r="A471" s="39">
        <f>IF('Additional Documents'!B471 = "", "", IF('Additional Documents-WUO_ERR'!A471 = "", "Validated", HYPERLINK("#" &amp; ADDRESS(471, 'Additional Documents-WUO_TRK'!A471),_xlfn.TEXTAFTER('Additional Documents-WUO_ERR'!A471, ":"))))</f>
        <v/>
      </c>
    </row>
    <row r="472">
      <c r="A472" s="39">
        <f>IF('Additional Documents'!B472 = "", "", IF('Additional Documents-WUO_ERR'!A472 = "", "Validated", HYPERLINK("#" &amp; ADDRESS(472, 'Additional Documents-WUO_TRK'!A472),_xlfn.TEXTAFTER('Additional Documents-WUO_ERR'!A472, ":"))))</f>
        <v/>
      </c>
    </row>
    <row r="473">
      <c r="A473" s="39">
        <f>IF('Additional Documents'!B473 = "", "", IF('Additional Documents-WUO_ERR'!A473 = "", "Validated", HYPERLINK("#" &amp; ADDRESS(473, 'Additional Documents-WUO_TRK'!A473),_xlfn.TEXTAFTER('Additional Documents-WUO_ERR'!A473, ":"))))</f>
        <v/>
      </c>
    </row>
    <row r="474">
      <c r="A474" s="39">
        <f>IF('Additional Documents'!B474 = "", "", IF('Additional Documents-WUO_ERR'!A474 = "", "Validated", HYPERLINK("#" &amp; ADDRESS(474, 'Additional Documents-WUO_TRK'!A474),_xlfn.TEXTAFTER('Additional Documents-WUO_ERR'!A474, ":"))))</f>
        <v/>
      </c>
    </row>
    <row r="475">
      <c r="A475" s="39">
        <f>IF('Additional Documents'!B475 = "", "", IF('Additional Documents-WUO_ERR'!A475 = "", "Validated", HYPERLINK("#" &amp; ADDRESS(475, 'Additional Documents-WUO_TRK'!A475),_xlfn.TEXTAFTER('Additional Documents-WUO_ERR'!A475, ":"))))</f>
        <v/>
      </c>
    </row>
    <row r="476">
      <c r="A476" s="39">
        <f>IF('Additional Documents'!B476 = "", "", IF('Additional Documents-WUO_ERR'!A476 = "", "Validated", HYPERLINK("#" &amp; ADDRESS(476, 'Additional Documents-WUO_TRK'!A476),_xlfn.TEXTAFTER('Additional Documents-WUO_ERR'!A476, ":"))))</f>
        <v/>
      </c>
    </row>
    <row r="477">
      <c r="A477" s="39">
        <f>IF('Additional Documents'!B477 = "", "", IF('Additional Documents-WUO_ERR'!A477 = "", "Validated", HYPERLINK("#" &amp; ADDRESS(477, 'Additional Documents-WUO_TRK'!A477),_xlfn.TEXTAFTER('Additional Documents-WUO_ERR'!A477, ":"))))</f>
        <v/>
      </c>
    </row>
    <row r="478">
      <c r="A478" s="39">
        <f>IF('Additional Documents'!B478 = "", "", IF('Additional Documents-WUO_ERR'!A478 = "", "Validated", HYPERLINK("#" &amp; ADDRESS(478, 'Additional Documents-WUO_TRK'!A478),_xlfn.TEXTAFTER('Additional Documents-WUO_ERR'!A478, ":"))))</f>
        <v/>
      </c>
    </row>
    <row r="479">
      <c r="A479" s="39">
        <f>IF('Additional Documents'!B479 = "", "", IF('Additional Documents-WUO_ERR'!A479 = "", "Validated", HYPERLINK("#" &amp; ADDRESS(479, 'Additional Documents-WUO_TRK'!A479),_xlfn.TEXTAFTER('Additional Documents-WUO_ERR'!A479, ":"))))</f>
        <v/>
      </c>
    </row>
    <row r="480">
      <c r="A480" s="39">
        <f>IF('Additional Documents'!B480 = "", "", IF('Additional Documents-WUO_ERR'!A480 = "", "Validated", HYPERLINK("#" &amp; ADDRESS(480, 'Additional Documents-WUO_TRK'!A480),_xlfn.TEXTAFTER('Additional Documents-WUO_ERR'!A480, ":"))))</f>
        <v/>
      </c>
    </row>
    <row r="481">
      <c r="A481" s="39">
        <f>IF('Additional Documents'!B481 = "", "", IF('Additional Documents-WUO_ERR'!A481 = "", "Validated", HYPERLINK("#" &amp; ADDRESS(481, 'Additional Documents-WUO_TRK'!A481),_xlfn.TEXTAFTER('Additional Documents-WUO_ERR'!A481, ":"))))</f>
        <v/>
      </c>
    </row>
    <row r="482">
      <c r="A482" s="39">
        <f>IF('Additional Documents'!B482 = "", "", IF('Additional Documents-WUO_ERR'!A482 = "", "Validated", HYPERLINK("#" &amp; ADDRESS(482, 'Additional Documents-WUO_TRK'!A482),_xlfn.TEXTAFTER('Additional Documents-WUO_ERR'!A482, ":"))))</f>
        <v/>
      </c>
    </row>
    <row r="483">
      <c r="A483" s="39">
        <f>IF('Additional Documents'!B483 = "", "", IF('Additional Documents-WUO_ERR'!A483 = "", "Validated", HYPERLINK("#" &amp; ADDRESS(483, 'Additional Documents-WUO_TRK'!A483),_xlfn.TEXTAFTER('Additional Documents-WUO_ERR'!A483, ":"))))</f>
        <v/>
      </c>
    </row>
    <row r="484">
      <c r="A484" s="39">
        <f>IF('Additional Documents'!B484 = "", "", IF('Additional Documents-WUO_ERR'!A484 = "", "Validated", HYPERLINK("#" &amp; ADDRESS(484, 'Additional Documents-WUO_TRK'!A484),_xlfn.TEXTAFTER('Additional Documents-WUO_ERR'!A484, ":"))))</f>
        <v/>
      </c>
    </row>
    <row r="485">
      <c r="A485" s="39">
        <f>IF('Additional Documents'!B485 = "", "", IF('Additional Documents-WUO_ERR'!A485 = "", "Validated", HYPERLINK("#" &amp; ADDRESS(485, 'Additional Documents-WUO_TRK'!A485),_xlfn.TEXTAFTER('Additional Documents-WUO_ERR'!A485, ":"))))</f>
        <v/>
      </c>
    </row>
    <row r="486">
      <c r="A486" s="39">
        <f>IF('Additional Documents'!B486 = "", "", IF('Additional Documents-WUO_ERR'!A486 = "", "Validated", HYPERLINK("#" &amp; ADDRESS(486, 'Additional Documents-WUO_TRK'!A486),_xlfn.TEXTAFTER('Additional Documents-WUO_ERR'!A486, ":"))))</f>
        <v/>
      </c>
    </row>
    <row r="487">
      <c r="A487" s="39">
        <f>IF('Additional Documents'!B487 = "", "", IF('Additional Documents-WUO_ERR'!A487 = "", "Validated", HYPERLINK("#" &amp; ADDRESS(487, 'Additional Documents-WUO_TRK'!A487),_xlfn.TEXTAFTER('Additional Documents-WUO_ERR'!A487, ":"))))</f>
        <v/>
      </c>
    </row>
    <row r="488">
      <c r="A488" s="39">
        <f>IF('Additional Documents'!B488 = "", "", IF('Additional Documents-WUO_ERR'!A488 = "", "Validated", HYPERLINK("#" &amp; ADDRESS(488, 'Additional Documents-WUO_TRK'!A488),_xlfn.TEXTAFTER('Additional Documents-WUO_ERR'!A488, ":"))))</f>
        <v/>
      </c>
    </row>
    <row r="489">
      <c r="A489" s="39">
        <f>IF('Additional Documents'!B489 = "", "", IF('Additional Documents-WUO_ERR'!A489 = "", "Validated", HYPERLINK("#" &amp; ADDRESS(489, 'Additional Documents-WUO_TRK'!A489),_xlfn.TEXTAFTER('Additional Documents-WUO_ERR'!A489, ":"))))</f>
        <v/>
      </c>
    </row>
    <row r="490">
      <c r="A490" s="39">
        <f>IF('Additional Documents'!B490 = "", "", IF('Additional Documents-WUO_ERR'!A490 = "", "Validated", HYPERLINK("#" &amp; ADDRESS(490, 'Additional Documents-WUO_TRK'!A490),_xlfn.TEXTAFTER('Additional Documents-WUO_ERR'!A490, ":"))))</f>
        <v/>
      </c>
    </row>
    <row r="491">
      <c r="A491" s="39">
        <f>IF('Additional Documents'!B491 = "", "", IF('Additional Documents-WUO_ERR'!A491 = "", "Validated", HYPERLINK("#" &amp; ADDRESS(491, 'Additional Documents-WUO_TRK'!A491),_xlfn.TEXTAFTER('Additional Documents-WUO_ERR'!A491, ":"))))</f>
        <v/>
      </c>
    </row>
    <row r="492">
      <c r="A492" s="39">
        <f>IF('Additional Documents'!B492 = "", "", IF('Additional Documents-WUO_ERR'!A492 = "", "Validated", HYPERLINK("#" &amp; ADDRESS(492, 'Additional Documents-WUO_TRK'!A492),_xlfn.TEXTAFTER('Additional Documents-WUO_ERR'!A492, ":"))))</f>
        <v/>
      </c>
    </row>
    <row r="493">
      <c r="A493" s="39">
        <f>IF('Additional Documents'!B493 = "", "", IF('Additional Documents-WUO_ERR'!A493 = "", "Validated", HYPERLINK("#" &amp; ADDRESS(493, 'Additional Documents-WUO_TRK'!A493),_xlfn.TEXTAFTER('Additional Documents-WUO_ERR'!A493, ":"))))</f>
        <v/>
      </c>
    </row>
    <row r="494">
      <c r="A494" s="39">
        <f>IF('Additional Documents'!B494 = "", "", IF('Additional Documents-WUO_ERR'!A494 = "", "Validated", HYPERLINK("#" &amp; ADDRESS(494, 'Additional Documents-WUO_TRK'!A494),_xlfn.TEXTAFTER('Additional Documents-WUO_ERR'!A494, ":"))))</f>
        <v/>
      </c>
    </row>
    <row r="495">
      <c r="A495" s="39">
        <f>IF('Additional Documents'!B495 = "", "", IF('Additional Documents-WUO_ERR'!A495 = "", "Validated", HYPERLINK("#" &amp; ADDRESS(495, 'Additional Documents-WUO_TRK'!A495),_xlfn.TEXTAFTER('Additional Documents-WUO_ERR'!A495, ":"))))</f>
        <v/>
      </c>
    </row>
    <row r="496">
      <c r="A496" s="39">
        <f>IF('Additional Documents'!B496 = "", "", IF('Additional Documents-WUO_ERR'!A496 = "", "Validated", HYPERLINK("#" &amp; ADDRESS(496, 'Additional Documents-WUO_TRK'!A496),_xlfn.TEXTAFTER('Additional Documents-WUO_ERR'!A496, ":"))))</f>
        <v/>
      </c>
    </row>
    <row r="497">
      <c r="A497" s="39">
        <f>IF('Additional Documents'!B497 = "", "", IF('Additional Documents-WUO_ERR'!A497 = "", "Validated", HYPERLINK("#" &amp; ADDRESS(497, 'Additional Documents-WUO_TRK'!A497),_xlfn.TEXTAFTER('Additional Documents-WUO_ERR'!A497, ":"))))</f>
        <v/>
      </c>
    </row>
    <row r="498">
      <c r="A498" s="39">
        <f>IF('Additional Documents'!B498 = "", "", IF('Additional Documents-WUO_ERR'!A498 = "", "Validated", HYPERLINK("#" &amp; ADDRESS(498, 'Additional Documents-WUO_TRK'!A498),_xlfn.TEXTAFTER('Additional Documents-WUO_ERR'!A498, ":"))))</f>
        <v/>
      </c>
    </row>
    <row r="499">
      <c r="A499" s="39">
        <f>IF('Additional Documents'!B499 = "", "", IF('Additional Documents-WUO_ERR'!A499 = "", "Validated", HYPERLINK("#" &amp; ADDRESS(499, 'Additional Documents-WUO_TRK'!A499),_xlfn.TEXTAFTER('Additional Documents-WUO_ERR'!A499, ":"))))</f>
        <v/>
      </c>
    </row>
    <row r="500">
      <c r="A500" s="39">
        <f>IF('Additional Documents'!B500 = "", "", IF('Additional Documents-WUO_ERR'!A500 = "", "Validated", HYPERLINK("#" &amp; ADDRESS(500, 'Additional Documents-WUO_TRK'!A500),_xlfn.TEXTAFTER('Additional Documents-WUO_ERR'!A500, ":"))))</f>
        <v/>
      </c>
    </row>
    <row r="501">
      <c r="A501" s="39">
        <f>IF('Additional Documents'!B501 = "", "", IF('Additional Documents-WUO_ERR'!A501 = "", "Validated", HYPERLINK("#" &amp; ADDRESS(501, 'Additional Documents-WUO_TRK'!A501),_xlfn.TEXTAFTER('Additional Documents-WUO_ERR'!A501, ":"))))</f>
        <v/>
      </c>
    </row>
    <row r="502">
      <c r="A502" s="39">
        <f>IF('Additional Documents'!B502 = "", "", IF('Additional Documents-WUO_ERR'!A502 = "", "Validated", HYPERLINK("#" &amp; ADDRESS(502, 'Additional Documents-WUO_TRK'!A502),_xlfn.TEXTAFTER('Additional Documents-WUO_ERR'!A502, ":"))))</f>
        <v/>
      </c>
    </row>
    <row r="503">
      <c r="A503" s="39">
        <f>IF('Additional Documents'!B503 = "", "", IF('Additional Documents-WUO_ERR'!A503 = "", "Validated", HYPERLINK("#" &amp; ADDRESS(503, 'Additional Documents-WUO_TRK'!A503),_xlfn.TEXTAFTER('Additional Documents-WUO_ERR'!A503, ":"))))</f>
        <v/>
      </c>
    </row>
    <row r="504">
      <c r="A504" s="39">
        <f>IF('Additional Documents'!B504 = "", "", IF('Additional Documents-WUO_ERR'!A504 = "", "Validated", HYPERLINK("#" &amp; ADDRESS(504, 'Additional Documents-WUO_TRK'!A504),_xlfn.TEXTAFTER('Additional Documents-WUO_ERR'!A504, ":"))))</f>
        <v/>
      </c>
    </row>
    <row r="505">
      <c r="A505" s="39">
        <f>IF('Additional Documents'!B505 = "", "", IF('Additional Documents-WUO_ERR'!A505 = "", "Validated", HYPERLINK("#" &amp; ADDRESS(505, 'Additional Documents-WUO_TRK'!A505),_xlfn.TEXTAFTER('Additional Documents-WUO_ERR'!A505, ":"))))</f>
        <v/>
      </c>
    </row>
    <row r="506">
      <c r="A506" s="39">
        <f>IF('Additional Documents'!B506 = "", "", IF('Additional Documents-WUO_ERR'!A506 = "", "Validated", HYPERLINK("#" &amp; ADDRESS(506, 'Additional Documents-WUO_TRK'!A506),_xlfn.TEXTAFTER('Additional Documents-WUO_ERR'!A506, ":"))))</f>
        <v/>
      </c>
    </row>
    <row r="507">
      <c r="A507" s="39">
        <f>IF('Additional Documents'!B507 = "", "", IF('Additional Documents-WUO_ERR'!A507 = "", "Validated", HYPERLINK("#" &amp; ADDRESS(507, 'Additional Documents-WUO_TRK'!A507),_xlfn.TEXTAFTER('Additional Documents-WUO_ERR'!A507, ":"))))</f>
        <v/>
      </c>
    </row>
  </sheetData>
  <sheetProtection selectLockedCells="0" selectUnlockedCells="0" sheet="1" objects="1" insertRows="1" insertHyperlinks="1" autoFilter="1" scenarios="1" formatColumns="0" deleteColumns="1" insertColumns="1" pivotTables="1" deleteRows="1" formatCells="1" formatRows="0" sort="1" password="9EF4"/>
  <mergeCells count="1">
    <mergeCell ref="C2:G2"/>
  </mergeCells>
  <conditionalFormatting sqref="A7:A50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50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dataValidations count="3">
    <dataValidation sqref="C7:C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F7:F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G7:G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s>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f t="array" ref="A7">_xlfn.BYROW(B7:H507,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Documents'!B7:B507, 'Additional Documents'!B7:B507,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Documents'!B7:B507, 'Additional Documents'!C7:C507, 'Additional Documents'!D7:D507, 'Additional Documents'!E7:E507, 'Additional Documents'!F7:F507, 'Additional Documents'!G7:G507,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s="22">
        <f t="array" ref="D7">_xlfn.MAP('Additional Documents'!B7:B507, 'Additional Documents'!D7:D507,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s="22">
        <f t="array" ref="E7">_xlfn.MAP('Additional Documents'!B7:B507, 'Additional Documents'!E7:E507,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s="22">
        <f t="array" ref="F7">_xlfn.MAP('Additional Documents'!B7:B507, 'Additional Documents'!F7:F507, _xlfn.LAMBDA(_xlpm.part, _xlpm.val, IF(_xlpm.part = "", "", IF(AND(_xlpm.val = "", F$3="Required"), "3:Document Region - Value is required", ""))))</f>
        <v/>
      </c>
      <c r="G7" s="22">
        <f t="array" ref="G7">_xlfn.MAP('Additional Documents'!B7:B507, 'Additional Documents'!G7:G507,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f t="array" ref="A7">_xlfn.BYROW(B7:H507, _xlfn.LAMBDA(_xlpm.r, _xlfn.LET(_xlpm.high_priority_idx, IFERROR(MATCH(TRUE, (_xlpm.r = "Error") + (_xlpm.r = "Required") &gt; 0, 0), 0), IF(_xlpm.high_priority_idx &gt; 0, _xlpm.high_priority_idx + 1, IFERROR(MATCH(1, (_xlpm.r = "Warning") * 1, 0) + 1, "")))))</f>
        <v/>
      </c>
      <c r="B7" s="22">
        <f t="array" ref="B7">_xlfn.MAP('Additional Documents'!B7:B507, 'Additional Documents'!B7:B507, 'Additional Documents-WUO_ERR'!B7:B507, _xlfn.LAMBDA(_xlpm.part, _xlpm.val, _xlpm.error, IF(_xlpm.part = "", "", IF(LEN(_xlpm.error), _xlfn.SWITCH(IFERROR(_xlfn.TEXTBEFORE(_xlpm.error,":"), ""), "1", "Error", "2", "Disabled", "3", "Required", "4", "Warning", "Valid"), "Valid"))))</f>
        <v/>
      </c>
      <c r="C7" s="22">
        <f t="array" ref="C7">_xlfn.MAP('Additional Documents'!B7:B507, 'Additional Documents'!C7:C507, 'Additional Documents-WUO_ERR'!C7:C507, _xlfn.LAMBDA(_xlpm.part, _xlpm.val, _xlpm.error, IF(_xlpm.part = "", "", IF(LEN(_xlpm.error), _xlfn.SWITCH(IFERROR(_xlfn.TEXTBEFORE(_xlpm.error,":"), ""), "1", "Error", "2", "Disabled", "3", "Required", "4", "Warning", "Valid"), "Valid"))))</f>
        <v/>
      </c>
      <c r="D7" s="22">
        <f t="array" ref="D7">_xlfn.MAP('Additional Documents'!B7:B507, 'Additional Documents'!D7:D507, 'Additional Documents-WUO_ERR'!D7:D507, _xlfn.LAMBDA(_xlpm.part, _xlpm.val, _xlpm.error, IF(_xlpm.part = "", "", IF(LEN(_xlpm.error), _xlfn.SWITCH(IFERROR(_xlfn.TEXTBEFORE(_xlpm.error,":"), ""), "1", "Error", "2", "Disabled", "3", "Required", "4", "Warning", "Valid"), "Valid"))))</f>
        <v/>
      </c>
      <c r="E7" s="22">
        <f t="array" ref="E7">_xlfn.MAP('Additional Documents'!B7:B507, 'Additional Documents'!E7:E507, 'Additional Documents-WUO_ERR'!E7:E507, _xlfn.LAMBDA(_xlpm.part, _xlpm.val, _xlpm.error, IF(_xlpm.part = "", "", IF(LEN(_xlpm.error), _xlfn.SWITCH(IFERROR(_xlfn.TEXTBEFORE(_xlpm.error,":"), ""), "1", "Error", "2", "Disabled", "3", "Required", "4", "Warning", "Valid"), "Valid"))))</f>
        <v/>
      </c>
      <c r="F7" s="22">
        <f t="array" ref="F7">_xlfn.MAP('Additional Documents'!B7:B507, 'Additional Documents'!F7:F507, 'Additional Documents-WUO_ERR'!F7:F507, _xlfn.LAMBDA(_xlpm.part, _xlpm.val, _xlpm.error, IF(_xlpm.part = "", "", IF(LEN(_xlpm.error), _xlfn.SWITCH(IFERROR(_xlfn.TEXTBEFORE(_xlpm.error,":"), ""), "1", "Error", "2", "Disabled", "3", "Required", "4", "Warning", "Valid"), "Valid"))))</f>
        <v/>
      </c>
      <c r="G7" s="22">
        <f t="array" ref="G7">_xlfn.MAP('Additional Documents'!B7:B507, 'Additional Documents'!G7:G507, 'Additional Documents-WUO_ERR'!G7:G507,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IK902"/>
  <sheetViews>
    <sheetView workbookViewId="0">
      <selection activeCell="A1" sqref="A1"/>
    </sheetView>
  </sheetViews>
  <sheetFormatPr baseColWidth="8" defaultRowHeight="15"/>
  <cols>
    <col width="10.7109375" customWidth="1" min="1" max="1"/>
    <col width="17.7109375" customWidth="1" min="2" max="2"/>
    <col width="49.7109375" customWidth="1" min="3" max="4"/>
    <col width="50.7109375" customWidth="1" min="5" max="7"/>
    <col width="14.7109375" customWidth="1" min="8" max="8"/>
    <col width="18.7109375" customWidth="1" min="9" max="9"/>
    <col width="14.7109375" customWidth="1" min="10" max="10"/>
    <col width="26.7109375" customWidth="1" min="11" max="11"/>
    <col width="13.7109375" customWidth="1" min="12" max="13"/>
    <col width="28.7109375" customWidth="1" min="14" max="14"/>
    <col width="18.7109375" customWidth="1" min="15" max="15"/>
    <col width="24.7109375" customWidth="1" min="16" max="16"/>
    <col width="20.7109375" customWidth="1" min="17" max="17"/>
    <col width="22.7109375" customWidth="1" min="18" max="18"/>
    <col width="17.7109375" customWidth="1" min="19" max="19"/>
    <col width="13.7109375" customWidth="1" min="20" max="20"/>
    <col width="17.7109375" customWidth="1" min="21" max="21"/>
    <col width="39.7109375" customWidth="1" min="22" max="22"/>
    <col width="43.7109375" customWidth="1" min="23" max="23"/>
    <col width="17.7109375" customWidth="1" min="24" max="24"/>
    <col width="24.7109375" customWidth="1" min="25" max="26"/>
    <col width="21.7109375" customWidth="1" min="27" max="27"/>
    <col width="20.7109375" customWidth="1" min="28" max="28"/>
    <col width="35.7109375" customWidth="1" min="29" max="29"/>
    <col width="30.7109375" customWidth="1" min="30" max="30"/>
    <col width="25.7109375" customWidth="1" min="31" max="31"/>
    <col width="15.7109375" customWidth="1" min="32" max="32"/>
    <col width="19.7109375" customWidth="1" min="33" max="33"/>
    <col width="15.7109375" customWidth="1" min="34" max="34"/>
    <col width="20.7109375" customWidth="1" min="35" max="35"/>
    <col width="33.7109375" customWidth="1" min="36" max="36"/>
    <col width="53.7109375" customWidth="1" min="37" max="38"/>
    <col width="21.7109375" customWidth="1" min="39" max="39"/>
    <col width="64.7109375" customWidth="1" min="40" max="40"/>
    <col width="27.7109375" customWidth="1" min="41" max="41"/>
    <col width="24.7109375" customWidth="1" min="42" max="42"/>
    <col width="44.7109375" customWidth="1" min="43" max="43"/>
    <col width="20.7109375" customWidth="1" min="44" max="44"/>
    <col width="21.7109375" customWidth="1" min="45" max="45"/>
    <col width="18.7109375" customWidth="1" min="46" max="46"/>
    <col width="30.7109375" customWidth="1" min="47" max="47"/>
    <col width="44.7109375" customWidth="1" min="48" max="48"/>
    <col width="22.7109375" customWidth="1" min="49" max="49"/>
    <col width="19.7109375" customWidth="1" min="50" max="50"/>
    <col width="31.7109375" customWidth="1" min="51" max="51"/>
    <col width="20.7109375" customWidth="1" min="52" max="52"/>
    <col width="17.7109375" customWidth="1" min="53" max="53"/>
    <col width="21.7109375" customWidth="1" min="54" max="54"/>
    <col width="13.7109375" customWidth="1" min="55" max="55"/>
    <col width="32.7109375" customWidth="1" min="56" max="56"/>
    <col width="27.7109375" customWidth="1" min="57" max="57"/>
    <col width="38.7109375" customWidth="1" min="58" max="58"/>
    <col width="39.7109375" customWidth="1" min="59" max="59"/>
    <col width="43.7109375" customWidth="1" min="60" max="60"/>
    <col width="29.7109375" customWidth="1" min="61" max="61"/>
    <col width="17.7109375" customWidth="1" min="62" max="62"/>
    <col width="24.7109375" customWidth="1" min="63" max="63"/>
    <col width="17.7109375" customWidth="1" min="64" max="64"/>
    <col width="24.7109375" customWidth="1" min="65" max="65"/>
    <col width="21.7109375" customWidth="1" min="66" max="66"/>
    <col width="20.7109375" customWidth="1" min="67" max="67"/>
    <col width="35.7109375" customWidth="1" min="68" max="68"/>
    <col width="30.7109375" customWidth="1" min="69" max="69"/>
    <col width="17.7109375" customWidth="1" min="70" max="70"/>
    <col width="19.7109375" customWidth="1" min="71" max="72"/>
    <col width="34.7109375" customWidth="1" min="73" max="73"/>
    <col width="14.7109375" customWidth="1" min="74" max="75"/>
    <col width="16.7109375" customWidth="1" min="76" max="76"/>
    <col width="20.7109375" customWidth="1" min="77" max="77"/>
    <col width="19.7109375" customWidth="1" min="78" max="78"/>
    <col width="44.7109375" customWidth="1" min="79" max="79"/>
    <col width="53.7109375" customWidth="1" min="80" max="81"/>
    <col width="21.7109375" customWidth="1" min="82" max="82"/>
    <col width="64.7109375" customWidth="1" min="83" max="83"/>
    <col width="27.7109375" customWidth="1" min="84" max="84"/>
    <col width="19.7109375" customWidth="1" min="85" max="85"/>
    <col width="20.7109375" customWidth="1" min="86" max="86"/>
    <col width="21.7109375" customWidth="1" min="87" max="87"/>
    <col width="18.7109375" customWidth="1" min="88" max="88"/>
    <col width="30.7109375" customWidth="1" min="89" max="89"/>
    <col width="44.7109375" customWidth="1" min="90" max="90"/>
    <col width="22.7109375" customWidth="1" min="91" max="91"/>
    <col width="47.7109375" customWidth="1" min="92" max="92"/>
    <col width="19.7109375" customWidth="1" min="93" max="93"/>
    <col width="30.7109375" customWidth="1" min="94" max="94"/>
    <col width="40.7109375" customWidth="1" min="95" max="95"/>
    <col width="22.7109375" customWidth="1" min="96" max="96"/>
    <col width="45.7109375" customWidth="1" min="97" max="97"/>
    <col width="31.7109375" customWidth="1" min="98" max="98"/>
    <col width="29.7109375" customWidth="1" min="99" max="99"/>
    <col width="20.7109375" customWidth="1" min="100" max="100"/>
    <col width="17.7109375" customWidth="1" min="101" max="101"/>
    <col width="19.7109375" customWidth="1" min="102" max="102"/>
    <col width="22.7109375" customWidth="1" min="103" max="103"/>
    <col width="18.7109375" customWidth="1" min="104" max="104"/>
    <col width="24.7109375" customWidth="1" min="105" max="105"/>
    <col width="18.7109375" customWidth="1" min="106" max="106"/>
    <col width="29.7109375" customWidth="1" min="107" max="107"/>
    <col width="23.7109375" customWidth="1" min="108" max="108"/>
    <col width="32.7109375" customWidth="1" min="109" max="109"/>
    <col width="27.7109375" customWidth="1" min="110" max="110"/>
    <col width="28.7109375" customWidth="1" min="111" max="111"/>
    <col width="26.7109375" customWidth="1" min="112" max="112"/>
    <col width="39.7109375" customWidth="1" min="113" max="113"/>
    <col width="43.7109375" customWidth="1" min="114" max="114"/>
    <col width="29.7109375" customWidth="1" min="115" max="115"/>
    <col width="24.7109375" customWidth="1" min="116" max="116"/>
    <col width="17.7109375" customWidth="1" min="117" max="117"/>
    <col width="24.7109375" customWidth="1" min="118" max="118"/>
    <col width="21.7109375" customWidth="1" min="119" max="119"/>
    <col width="20.7109375" customWidth="1" min="120" max="120"/>
    <col width="35.7109375" customWidth="1" min="121" max="121"/>
    <col width="30.7109375" customWidth="1" min="122" max="122"/>
    <col width="17.7109375" customWidth="1" min="123" max="123"/>
    <col width="15.7109375" customWidth="1" min="124" max="124"/>
    <col width="17.7109375" customWidth="1" min="125" max="125"/>
    <col width="29.7109375" customWidth="1" min="126" max="126"/>
    <col width="25.7109375" customWidth="1" min="127" max="127"/>
    <col width="17.7109375" customWidth="1" min="128" max="128"/>
    <col width="13.7109375" customWidth="1" min="129" max="129"/>
    <col width="15.7109375" customWidth="1" min="130" max="130"/>
    <col width="24.7109375" customWidth="1" min="131" max="131"/>
    <col width="20.7109375" customWidth="1" min="132" max="132"/>
    <col width="14.7109375" customWidth="1" min="133" max="133"/>
    <col width="33.7109375" customWidth="1" min="134" max="134"/>
    <col width="53.7109375" customWidth="1" min="135" max="136"/>
    <col width="21.7109375" customWidth="1" min="137" max="137"/>
    <col width="25.7109375" customWidth="1" min="138" max="138"/>
    <col width="30.7109375" customWidth="1" min="139" max="139"/>
    <col width="44.7109375" customWidth="1" min="140" max="140"/>
    <col width="64.7109375" customWidth="1" min="141" max="141"/>
    <col width="27.7109375" customWidth="1" min="142" max="142"/>
    <col width="24.7109375" customWidth="1" min="143" max="143"/>
    <col width="20.7109375" customWidth="1" min="144" max="144"/>
    <col width="21.7109375" customWidth="1" min="145" max="145"/>
    <col width="18.7109375" customWidth="1" min="146" max="146"/>
    <col width="30.7109375" customWidth="1" min="147" max="147"/>
    <col width="44.7109375" customWidth="1" min="148" max="148"/>
    <col width="57.7109375" customWidth="1" min="149" max="149"/>
    <col width="19.7109375" customWidth="1" min="150" max="150"/>
    <col width="43.7109375" customWidth="1" min="151" max="151"/>
    <col width="30.7109375" customWidth="1" min="152" max="152"/>
    <col width="22.7109375" customWidth="1" min="153" max="153"/>
    <col width="45.7109375" customWidth="1" min="154" max="154"/>
    <col width="31.7109375" customWidth="1" min="155" max="155"/>
    <col width="29.7109375" customWidth="1" min="156" max="156"/>
    <col width="17.7109375" customWidth="1" min="157" max="157"/>
    <col width="13.7109375" customWidth="1" min="158" max="158"/>
    <col width="34.7109375" customWidth="1" min="159" max="159"/>
    <col width="38.7109375" customWidth="1" min="160" max="160"/>
    <col width="32.7109375" customWidth="1" min="161" max="161"/>
    <col width="27.7109375" customWidth="1" min="162" max="162"/>
    <col width="39.7109375" customWidth="1" min="163" max="163"/>
    <col width="20.7109375" customWidth="1" min="164" max="164"/>
    <col width="43.7109375" customWidth="1" min="165" max="165"/>
    <col width="29.7109375" customWidth="1" min="166" max="166"/>
    <col width="17.7109375" customWidth="1" min="167" max="168"/>
    <col width="10.7109375" customWidth="1" min="169" max="169"/>
    <col width="27.7109375" customWidth="1" min="170" max="170"/>
    <col width="20.7109375" customWidth="1" min="171" max="171"/>
    <col width="62.7109375" customWidth="1" min="172" max="172"/>
    <col width="33.7109375" customWidth="1" min="173" max="173"/>
    <col width="41.7109375" customWidth="1" min="174" max="174"/>
    <col width="44.7109375" customWidth="1" min="175" max="175"/>
    <col width="53.7109375" customWidth="1" min="176" max="177"/>
    <col width="21.7109375" customWidth="1" min="178" max="178"/>
    <col width="64.7109375" customWidth="1" min="179" max="179"/>
    <col width="27.7109375" customWidth="1" min="180" max="181"/>
    <col width="19.7109375" customWidth="1" min="182" max="182"/>
    <col width="43.7109375" customWidth="1" min="183" max="183"/>
    <col width="30.7109375" customWidth="1" min="184" max="184"/>
    <col width="22.7109375" customWidth="1" min="185" max="185"/>
    <col width="45.7109375" customWidth="1" min="186" max="186"/>
    <col width="31.7109375" customWidth="1" min="187" max="187"/>
    <col width="29.7109375" customWidth="1" min="188" max="188"/>
    <col width="18.7109375" customWidth="1" min="189" max="189"/>
    <col width="10.7109375" customWidth="1" min="190" max="190"/>
    <col width="15.7109375" customWidth="1" min="191" max="191"/>
    <col width="23.7109375" customWidth="1" min="192" max="192"/>
    <col width="24.7109375" customWidth="1" min="193" max="193"/>
    <col width="22.7109375" customWidth="1" min="194" max="194"/>
    <col width="18.7109375" customWidth="1" min="195" max="195"/>
    <col width="29.7109375" customWidth="1" min="196" max="196"/>
    <col width="27.7109375" customWidth="1" min="197" max="197"/>
    <col width="32.7109375" customWidth="1" min="198" max="198"/>
    <col width="39.7109375" customWidth="1" min="199" max="199"/>
    <col width="43.7109375" customWidth="1" min="200" max="200"/>
    <col width="29.7109375" customWidth="1" min="201" max="201"/>
    <col width="17.7109375" customWidth="1" min="202" max="202"/>
    <col width="12.7109375" customWidth="1" min="203" max="203"/>
    <col width="24.7109375" customWidth="1" min="204" max="204"/>
    <col width="17.7109375" customWidth="1" min="205" max="205"/>
    <col width="24.7109375" customWidth="1" min="206" max="206"/>
    <col width="21.7109375" customWidth="1" min="207" max="207"/>
    <col width="20.7109375" customWidth="1" min="208" max="208"/>
    <col width="35.7109375" customWidth="1" min="209" max="209"/>
    <col width="30.7109375" customWidth="1" min="210" max="210"/>
    <col width="27.7109375" customWidth="1" min="211" max="211"/>
    <col width="17.7109375" customWidth="1" min="212" max="212"/>
    <col width="30.7109375" customWidth="1" min="213" max="213"/>
    <col width="20.7109375" customWidth="1" min="214" max="214"/>
    <col width="35.7109375" customWidth="1" min="215" max="215"/>
    <col width="20.7109375" customWidth="1" min="216" max="216"/>
    <col width="42.7109375" customWidth="1" min="217" max="217"/>
    <col width="53.7109375" customWidth="1" min="218" max="219"/>
    <col width="21.7109375" customWidth="1" min="220" max="220"/>
    <col width="27.7109375" customWidth="1" min="221" max="221"/>
    <col width="25.7109375" customWidth="1" min="222" max="222"/>
    <col width="30.7109375" customWidth="1" min="223" max="223"/>
    <col width="64.7109375" customWidth="1" min="224" max="224"/>
    <col width="27.7109375" customWidth="1" min="225" max="225"/>
    <col width="68.7109375" customWidth="1" min="226" max="226"/>
    <col width="52.7109375" customWidth="1" min="227" max="227"/>
    <col width="41.7109375" customWidth="1" min="228" max="228"/>
    <col width="44.7109375" customWidth="1" min="229" max="229"/>
    <col width="20.7109375" customWidth="1" min="230" max="230"/>
    <col width="21.7109375" customWidth="1" min="231" max="231"/>
    <col width="18.7109375" customWidth="1" min="232" max="232"/>
    <col width="30.7109375" customWidth="1" min="233" max="233"/>
    <col width="47.7109375" customWidth="1" min="234" max="234"/>
    <col width="19.7109375" customWidth="1" min="235" max="235"/>
    <col width="43.7109375" customWidth="1" min="236" max="236"/>
    <col width="57.7109375" customWidth="1" min="237" max="237"/>
    <col width="62.7109375" customWidth="1" min="238" max="238"/>
    <col width="33.7109375" customWidth="1" min="239" max="239"/>
    <col width="51.7109375" customWidth="1" min="240" max="240"/>
    <col width="22.7109375" customWidth="1" min="241" max="241"/>
    <col width="45.7109375" customWidth="1" min="242" max="242"/>
    <col width="31.7109375" customWidth="1" min="243" max="243"/>
    <col width="29.7109375" customWidth="1" min="244" max="244"/>
    <col width="20.7109375" customWidth="1" min="245" max="245"/>
  </cols>
  <sheetData>
    <row r="1" ht="50" customHeight="1">
      <c r="A1" s="40" t="inlineStr">
        <is>
          <t>Brand</t>
        </is>
      </c>
      <c r="B1" s="40" t="inlineStr">
        <is>
          <t>Variant Type</t>
        </is>
      </c>
      <c r="C1" s="40" t="inlineStr">
        <is>
          <t>Variant Details - Variant Grouping (Class 3)</t>
        </is>
      </c>
      <c r="D1" s="40" t="inlineStr">
        <is>
          <t>Variant Details - Variant Grouping (Class 6)</t>
        </is>
      </c>
      <c r="E1" s="40" t="inlineStr">
        <is>
          <t>Variant Details - Variant Grouping (Class 10)</t>
        </is>
      </c>
      <c r="F1" s="40" t="inlineStr">
        <is>
          <t>Variant Details - Variant Grouping (Class 12)</t>
        </is>
      </c>
      <c r="G1" s="40" t="inlineStr">
        <is>
          <t>Variant Details - Variant Grouping (Class 13)</t>
        </is>
      </c>
      <c r="H1" s="40" t="inlineStr">
        <is>
          <t>Ship Type</t>
        </is>
      </c>
      <c r="I1" s="40" t="inlineStr">
        <is>
          <t>Freight Class</t>
        </is>
      </c>
      <c r="J1" s="40" t="inlineStr">
        <is>
          <t>Lead Time</t>
        </is>
      </c>
      <c r="K1" s="40" t="inlineStr">
        <is>
          <t>Replacement Lead Time</t>
        </is>
      </c>
      <c r="L1" s="40" t="inlineStr">
        <is>
          <t>Chemical</t>
        </is>
      </c>
      <c r="M1" s="40" t="inlineStr">
        <is>
          <t>Toxicity</t>
        </is>
      </c>
      <c r="N1" s="40" t="inlineStr">
        <is>
          <t>Country Of Manufacturer</t>
        </is>
      </c>
      <c r="O1" s="40" t="inlineStr">
        <is>
          <t>Document Type</t>
        </is>
      </c>
      <c r="P1" s="40" t="inlineStr">
        <is>
          <t>Legal Document Type</t>
        </is>
      </c>
      <c r="Q1" s="40" t="inlineStr">
        <is>
          <t>Document Region</t>
        </is>
      </c>
      <c r="R1" s="40" t="inlineStr">
        <is>
          <t>Document Language</t>
        </is>
      </c>
      <c r="S1" s="40" t="inlineStr">
        <is>
          <t>Product Type</t>
        </is>
      </c>
      <c r="T1" s="40" t="inlineStr">
        <is>
          <t>Material</t>
        </is>
      </c>
      <c r="U1" s="40" t="inlineStr">
        <is>
          <t>Wood Species</t>
        </is>
      </c>
      <c r="V1" s="40" t="inlineStr">
        <is>
          <t>Supplier Intended and Approved Use</t>
        </is>
      </c>
      <c r="W1" s="40" t="inlineStr">
        <is>
          <t>Country of Origin - Additional Details</t>
        </is>
      </c>
      <c r="X1" s="40" t="inlineStr">
        <is>
          <t>Battery Type</t>
        </is>
      </c>
      <c r="Y1" s="40" t="inlineStr">
        <is>
          <t>Battery Composition</t>
        </is>
      </c>
      <c r="Z1" s="40" t="inlineStr">
        <is>
          <t>Number of Batteries</t>
        </is>
      </c>
      <c r="AA1" s="40" t="inlineStr">
        <is>
          <t>Battery Shipment</t>
        </is>
      </c>
      <c r="AB1" s="40" t="inlineStr">
        <is>
          <t>Lithium Content</t>
        </is>
      </c>
      <c r="AC1" s="40" t="inlineStr">
        <is>
          <t>Watt Rating of Cells / Battery</t>
        </is>
      </c>
      <c r="AD1" s="40" t="inlineStr">
        <is>
          <t>Weight of Cells / Battery</t>
        </is>
      </c>
      <c r="AE1" s="40" t="inlineStr">
        <is>
          <t>Removable Components</t>
        </is>
      </c>
      <c r="AF1" s="40" t="inlineStr">
        <is>
          <t>Mount Type</t>
        </is>
      </c>
      <c r="AG1" s="40" t="inlineStr">
        <is>
          <t>Color / Finish</t>
        </is>
      </c>
      <c r="AH1" s="40" t="inlineStr">
        <is>
          <t>Shelf Type</t>
        </is>
      </c>
      <c r="AI1" s="40" t="inlineStr">
        <is>
          <t>Pieces Included</t>
        </is>
      </c>
      <c r="AJ1" s="40" t="inlineStr">
        <is>
          <t>CPSC - 16 CFR 1303 Compliant</t>
        </is>
      </c>
      <c r="AK1" s="40" t="inlineStr">
        <is>
          <t>CARB Phase II Compliant (formaldehyde emissions)</t>
        </is>
      </c>
      <c r="AL1" s="40" t="inlineStr">
        <is>
          <t>TSCA Title VI Compliant (formaldehyde emissions)</t>
        </is>
      </c>
      <c r="AM1" s="40" t="inlineStr">
        <is>
          <t>CANFER Compliant</t>
        </is>
      </c>
      <c r="AN1" s="40" t="inlineStr">
        <is>
          <t>Uniform Packaging and Labeling Regulations (UPLR) Compliant</t>
        </is>
      </c>
      <c r="AO1" s="40" t="inlineStr">
        <is>
          <t>Reason for Restriction</t>
        </is>
      </c>
      <c r="AP1" s="40" t="inlineStr">
        <is>
          <t>Lacey Act Compliant</t>
        </is>
      </c>
      <c r="AQ1" s="40" t="inlineStr">
        <is>
          <t>General Certificate of Conformity (GCC)</t>
        </is>
      </c>
      <c r="AR1" s="40" t="inlineStr">
        <is>
          <t>UN or ID number</t>
        </is>
      </c>
      <c r="AS1" s="40" t="inlineStr">
        <is>
          <t>Hazard Class(es)</t>
        </is>
      </c>
      <c r="AT1" s="40" t="inlineStr">
        <is>
          <t>Packing Group</t>
        </is>
      </c>
      <c r="AU1" s="40" t="inlineStr">
        <is>
          <t>Hazardous Material Weight</t>
        </is>
      </c>
      <c r="AV1" s="40" t="inlineStr">
        <is>
          <t>Energy Efficiency Regulations Compliant</t>
        </is>
      </c>
      <c r="AW1" s="40" t="inlineStr">
        <is>
          <t>Safety Listing(s)</t>
        </is>
      </c>
      <c r="AX1" s="40" t="inlineStr">
        <is>
          <t>ISTA Certified</t>
        </is>
      </c>
      <c r="AY1" s="40" t="inlineStr">
        <is>
          <t>Commercial Warranty Length</t>
        </is>
      </c>
      <c r="AZ1" s="40" t="inlineStr">
        <is>
          <t>Warranty Length</t>
        </is>
      </c>
      <c r="BA1" s="40" t="inlineStr">
        <is>
          <t>Product Type</t>
        </is>
      </c>
      <c r="BB1" s="40" t="inlineStr">
        <is>
          <t>Furniture Design</t>
        </is>
      </c>
      <c r="BC1" s="40" t="inlineStr">
        <is>
          <t>Material</t>
        </is>
      </c>
      <c r="BD1" s="40" t="inlineStr">
        <is>
          <t>Purposeful Distressing Type</t>
        </is>
      </c>
      <c r="BE1" s="40" t="inlineStr">
        <is>
          <t>Natural Variation Type</t>
        </is>
      </c>
      <c r="BF1" s="40" t="inlineStr">
        <is>
          <t>Tipover Restraint Device Included</t>
        </is>
      </c>
      <c r="BG1" s="40" t="inlineStr">
        <is>
          <t>Supplier Intended and Approved Use</t>
        </is>
      </c>
      <c r="BH1" s="40" t="inlineStr">
        <is>
          <t>Country of Origin - Additional Details</t>
        </is>
      </c>
      <c r="BI1" s="40" t="inlineStr">
        <is>
          <t>Main Wood Joinery Method</t>
        </is>
      </c>
      <c r="BJ1" s="40" t="inlineStr">
        <is>
          <t>Wood Species</t>
        </is>
      </c>
      <c r="BK1" s="40" t="inlineStr">
        <is>
          <t>Battery Composition</t>
        </is>
      </c>
      <c r="BL1" s="40" t="inlineStr">
        <is>
          <t>Battery Type</t>
        </is>
      </c>
      <c r="BM1" s="40" t="inlineStr">
        <is>
          <t>Number of Batteries</t>
        </is>
      </c>
      <c r="BN1" s="40" t="inlineStr">
        <is>
          <t>Battery Shipment</t>
        </is>
      </c>
      <c r="BO1" s="40" t="inlineStr">
        <is>
          <t>Lithium Content</t>
        </is>
      </c>
      <c r="BP1" s="40" t="inlineStr">
        <is>
          <t>Watt Rating of Cells / Battery</t>
        </is>
      </c>
      <c r="BQ1" s="40" t="inlineStr">
        <is>
          <t>Weight of Cells / Battery</t>
        </is>
      </c>
      <c r="BR1" s="40" t="inlineStr">
        <is>
          <t>Product Care</t>
        </is>
      </c>
      <c r="BS1" s="40" t="inlineStr">
        <is>
          <t>Shelf Material</t>
        </is>
      </c>
      <c r="BT1" s="40" t="inlineStr">
        <is>
          <t>Color / Finish</t>
        </is>
      </c>
      <c r="BU1" s="40" t="inlineStr">
        <is>
          <t>Drawer Glide Type &amp; Extension</t>
        </is>
      </c>
      <c r="BV1" s="40" t="inlineStr">
        <is>
          <t>Vent Type</t>
        </is>
      </c>
      <c r="BW1" s="40" t="inlineStr">
        <is>
          <t>Fuel Type</t>
        </is>
      </c>
      <c r="BX1" s="40" t="inlineStr">
        <is>
          <t>Door Design</t>
        </is>
      </c>
      <c r="BY1" s="40" t="inlineStr">
        <is>
          <t>Pieces Included</t>
        </is>
      </c>
      <c r="BZ1" s="40" t="inlineStr">
        <is>
          <t>Fireplace Type</t>
        </is>
      </c>
      <c r="CA1" s="40" t="inlineStr">
        <is>
          <t>General Certificate of Conformity (GCC)</t>
        </is>
      </c>
      <c r="CB1" s="40" t="inlineStr">
        <is>
          <t>CARB Phase II Compliant (formaldehyde emissions)</t>
        </is>
      </c>
      <c r="CC1" s="40" t="inlineStr">
        <is>
          <t>TSCA Title VI Compliant (formaldehyde emissions)</t>
        </is>
      </c>
      <c r="CD1" s="40" t="inlineStr">
        <is>
          <t>CANFER Compliant</t>
        </is>
      </c>
      <c r="CE1" s="40" t="inlineStr">
        <is>
          <t>Uniform Packaging and Labeling Regulations (UPLR) Compliant</t>
        </is>
      </c>
      <c r="CF1" s="40" t="inlineStr">
        <is>
          <t>Reason for Restriction</t>
        </is>
      </c>
      <c r="CG1" s="40" t="inlineStr">
        <is>
          <t>UL 1678 Listed</t>
        </is>
      </c>
      <c r="CH1" s="40" t="inlineStr">
        <is>
          <t>UN or ID number</t>
        </is>
      </c>
      <c r="CI1" s="40" t="inlineStr">
        <is>
          <t>Hazard Class(es)</t>
        </is>
      </c>
      <c r="CJ1" s="40" t="inlineStr">
        <is>
          <t>Packing Group</t>
        </is>
      </c>
      <c r="CK1" s="40" t="inlineStr">
        <is>
          <t>Hazardous Material Weight</t>
        </is>
      </c>
      <c r="CL1" s="40" t="inlineStr">
        <is>
          <t>Energy Efficiency Regulations Compliant</t>
        </is>
      </c>
      <c r="CM1" s="40" t="inlineStr">
        <is>
          <t>Safety Listing(s)</t>
        </is>
      </c>
      <c r="CN1" s="40" t="inlineStr">
        <is>
          <t>CPSC - 16 CFR 1263 Compliant (Reese's Law)</t>
        </is>
      </c>
      <c r="CO1" s="40" t="inlineStr">
        <is>
          <t>ISTA Certified</t>
        </is>
      </c>
      <c r="CP1" s="40" t="inlineStr">
        <is>
          <t>Commercial Certifications</t>
        </is>
      </c>
      <c r="CQ1" s="40" t="inlineStr">
        <is>
          <t>Maximum TV Screen Size Accommodated</t>
        </is>
      </c>
      <c r="CR1" s="40" t="inlineStr">
        <is>
          <t>Level of Assembly</t>
        </is>
      </c>
      <c r="CS1" s="40" t="inlineStr">
        <is>
          <t>Additional Tools Required (Not Included)</t>
        </is>
      </c>
      <c r="CT1" s="40" t="inlineStr">
        <is>
          <t>Commercial Warranty Length</t>
        </is>
      </c>
      <c r="CU1" s="40" t="inlineStr">
        <is>
          <t>Full or Limited Warranty</t>
        </is>
      </c>
      <c r="CV1" s="40" t="inlineStr">
        <is>
          <t>Warranty Length</t>
        </is>
      </c>
      <c r="CW1" s="40" t="inlineStr">
        <is>
          <t>Product Type</t>
        </is>
      </c>
      <c r="CX1" s="40" t="inlineStr">
        <is>
          <t>Frame Material</t>
        </is>
      </c>
      <c r="CY1" s="40" t="inlineStr">
        <is>
          <t>Back Construction</t>
        </is>
      </c>
      <c r="CZ1" s="40" t="inlineStr">
        <is>
          <t>Seat Material</t>
        </is>
      </c>
      <c r="DA1" s="40" t="inlineStr">
        <is>
          <t>Upholstery Material</t>
        </is>
      </c>
      <c r="DB1" s="40" t="inlineStr">
        <is>
          <t>Back Material</t>
        </is>
      </c>
      <c r="DC1" s="40" t="inlineStr">
        <is>
          <t>Back Upholstery Material</t>
        </is>
      </c>
      <c r="DD1" s="40" t="inlineStr">
        <is>
          <t>Back Fill Material</t>
        </is>
      </c>
      <c r="DE1" s="40" t="inlineStr">
        <is>
          <t>Purposeful Distressing Type</t>
        </is>
      </c>
      <c r="DF1" s="40" t="inlineStr">
        <is>
          <t>Natural Variation Type</t>
        </is>
      </c>
      <c r="DG1" s="40" t="inlineStr">
        <is>
          <t>Adjustable Armrest Type</t>
        </is>
      </c>
      <c r="DH1" s="40" t="inlineStr">
        <is>
          <t>Compatible Floor Type</t>
        </is>
      </c>
      <c r="DI1" s="40" t="inlineStr">
        <is>
          <t>Supplier Intended and Approved Use</t>
        </is>
      </c>
      <c r="DJ1" s="40" t="inlineStr">
        <is>
          <t>Country of Origin - Additional Details</t>
        </is>
      </c>
      <c r="DK1" s="40" t="inlineStr">
        <is>
          <t>Main Wood Joinery Method</t>
        </is>
      </c>
      <c r="DL1" s="40" t="inlineStr">
        <is>
          <t>Battery Composition</t>
        </is>
      </c>
      <c r="DM1" s="40" t="inlineStr">
        <is>
          <t>Battery Type</t>
        </is>
      </c>
      <c r="DN1" s="40" t="inlineStr">
        <is>
          <t>Number of Batteries</t>
        </is>
      </c>
      <c r="DO1" s="40" t="inlineStr">
        <is>
          <t>Battery Shipment</t>
        </is>
      </c>
      <c r="DP1" s="40" t="inlineStr">
        <is>
          <t>Lithium Content</t>
        </is>
      </c>
      <c r="DQ1" s="40" t="inlineStr">
        <is>
          <t>Watt Rating of Cells / Battery</t>
        </is>
      </c>
      <c r="DR1" s="40" t="inlineStr">
        <is>
          <t>Weight of Cells / Battery</t>
        </is>
      </c>
      <c r="DS1" s="40" t="inlineStr">
        <is>
          <t>Product Care</t>
        </is>
      </c>
      <c r="DT1" s="40" t="inlineStr">
        <is>
          <t>Seat Color</t>
        </is>
      </c>
      <c r="DU1" s="40" t="inlineStr">
        <is>
          <t>Arm Material</t>
        </is>
      </c>
      <c r="DV1" s="40" t="inlineStr">
        <is>
          <t>Upholstery Fill Material</t>
        </is>
      </c>
      <c r="DW1" s="40" t="inlineStr">
        <is>
          <t>Frame Color / Finish</t>
        </is>
      </c>
      <c r="DX1" s="40" t="inlineStr">
        <is>
          <t>Wood Species</t>
        </is>
      </c>
      <c r="DY1" s="40" t="inlineStr">
        <is>
          <t>Arm Type</t>
        </is>
      </c>
      <c r="DZ1" s="40" t="inlineStr">
        <is>
          <t>Durability</t>
        </is>
      </c>
      <c r="EA1" s="40" t="inlineStr">
        <is>
          <t>Tilt Mechanism Type</t>
        </is>
      </c>
      <c r="EB1" s="40" t="inlineStr">
        <is>
          <t>Pieces Included</t>
        </is>
      </c>
      <c r="EC1" s="40" t="inlineStr">
        <is>
          <t>Rub Count</t>
        </is>
      </c>
      <c r="ED1" s="40" t="inlineStr">
        <is>
          <t>CPSC - 16 CFR 1303 Compliant</t>
        </is>
      </c>
      <c r="EE1" s="40" t="inlineStr">
        <is>
          <t>CARB Phase II Compliant (formaldehyde emissions)</t>
        </is>
      </c>
      <c r="EF1" s="40" t="inlineStr">
        <is>
          <t>TSCA Title VI Compliant (formaldehyde emissions)</t>
        </is>
      </c>
      <c r="EG1" s="40" t="inlineStr">
        <is>
          <t>CANFER Compliant</t>
        </is>
      </c>
      <c r="EH1" s="40" t="inlineStr">
        <is>
          <t>CAL TB 116 Compliant</t>
        </is>
      </c>
      <c r="EI1" s="40" t="inlineStr">
        <is>
          <t>CAL TB 117-2013 Compliant</t>
        </is>
      </c>
      <c r="EJ1" s="40" t="inlineStr">
        <is>
          <t>General Certificate of Conformity (GCC)</t>
        </is>
      </c>
      <c r="EK1" s="40" t="inlineStr">
        <is>
          <t>Uniform Packaging and Labeling Regulations (UPLR) Compliant</t>
        </is>
      </c>
      <c r="EL1" s="40" t="inlineStr">
        <is>
          <t>Reason for Restriction</t>
        </is>
      </c>
      <c r="EM1" s="40" t="inlineStr">
        <is>
          <t>Lacey Act Compliant</t>
        </is>
      </c>
      <c r="EN1" s="40" t="inlineStr">
        <is>
          <t>UN or ID number</t>
        </is>
      </c>
      <c r="EO1" s="40" t="inlineStr">
        <is>
          <t>Hazard Class(es)</t>
        </is>
      </c>
      <c r="EP1" s="40" t="inlineStr">
        <is>
          <t>Packing Group</t>
        </is>
      </c>
      <c r="EQ1" s="40" t="inlineStr">
        <is>
          <t>Hazardous Material Weight</t>
        </is>
      </c>
      <c r="ER1" s="40" t="inlineStr">
        <is>
          <t>Energy Efficiency Regulations Compliant</t>
        </is>
      </c>
      <c r="ES1" s="40" t="inlineStr">
        <is>
          <t>SOR/2016-193 - Surface Coating Materials Regulations</t>
        </is>
      </c>
      <c r="ET1" s="40" t="inlineStr">
        <is>
          <t>ISTA Certified</t>
        </is>
      </c>
      <c r="EU1" s="40" t="inlineStr">
        <is>
          <t>California AB-1817 Compliant (CA PFAS)</t>
        </is>
      </c>
      <c r="EV1" s="40" t="inlineStr">
        <is>
          <t>Commercial Certifications</t>
        </is>
      </c>
      <c r="EW1" s="40" t="inlineStr">
        <is>
          <t>Level of Assembly</t>
        </is>
      </c>
      <c r="EX1" s="40" t="inlineStr">
        <is>
          <t>Additional Tools Required (Not Included)</t>
        </is>
      </c>
      <c r="EY1" s="40" t="inlineStr">
        <is>
          <t>Commercial Warranty Length</t>
        </is>
      </c>
      <c r="EZ1" s="40" t="inlineStr">
        <is>
          <t>Full or Limited Warranty</t>
        </is>
      </c>
      <c r="FA1" s="40" t="inlineStr">
        <is>
          <t>Product Type</t>
        </is>
      </c>
      <c r="FB1" s="40" t="inlineStr">
        <is>
          <t>Material</t>
        </is>
      </c>
      <c r="FC1" s="40" t="inlineStr">
        <is>
          <t>Drawer Glide Type &amp; Extension</t>
        </is>
      </c>
      <c r="FD1" s="40" t="inlineStr">
        <is>
          <t>Tipover Restraint Device Included</t>
        </is>
      </c>
      <c r="FE1" s="40" t="inlineStr">
        <is>
          <t>Purposeful Distressing Type</t>
        </is>
      </c>
      <c r="FF1" s="40" t="inlineStr">
        <is>
          <t>Natural Variation Type</t>
        </is>
      </c>
      <c r="FG1" s="40" t="inlineStr">
        <is>
          <t>Supplier Intended and Approved Use</t>
        </is>
      </c>
      <c r="FH1" s="40" t="inlineStr">
        <is>
          <t>Handle Material</t>
        </is>
      </c>
      <c r="FI1" s="40" t="inlineStr">
        <is>
          <t>Country of Origin - Additional Details</t>
        </is>
      </c>
      <c r="FJ1" s="40" t="inlineStr">
        <is>
          <t>Main Wood Joinery Method</t>
        </is>
      </c>
      <c r="FK1" s="40" t="inlineStr">
        <is>
          <t>Wood Species</t>
        </is>
      </c>
      <c r="FL1" s="40" t="inlineStr">
        <is>
          <t>Product Care</t>
        </is>
      </c>
      <c r="FM1" s="40" t="inlineStr">
        <is>
          <t>Color</t>
        </is>
      </c>
      <c r="FN1" s="40" t="inlineStr">
        <is>
          <t>Manufactured Wood Type</t>
        </is>
      </c>
      <c r="FO1" s="40" t="inlineStr">
        <is>
          <t>Pieces Included</t>
        </is>
      </c>
      <c r="FP1" s="40" t="inlineStr">
        <is>
          <t>Consumer Product Safety Improvement Act (CPSIA) Compliant</t>
        </is>
      </c>
      <c r="FQ1" s="40" t="inlineStr">
        <is>
          <t>CPSC - 16 CFR 1303 Compliant</t>
        </is>
      </c>
      <c r="FR1" s="40" t="inlineStr">
        <is>
          <t>Children’s Product Certificate (CPC)</t>
        </is>
      </c>
      <c r="FS1" s="40" t="inlineStr">
        <is>
          <t>General Certificate of Conformity (GCC)</t>
        </is>
      </c>
      <c r="FT1" s="40" t="inlineStr">
        <is>
          <t>CARB Phase II Compliant (formaldehyde emissions)</t>
        </is>
      </c>
      <c r="FU1" s="40" t="inlineStr">
        <is>
          <t>TSCA Title VI Compliant (formaldehyde emissions)</t>
        </is>
      </c>
      <c r="FV1" s="40" t="inlineStr">
        <is>
          <t>CANFER Compliant</t>
        </is>
      </c>
      <c r="FW1" s="40" t="inlineStr">
        <is>
          <t>Uniform Packaging and Labeling Regulations (UPLR) Compliant</t>
        </is>
      </c>
      <c r="FX1" s="40" t="inlineStr">
        <is>
          <t>Reason for Restriction</t>
        </is>
      </c>
      <c r="FY1" s="40" t="inlineStr">
        <is>
          <t>ASTM F2057-23 (STURDY)</t>
        </is>
      </c>
      <c r="FZ1" s="40" t="inlineStr">
        <is>
          <t>ISTA Certified</t>
        </is>
      </c>
      <c r="GA1" s="40" t="inlineStr">
        <is>
          <t>California AB-1817 Compliant (CA PFAS)</t>
        </is>
      </c>
      <c r="GB1" s="40" t="inlineStr">
        <is>
          <t>Commercial Certifications</t>
        </is>
      </c>
      <c r="GC1" s="40" t="inlineStr">
        <is>
          <t>Level of Assembly</t>
        </is>
      </c>
      <c r="GD1" s="40" t="inlineStr">
        <is>
          <t>Additional Tools Required (Not Included)</t>
        </is>
      </c>
      <c r="GE1" s="40" t="inlineStr">
        <is>
          <t>Commercial Warranty Length</t>
        </is>
      </c>
      <c r="GF1" s="40" t="inlineStr">
        <is>
          <t>Full or Limited Warranty</t>
        </is>
      </c>
      <c r="GG1" s="40" t="inlineStr">
        <is>
          <t>Mattress Size</t>
        </is>
      </c>
      <c r="GH1" s="40" t="inlineStr">
        <is>
          <t>Color</t>
        </is>
      </c>
      <c r="GI1" s="40" t="inlineStr">
        <is>
          <t>Bed Design</t>
        </is>
      </c>
      <c r="GJ1" s="40" t="inlineStr">
        <is>
          <t>Bed Frame Material</t>
        </is>
      </c>
      <c r="GK1" s="40" t="inlineStr">
        <is>
          <t>Upholstery Material</t>
        </is>
      </c>
      <c r="GL1" s="40" t="inlineStr">
        <is>
          <t>Faux Leather Type</t>
        </is>
      </c>
      <c r="GM1" s="40" t="inlineStr">
        <is>
          <t>Slat Material</t>
        </is>
      </c>
      <c r="GN1" s="40" t="inlineStr">
        <is>
          <t>Type of Storage Included</t>
        </is>
      </c>
      <c r="GO1" s="40" t="inlineStr">
        <is>
          <t>Natural Variation Type</t>
        </is>
      </c>
      <c r="GP1" s="40" t="inlineStr">
        <is>
          <t>Purposeful Distressing Type</t>
        </is>
      </c>
      <c r="GQ1" s="40" t="inlineStr">
        <is>
          <t>Supplier Intended and Approved Use</t>
        </is>
      </c>
      <c r="GR1" s="40" t="inlineStr">
        <is>
          <t>Country of Origin - Additional Details</t>
        </is>
      </c>
      <c r="GS1" s="40" t="inlineStr">
        <is>
          <t>Main Wood Joinery Method</t>
        </is>
      </c>
      <c r="GT1" s="40" t="inlineStr">
        <is>
          <t>Wood Species</t>
        </is>
      </c>
      <c r="GU1" s="40" t="inlineStr">
        <is>
          <t>Pattern</t>
        </is>
      </c>
      <c r="GV1" s="40" t="inlineStr">
        <is>
          <t>Battery Composition</t>
        </is>
      </c>
      <c r="GW1" s="40" t="inlineStr">
        <is>
          <t>Battery Type</t>
        </is>
      </c>
      <c r="GX1" s="40" t="inlineStr">
        <is>
          <t>Number of Batteries</t>
        </is>
      </c>
      <c r="GY1" s="40" t="inlineStr">
        <is>
          <t>Battery Shipment</t>
        </is>
      </c>
      <c r="GZ1" s="40" t="inlineStr">
        <is>
          <t>Lithium Content</t>
        </is>
      </c>
      <c r="HA1" s="40" t="inlineStr">
        <is>
          <t>Watt Rating of Cells / Battery</t>
        </is>
      </c>
      <c r="HB1" s="40" t="inlineStr">
        <is>
          <t>Weight of Cells / Battery</t>
        </is>
      </c>
      <c r="HC1" s="40" t="inlineStr">
        <is>
          <t>Manufactured Wood Type</t>
        </is>
      </c>
      <c r="HD1" s="40" t="inlineStr">
        <is>
          <t>Leather Type</t>
        </is>
      </c>
      <c r="HE1" s="40" t="inlineStr">
        <is>
          <t>Upholstery Fabric Quality</t>
        </is>
      </c>
      <c r="HF1" s="40" t="inlineStr">
        <is>
          <t>Headboard Shape</t>
        </is>
      </c>
      <c r="HG1" s="40" t="inlineStr">
        <is>
          <t>Additional Technology Features</t>
        </is>
      </c>
      <c r="HH1" s="40" t="inlineStr">
        <is>
          <t>Pieces Included</t>
        </is>
      </c>
      <c r="HI1" s="40" t="inlineStr">
        <is>
          <t>Upholstery Material Performance Brand</t>
        </is>
      </c>
      <c r="HJ1" s="40" t="inlineStr">
        <is>
          <t>CARB Phase II Compliant (formaldehyde emissions)</t>
        </is>
      </c>
      <c r="HK1" s="40" t="inlineStr">
        <is>
          <t>TSCA Title VI Compliant (formaldehyde emissions)</t>
        </is>
      </c>
      <c r="HL1" s="40" t="inlineStr">
        <is>
          <t>CANFER Compliant</t>
        </is>
      </c>
      <c r="HM1" s="40" t="inlineStr">
        <is>
          <t>SOR/2016-183 Compliant</t>
        </is>
      </c>
      <c r="HN1" s="40" t="inlineStr">
        <is>
          <t>CAL TB 116 Compliant</t>
        </is>
      </c>
      <c r="HO1" s="40" t="inlineStr">
        <is>
          <t>CAL TB 117-2013 Compliant</t>
        </is>
      </c>
      <c r="HP1" s="40" t="inlineStr">
        <is>
          <t>Uniform Packaging and Labeling Regulations (UPLR) Compliant</t>
        </is>
      </c>
      <c r="HQ1" s="40" t="inlineStr">
        <is>
          <t>Reason for Restriction</t>
        </is>
      </c>
      <c r="HR1" s="40" t="inlineStr">
        <is>
          <t>Textile Labelling and Advertising Regulations (C.R.C., c. 1551)</t>
        </is>
      </c>
      <c r="HS1" s="40" t="inlineStr">
        <is>
          <t>SOR/2016-194 - Textile Flammability Regulations</t>
        </is>
      </c>
      <c r="HT1" s="40" t="inlineStr">
        <is>
          <t>Children’s Product Certificate (CPC)</t>
        </is>
      </c>
      <c r="HU1" s="40" t="inlineStr">
        <is>
          <t>General Certificate of Conformity (GCC)</t>
        </is>
      </c>
      <c r="HV1" s="40" t="inlineStr">
        <is>
          <t>UN or ID number</t>
        </is>
      </c>
      <c r="HW1" s="40" t="inlineStr">
        <is>
          <t>Hazard Class(es)</t>
        </is>
      </c>
      <c r="HX1" s="40" t="inlineStr">
        <is>
          <t>Packing Group</t>
        </is>
      </c>
      <c r="HY1" s="40" t="inlineStr">
        <is>
          <t>Hazardous Material Weight</t>
        </is>
      </c>
      <c r="HZ1" s="40" t="inlineStr">
        <is>
          <t>CPSC - 16 CFR 1263 Compliant (Reese's Law)</t>
        </is>
      </c>
      <c r="IA1" s="40" t="inlineStr">
        <is>
          <t>ISTA Certified</t>
        </is>
      </c>
      <c r="IB1" s="40" t="inlineStr">
        <is>
          <t>California AB-1817 Compliant (CA PFAS)</t>
        </is>
      </c>
      <c r="IC1" s="40" t="inlineStr">
        <is>
          <t>SOR/2016-193 - Surface Coating Materials Regulations</t>
        </is>
      </c>
      <c r="ID1" s="40" t="inlineStr">
        <is>
          <t>Consumer Product Safety Improvement Act (CPSIA) Compliant</t>
        </is>
      </c>
      <c r="IE1" s="40" t="inlineStr">
        <is>
          <t>CPSC - 16 CFR 1303 Compliant</t>
        </is>
      </c>
      <c r="IF1" s="40" t="inlineStr">
        <is>
          <t>US Mattress Flammability Regulations Compliant</t>
        </is>
      </c>
      <c r="IG1" s="40" t="inlineStr">
        <is>
          <t>Level of Assembly</t>
        </is>
      </c>
      <c r="IH1" s="40" t="inlineStr">
        <is>
          <t>Additional Tools Required (Not Included)</t>
        </is>
      </c>
      <c r="II1" s="40" t="inlineStr">
        <is>
          <t>Commercial Warranty Length</t>
        </is>
      </c>
      <c r="IJ1" s="40" t="inlineStr">
        <is>
          <t>Full or Limited Warranty</t>
        </is>
      </c>
      <c r="IK1" s="40" t="inlineStr">
        <is>
          <t>Warranty Length</t>
        </is>
      </c>
    </row>
    <row r="2">
      <c r="B2" t="inlineStr">
        <is>
          <t>Primary Variant</t>
        </is>
      </c>
      <c r="C2" t="inlineStr">
        <is>
          <t>Color</t>
        </is>
      </c>
      <c r="D2" t="inlineStr">
        <is>
          <t>Color</t>
        </is>
      </c>
      <c r="E2" t="inlineStr">
        <is>
          <t>Frame Color</t>
        </is>
      </c>
      <c r="F2" t="inlineStr">
        <is>
          <t>Size</t>
        </is>
      </c>
      <c r="G2" t="inlineStr">
        <is>
          <t>Color</t>
        </is>
      </c>
      <c r="H2" t="inlineStr">
        <is>
          <t>Small Parcel</t>
        </is>
      </c>
      <c r="I2" t="inlineStr">
        <is>
          <t>50</t>
        </is>
      </c>
      <c r="J2" t="inlineStr">
        <is>
          <t>0</t>
        </is>
      </c>
      <c r="K2" t="inlineStr">
        <is>
          <t>0</t>
        </is>
      </c>
      <c r="L2" t="inlineStr">
        <is>
          <t>A-alpha-C (2-Amino-9H-pyrido[2,3-b]indole)</t>
        </is>
      </c>
      <c r="M2" t="inlineStr">
        <is>
          <t>Cancer</t>
        </is>
      </c>
      <c r="N2" t="inlineStr">
        <is>
          <t>United States</t>
        </is>
      </c>
      <c r="O2" t="inlineStr">
        <is>
          <t>Specifications</t>
        </is>
      </c>
      <c r="P2" t="inlineStr">
        <is>
          <t>AAFA Certified</t>
        </is>
      </c>
      <c r="Q2" t="inlineStr">
        <is>
          <t>US</t>
        </is>
      </c>
      <c r="R2" t="inlineStr">
        <is>
          <t>Arabic</t>
        </is>
      </c>
      <c r="S2" t="inlineStr">
        <is>
          <t>AV Cart</t>
        </is>
      </c>
      <c r="T2" t="inlineStr">
        <is>
          <t>Polycarbonate (PC)</t>
        </is>
      </c>
      <c r="U2" t="inlineStr">
        <is>
          <t>Acacia</t>
        </is>
      </c>
      <c r="V2" t="inlineStr">
        <is>
          <t>Non Residential Use</t>
        </is>
      </c>
      <c r="W2" t="inlineStr">
        <is>
          <t>Made in USA</t>
        </is>
      </c>
      <c r="X2" t="inlineStr">
        <is>
          <t>Cell</t>
        </is>
      </c>
      <c r="Y2" t="inlineStr">
        <is>
          <t>Lithium Metal</t>
        </is>
      </c>
      <c r="Z2" t="inlineStr">
        <is>
          <t>1</t>
        </is>
      </c>
      <c r="AA2" t="inlineStr">
        <is>
          <t>Stand alone</t>
        </is>
      </c>
      <c r="AB2" t="inlineStr">
        <is>
          <t>Cells exceeding 5 grams</t>
        </is>
      </c>
      <c r="AC2" t="inlineStr">
        <is>
          <t>Cells of between 20w/h and 60w/h</t>
        </is>
      </c>
      <c r="AD2" t="inlineStr">
        <is>
          <t>2.5kg or less</t>
        </is>
      </c>
      <c r="AE2" t="inlineStr">
        <is>
          <t>Wheels / Casters</t>
        </is>
      </c>
      <c r="AF2" t="inlineStr">
        <is>
          <t>Free Standing</t>
        </is>
      </c>
      <c r="AG2" t="inlineStr">
        <is>
          <t>Clear</t>
        </is>
      </c>
      <c r="AH2" t="inlineStr">
        <is>
          <t>Laptop</t>
        </is>
      </c>
      <c r="AI2" t="inlineStr">
        <is>
          <t>Drawers</t>
        </is>
      </c>
      <c r="AJ2" t="inlineStr">
        <is>
          <t>Yes</t>
        </is>
      </c>
      <c r="AK2" t="inlineStr">
        <is>
          <t>Yes</t>
        </is>
      </c>
      <c r="AL2" t="inlineStr">
        <is>
          <t>Yes</t>
        </is>
      </c>
      <c r="AM2" t="inlineStr">
        <is>
          <t>Yes</t>
        </is>
      </c>
      <c r="AN2" t="inlineStr">
        <is>
          <t>Yes</t>
        </is>
      </c>
      <c r="AO2" t="inlineStr">
        <is>
          <t>Dual Language</t>
        </is>
      </c>
      <c r="AP2" t="inlineStr">
        <is>
          <t>Yes</t>
        </is>
      </c>
      <c r="AQ2" t="inlineStr">
        <is>
          <t>Yes</t>
        </is>
      </c>
      <c r="AR2" t="inlineStr">
        <is>
          <t>UN3091</t>
        </is>
      </c>
      <c r="AS2" t="inlineStr">
        <is>
          <t>1</t>
        </is>
      </c>
      <c r="AT2" t="inlineStr">
        <is>
          <t>I</t>
        </is>
      </c>
      <c r="AU2" t="inlineStr">
        <is>
          <t>&gt;0 - ≤25ml</t>
        </is>
      </c>
      <c r="AV2" t="inlineStr">
        <is>
          <t>No</t>
        </is>
      </c>
      <c r="AW2" t="inlineStr">
        <is>
          <t>TÜV Rheinland Certified</t>
        </is>
      </c>
      <c r="AX2" t="inlineStr">
        <is>
          <t>1A</t>
        </is>
      </c>
      <c r="AY2" t="inlineStr">
        <is>
          <t>30 Days</t>
        </is>
      </c>
      <c r="AZ2" t="inlineStr">
        <is>
          <t>30 Days</t>
        </is>
      </c>
      <c r="BA2" t="inlineStr">
        <is>
          <t>Entertainment Center</t>
        </is>
      </c>
      <c r="BB2" t="inlineStr">
        <is>
          <t>Cabinet/Enclosed storage</t>
        </is>
      </c>
      <c r="BC2" t="inlineStr">
        <is>
          <t>Glass</t>
        </is>
      </c>
      <c r="BD2" t="inlineStr">
        <is>
          <t>Distressed Leather</t>
        </is>
      </c>
      <c r="BE2" t="inlineStr">
        <is>
          <t>No Natural Variation</t>
        </is>
      </c>
      <c r="BF2" t="inlineStr">
        <is>
          <t>Yes</t>
        </is>
      </c>
      <c r="BG2" t="inlineStr">
        <is>
          <t>Non Residential Use</t>
        </is>
      </c>
      <c r="BH2" t="inlineStr">
        <is>
          <t>Made in USA</t>
        </is>
      </c>
      <c r="BI2" t="inlineStr">
        <is>
          <t>Dovetail</t>
        </is>
      </c>
      <c r="BJ2" t="inlineStr">
        <is>
          <t>Acacia</t>
        </is>
      </c>
      <c r="BK2" t="inlineStr">
        <is>
          <t>Lithium Metal</t>
        </is>
      </c>
      <c r="BL2" t="inlineStr">
        <is>
          <t>Cell</t>
        </is>
      </c>
      <c r="BM2" t="inlineStr">
        <is>
          <t>1</t>
        </is>
      </c>
      <c r="BN2" t="inlineStr">
        <is>
          <t>Stand alone</t>
        </is>
      </c>
      <c r="BO2" t="inlineStr">
        <is>
          <t>Cells exceeding 5 grams</t>
        </is>
      </c>
      <c r="BP2" t="inlineStr">
        <is>
          <t>Cells of between 20w/h and 60w/h</t>
        </is>
      </c>
      <c r="BQ2" t="inlineStr">
        <is>
          <t>2.5kg or less</t>
        </is>
      </c>
      <c r="BR2" t="inlineStr">
        <is>
          <t>Hand wash recommended</t>
        </is>
      </c>
      <c r="BS2" t="inlineStr">
        <is>
          <t>Polyethylene</t>
        </is>
      </c>
      <c r="BT2" t="inlineStr">
        <is>
          <t>Clear</t>
        </is>
      </c>
      <c r="BU2" t="inlineStr">
        <is>
          <t>0.6 Extension</t>
        </is>
      </c>
      <c r="BV2" t="inlineStr">
        <is>
          <t>Direct Vent</t>
        </is>
      </c>
      <c r="BW2" t="inlineStr">
        <is>
          <t>Electric</t>
        </is>
      </c>
      <c r="BX2" t="inlineStr">
        <is>
          <t>Flush</t>
        </is>
      </c>
      <c r="BY2" t="inlineStr">
        <is>
          <t>Drawers</t>
        </is>
      </c>
      <c r="BZ2" t="inlineStr">
        <is>
          <t>Gel</t>
        </is>
      </c>
      <c r="CA2" t="inlineStr">
        <is>
          <t>Yes</t>
        </is>
      </c>
      <c r="CB2" t="inlineStr">
        <is>
          <t>Yes</t>
        </is>
      </c>
      <c r="CC2" t="inlineStr">
        <is>
          <t>Yes</t>
        </is>
      </c>
      <c r="CD2" t="inlineStr">
        <is>
          <t>Yes</t>
        </is>
      </c>
      <c r="CE2" t="inlineStr">
        <is>
          <t>Yes</t>
        </is>
      </c>
      <c r="CF2" t="inlineStr">
        <is>
          <t>Dual Language</t>
        </is>
      </c>
      <c r="CG2" t="inlineStr">
        <is>
          <t>Yes</t>
        </is>
      </c>
      <c r="CH2" t="inlineStr">
        <is>
          <t>UN3091</t>
        </is>
      </c>
      <c r="CI2" t="inlineStr">
        <is>
          <t>1</t>
        </is>
      </c>
      <c r="CJ2" t="inlineStr">
        <is>
          <t>I</t>
        </is>
      </c>
      <c r="CK2" t="inlineStr">
        <is>
          <t>&gt;0 - ≤25ml</t>
        </is>
      </c>
      <c r="CL2" t="inlineStr">
        <is>
          <t>No</t>
        </is>
      </c>
      <c r="CM2" t="inlineStr">
        <is>
          <t>TÜV Rheinland Certified</t>
        </is>
      </c>
      <c r="CN2" t="inlineStr">
        <is>
          <t>No</t>
        </is>
      </c>
      <c r="CO2" t="inlineStr">
        <is>
          <t>1A</t>
        </is>
      </c>
      <c r="CP2" t="inlineStr">
        <is>
          <t>BIFMA Accredited</t>
        </is>
      </c>
      <c r="CQ2" t="inlineStr">
        <is>
          <t>28"</t>
        </is>
      </c>
      <c r="CR2" t="inlineStr">
        <is>
          <t>No Assembly Needed</t>
        </is>
      </c>
      <c r="CS2" t="inlineStr">
        <is>
          <t>All Tools Included</t>
        </is>
      </c>
      <c r="CT2" t="inlineStr">
        <is>
          <t>30 Days</t>
        </is>
      </c>
      <c r="CU2" t="inlineStr">
        <is>
          <t>Full</t>
        </is>
      </c>
      <c r="CV2" t="inlineStr">
        <is>
          <t>30 Days</t>
        </is>
      </c>
      <c r="CW2" t="inlineStr">
        <is>
          <t>Bankers Chair</t>
        </is>
      </c>
      <c r="CX2" t="inlineStr">
        <is>
          <t>Metal</t>
        </is>
      </c>
      <c r="CY2" t="inlineStr">
        <is>
          <t>Mesh</t>
        </is>
      </c>
      <c r="CZ2" t="inlineStr">
        <is>
          <t>Ceramic</t>
        </is>
      </c>
      <c r="DA2" t="inlineStr">
        <is>
          <t>Polyester Blend</t>
        </is>
      </c>
      <c r="DB2" t="inlineStr">
        <is>
          <t>Fabric</t>
        </is>
      </c>
      <c r="DC2" t="inlineStr">
        <is>
          <t>Twill</t>
        </is>
      </c>
      <c r="DD2" t="inlineStr">
        <is>
          <t>Foam</t>
        </is>
      </c>
      <c r="DE2" t="inlineStr">
        <is>
          <t>Distressed Leather</t>
        </is>
      </c>
      <c r="DF2" t="inlineStr">
        <is>
          <t>No Natural Variation</t>
        </is>
      </c>
      <c r="DG2" t="inlineStr">
        <is>
          <t>Up / Down</t>
        </is>
      </c>
      <c r="DH2" t="inlineStr">
        <is>
          <t>Hardwood</t>
        </is>
      </c>
      <c r="DI2" t="inlineStr">
        <is>
          <t>Non Residential Use</t>
        </is>
      </c>
      <c r="DJ2" t="inlineStr">
        <is>
          <t>Made in USA</t>
        </is>
      </c>
      <c r="DK2" t="inlineStr">
        <is>
          <t>Dovetail</t>
        </is>
      </c>
      <c r="DL2" t="inlineStr">
        <is>
          <t>Lithium Metal</t>
        </is>
      </c>
      <c r="DM2" t="inlineStr">
        <is>
          <t>Cell</t>
        </is>
      </c>
      <c r="DN2" t="inlineStr">
        <is>
          <t>1</t>
        </is>
      </c>
      <c r="DO2" t="inlineStr">
        <is>
          <t>Stand alone</t>
        </is>
      </c>
      <c r="DP2" t="inlineStr">
        <is>
          <t>Cells exceeding 5 grams</t>
        </is>
      </c>
      <c r="DQ2" t="inlineStr">
        <is>
          <t>Cells of between 20w/h and 60w/h</t>
        </is>
      </c>
      <c r="DR2" t="inlineStr">
        <is>
          <t>2.5kg or less</t>
        </is>
      </c>
      <c r="DS2" t="inlineStr">
        <is>
          <t>Hand wash recommended</t>
        </is>
      </c>
      <c r="DT2" t="inlineStr">
        <is>
          <t>Cream</t>
        </is>
      </c>
      <c r="DU2" t="inlineStr">
        <is>
          <t>Wood</t>
        </is>
      </c>
      <c r="DV2" t="inlineStr">
        <is>
          <t>Down</t>
        </is>
      </c>
      <c r="DW2" t="inlineStr">
        <is>
          <t>Stainless Steel</t>
        </is>
      </c>
      <c r="DX2" t="inlineStr">
        <is>
          <t>Acacia</t>
        </is>
      </c>
      <c r="DY2" t="inlineStr">
        <is>
          <t>Armless</t>
        </is>
      </c>
      <c r="DZ2" t="inlineStr">
        <is>
          <t>No Durability Features</t>
        </is>
      </c>
      <c r="EA2" t="inlineStr">
        <is>
          <t>Center Tilt</t>
        </is>
      </c>
      <c r="EB2" t="inlineStr">
        <is>
          <t>Headrest</t>
        </is>
      </c>
      <c r="EC2" t="inlineStr">
        <is>
          <t>Less than 3,000</t>
        </is>
      </c>
      <c r="ED2" t="inlineStr">
        <is>
          <t>Yes</t>
        </is>
      </c>
      <c r="EE2" t="inlineStr">
        <is>
          <t>Yes</t>
        </is>
      </c>
      <c r="EF2" t="inlineStr">
        <is>
          <t>Yes</t>
        </is>
      </c>
      <c r="EG2" t="inlineStr">
        <is>
          <t>Yes</t>
        </is>
      </c>
      <c r="EH2" t="inlineStr">
        <is>
          <t>Yes</t>
        </is>
      </c>
      <c r="EI2" t="inlineStr">
        <is>
          <t>Yes</t>
        </is>
      </c>
      <c r="EJ2" t="inlineStr">
        <is>
          <t>Yes</t>
        </is>
      </c>
      <c r="EK2" t="inlineStr">
        <is>
          <t>Yes</t>
        </is>
      </c>
      <c r="EL2" t="inlineStr">
        <is>
          <t>Dual Language</t>
        </is>
      </c>
      <c r="EM2" t="inlineStr">
        <is>
          <t>Yes</t>
        </is>
      </c>
      <c r="EN2" t="inlineStr">
        <is>
          <t>UN3091</t>
        </is>
      </c>
      <c r="EO2" t="inlineStr">
        <is>
          <t>1</t>
        </is>
      </c>
      <c r="EP2" t="inlineStr">
        <is>
          <t>I</t>
        </is>
      </c>
      <c r="EQ2" t="inlineStr">
        <is>
          <t>&gt;0 - ≤25ml</t>
        </is>
      </c>
      <c r="ER2" t="inlineStr">
        <is>
          <t>No</t>
        </is>
      </c>
      <c r="ES2" t="inlineStr">
        <is>
          <t>Yes</t>
        </is>
      </c>
      <c r="ET2" t="inlineStr">
        <is>
          <t>1A</t>
        </is>
      </c>
      <c r="EU2" t="inlineStr">
        <is>
          <t>Yes</t>
        </is>
      </c>
      <c r="EV2" t="inlineStr">
        <is>
          <t>BIFMA Accredited</t>
        </is>
      </c>
      <c r="EW2" t="inlineStr">
        <is>
          <t>No Assembly Needed</t>
        </is>
      </c>
      <c r="EX2" t="inlineStr">
        <is>
          <t>All Tools Included</t>
        </is>
      </c>
      <c r="EY2" t="inlineStr">
        <is>
          <t>30 Days</t>
        </is>
      </c>
      <c r="EZ2" t="inlineStr">
        <is>
          <t>Full</t>
        </is>
      </c>
      <c r="FA2" t="inlineStr">
        <is>
          <t>Combo Dresser</t>
        </is>
      </c>
      <c r="FB2" t="inlineStr">
        <is>
          <t>Glass</t>
        </is>
      </c>
      <c r="FC2" t="inlineStr">
        <is>
          <t>0.6 Extension</t>
        </is>
      </c>
      <c r="FD2" t="inlineStr">
        <is>
          <t>Yes</t>
        </is>
      </c>
      <c r="FE2" t="inlineStr">
        <is>
          <t>Distressed Leather</t>
        </is>
      </c>
      <c r="FF2" t="inlineStr">
        <is>
          <t>No Natural Variation</t>
        </is>
      </c>
      <c r="FG2" t="inlineStr">
        <is>
          <t>Non Residential Use</t>
        </is>
      </c>
      <c r="FH2" t="inlineStr">
        <is>
          <t>Metal</t>
        </is>
      </c>
      <c r="FI2" t="inlineStr">
        <is>
          <t>Made in USA</t>
        </is>
      </c>
      <c r="FJ2" t="inlineStr">
        <is>
          <t>Dovetail</t>
        </is>
      </c>
      <c r="FK2" t="inlineStr">
        <is>
          <t>Acacia</t>
        </is>
      </c>
      <c r="FL2" t="inlineStr">
        <is>
          <t>Hand wash recommended</t>
        </is>
      </c>
      <c r="FM2" t="inlineStr">
        <is>
          <t>Blue</t>
        </is>
      </c>
      <c r="FN2" t="inlineStr">
        <is>
          <t>Particle Board / Chipboard</t>
        </is>
      </c>
      <c r="FO2" t="inlineStr">
        <is>
          <t>Drawers</t>
        </is>
      </c>
      <c r="FP2" t="inlineStr">
        <is>
          <t>No</t>
        </is>
      </c>
      <c r="FQ2" t="inlineStr">
        <is>
          <t>Yes</t>
        </is>
      </c>
      <c r="FR2" t="inlineStr">
        <is>
          <t>Yes</t>
        </is>
      </c>
      <c r="FS2" t="inlineStr">
        <is>
          <t>Yes</t>
        </is>
      </c>
      <c r="FT2" t="inlineStr">
        <is>
          <t>Yes</t>
        </is>
      </c>
      <c r="FU2" t="inlineStr">
        <is>
          <t>Yes</t>
        </is>
      </c>
      <c r="FV2" t="inlineStr">
        <is>
          <t>Yes</t>
        </is>
      </c>
      <c r="FW2" t="inlineStr">
        <is>
          <t>Yes</t>
        </is>
      </c>
      <c r="FX2" t="inlineStr">
        <is>
          <t>Dual Language</t>
        </is>
      </c>
      <c r="FY2" t="inlineStr">
        <is>
          <t>No</t>
        </is>
      </c>
      <c r="FZ2" t="inlineStr">
        <is>
          <t>1A</t>
        </is>
      </c>
      <c r="GA2" t="inlineStr">
        <is>
          <t>Yes</t>
        </is>
      </c>
      <c r="GB2" t="inlineStr">
        <is>
          <t>BIFMA Accredited</t>
        </is>
      </c>
      <c r="GC2" t="inlineStr">
        <is>
          <t>No Assembly Needed</t>
        </is>
      </c>
      <c r="GD2" t="inlineStr">
        <is>
          <t>All Tools Included</t>
        </is>
      </c>
      <c r="GE2" t="inlineStr">
        <is>
          <t>30 Days</t>
        </is>
      </c>
      <c r="GF2" t="inlineStr">
        <is>
          <t>Full</t>
        </is>
      </c>
      <c r="GG2" t="inlineStr">
        <is>
          <t>Twin</t>
        </is>
      </c>
      <c r="GH2" t="inlineStr">
        <is>
          <t>Blue</t>
        </is>
      </c>
      <c r="GI2" t="inlineStr">
        <is>
          <t>Standard</t>
        </is>
      </c>
      <c r="GJ2" t="inlineStr">
        <is>
          <t>Wicker / Rattan</t>
        </is>
      </c>
      <c r="GK2" t="inlineStr">
        <is>
          <t>Polyester Blend</t>
        </is>
      </c>
      <c r="GL2" t="inlineStr">
        <is>
          <t>Bonded Leather</t>
        </is>
      </c>
      <c r="GM2" t="inlineStr">
        <is>
          <t>Manufactured Wood</t>
        </is>
      </c>
      <c r="GN2" t="inlineStr">
        <is>
          <t>Cabinet</t>
        </is>
      </c>
      <c r="GO2" t="inlineStr">
        <is>
          <t>No Natural Variation</t>
        </is>
      </c>
      <c r="GP2" t="inlineStr">
        <is>
          <t>Distressed Leather</t>
        </is>
      </c>
      <c r="GQ2" t="inlineStr">
        <is>
          <t>Non Residential Use</t>
        </is>
      </c>
      <c r="GR2" t="inlineStr">
        <is>
          <t>Made in USA</t>
        </is>
      </c>
      <c r="GS2" t="inlineStr">
        <is>
          <t>Dovetail</t>
        </is>
      </c>
      <c r="GT2" t="inlineStr">
        <is>
          <t>Acacia</t>
        </is>
      </c>
      <c r="GU2" t="inlineStr">
        <is>
          <t>Striped</t>
        </is>
      </c>
      <c r="GV2" t="inlineStr">
        <is>
          <t>Lithium Metal</t>
        </is>
      </c>
      <c r="GW2" t="inlineStr">
        <is>
          <t>Cell</t>
        </is>
      </c>
      <c r="GX2" t="inlineStr">
        <is>
          <t>1</t>
        </is>
      </c>
      <c r="GY2" t="inlineStr">
        <is>
          <t>Stand alone</t>
        </is>
      </c>
      <c r="GZ2" t="inlineStr">
        <is>
          <t>Cells exceeding 5 grams</t>
        </is>
      </c>
      <c r="HA2" t="inlineStr">
        <is>
          <t>Cells of between 20w/h and 60w/h</t>
        </is>
      </c>
      <c r="HB2" t="inlineStr">
        <is>
          <t>2.5kg or less</t>
        </is>
      </c>
      <c r="HC2" t="inlineStr">
        <is>
          <t>Particle Board / Chipboard</t>
        </is>
      </c>
      <c r="HD2" t="inlineStr">
        <is>
          <t>Suede</t>
        </is>
      </c>
      <c r="HE2" t="inlineStr">
        <is>
          <t>Chenille</t>
        </is>
      </c>
      <c r="HF2" t="inlineStr">
        <is>
          <t>Beveled</t>
        </is>
      </c>
      <c r="HG2" t="inlineStr">
        <is>
          <t>Built In Outlet (AC)</t>
        </is>
      </c>
      <c r="HH2" t="inlineStr">
        <is>
          <t>Box Spring</t>
        </is>
      </c>
      <c r="HI2" t="inlineStr">
        <is>
          <t>InsideOut®</t>
        </is>
      </c>
      <c r="HJ2" t="inlineStr">
        <is>
          <t>Yes</t>
        </is>
      </c>
      <c r="HK2" t="inlineStr">
        <is>
          <t>Yes</t>
        </is>
      </c>
      <c r="HL2" t="inlineStr">
        <is>
          <t>Yes</t>
        </is>
      </c>
      <c r="HM2" t="inlineStr">
        <is>
          <t>Yes</t>
        </is>
      </c>
      <c r="HN2" t="inlineStr">
        <is>
          <t>Yes</t>
        </is>
      </c>
      <c r="HO2" t="inlineStr">
        <is>
          <t>Yes</t>
        </is>
      </c>
      <c r="HP2" t="inlineStr">
        <is>
          <t>Yes</t>
        </is>
      </c>
      <c r="HQ2" t="inlineStr">
        <is>
          <t>Dual Language</t>
        </is>
      </c>
      <c r="HR2" t="inlineStr">
        <is>
          <t>Yes</t>
        </is>
      </c>
      <c r="HS2" t="inlineStr">
        <is>
          <t>Yes</t>
        </is>
      </c>
      <c r="HT2" t="inlineStr">
        <is>
          <t>Yes</t>
        </is>
      </c>
      <c r="HU2" t="inlineStr">
        <is>
          <t>Yes</t>
        </is>
      </c>
      <c r="HV2" t="inlineStr">
        <is>
          <t>UN3091</t>
        </is>
      </c>
      <c r="HW2" t="inlineStr">
        <is>
          <t>1</t>
        </is>
      </c>
      <c r="HX2" t="inlineStr">
        <is>
          <t>I</t>
        </is>
      </c>
      <c r="HY2" t="inlineStr">
        <is>
          <t>&gt;0 - ≤25ml</t>
        </is>
      </c>
      <c r="HZ2" t="inlineStr">
        <is>
          <t>No</t>
        </is>
      </c>
      <c r="IA2" t="inlineStr">
        <is>
          <t>1A</t>
        </is>
      </c>
      <c r="IB2" t="inlineStr">
        <is>
          <t>Yes</t>
        </is>
      </c>
      <c r="IC2" t="inlineStr">
        <is>
          <t>Yes</t>
        </is>
      </c>
      <c r="ID2" t="inlineStr">
        <is>
          <t>No</t>
        </is>
      </c>
      <c r="IE2" t="inlineStr">
        <is>
          <t>Yes</t>
        </is>
      </c>
      <c r="IF2" t="inlineStr">
        <is>
          <t>Yes</t>
        </is>
      </c>
      <c r="IG2" t="inlineStr">
        <is>
          <t>No Assembly Needed</t>
        </is>
      </c>
      <c r="IH2" t="inlineStr">
        <is>
          <t>All Tools Included</t>
        </is>
      </c>
      <c r="II2" t="inlineStr">
        <is>
          <t>30 Days</t>
        </is>
      </c>
      <c r="IJ2" t="inlineStr">
        <is>
          <t>Full</t>
        </is>
      </c>
      <c r="IK2" t="inlineStr">
        <is>
          <t>30 Days</t>
        </is>
      </c>
    </row>
    <row r="3">
      <c r="B3" t="inlineStr">
        <is>
          <t>Non-Primary Variant</t>
        </is>
      </c>
      <c r="C3" t="inlineStr">
        <is>
          <t>Finish</t>
        </is>
      </c>
      <c r="D3" t="inlineStr">
        <is>
          <t>Material</t>
        </is>
      </c>
      <c r="E3" t="inlineStr">
        <is>
          <t>Upholstery Color</t>
        </is>
      </c>
      <c r="F3" t="inlineStr">
        <is>
          <t>Color</t>
        </is>
      </c>
      <c r="H3" t="inlineStr">
        <is>
          <t>LTL</t>
        </is>
      </c>
      <c r="I3" t="inlineStr">
        <is>
          <t>55</t>
        </is>
      </c>
      <c r="J3" t="inlineStr">
        <is>
          <t>24</t>
        </is>
      </c>
      <c r="K3" t="inlineStr">
        <is>
          <t>24</t>
        </is>
      </c>
      <c r="L3" t="inlineStr">
        <is>
          <t>Abiraterone acetate</t>
        </is>
      </c>
      <c r="M3" t="inlineStr">
        <is>
          <t>Developmental</t>
        </is>
      </c>
      <c r="N3" t="inlineStr">
        <is>
          <t>Canada</t>
        </is>
      </c>
      <c r="O3" t="inlineStr">
        <is>
          <t>Installation &amp; Assembly</t>
        </is>
      </c>
      <c r="P3" t="inlineStr">
        <is>
          <t>AATCC 116 Grade</t>
        </is>
      </c>
      <c r="Q3" t="inlineStr">
        <is>
          <t>UK</t>
        </is>
      </c>
      <c r="R3" t="inlineStr">
        <is>
          <t>Bulgarian</t>
        </is>
      </c>
      <c r="S3" t="inlineStr">
        <is>
          <t>Book Cart</t>
        </is>
      </c>
      <c r="T3" t="inlineStr">
        <is>
          <t>Polyethylene Plastic</t>
        </is>
      </c>
      <c r="U3" t="inlineStr">
        <is>
          <t>Alder</t>
        </is>
      </c>
      <c r="V3" t="inlineStr">
        <is>
          <t>Residential Use</t>
        </is>
      </c>
      <c r="W3" t="inlineStr">
        <is>
          <t>Made in USA of Imported Materials</t>
        </is>
      </c>
      <c r="X3" t="inlineStr">
        <is>
          <t>Battery</t>
        </is>
      </c>
      <c r="Y3" t="inlineStr">
        <is>
          <t>Lithium Ion / Lithium Polymer</t>
        </is>
      </c>
      <c r="Z3" t="inlineStr">
        <is>
          <t>2</t>
        </is>
      </c>
      <c r="AA3" t="inlineStr">
        <is>
          <t>Contained in product</t>
        </is>
      </c>
      <c r="AB3" t="inlineStr">
        <is>
          <t>Batteries of 2 grams or less</t>
        </is>
      </c>
      <c r="AC3" t="inlineStr">
        <is>
          <t>Cells exceeding 60w/h</t>
        </is>
      </c>
      <c r="AD3" t="inlineStr">
        <is>
          <t>2.5kg to 5kg</t>
        </is>
      </c>
      <c r="AE3" t="inlineStr">
        <is>
          <t>Seat Cushion</t>
        </is>
      </c>
      <c r="AF3" t="inlineStr">
        <is>
          <t>Fixed</t>
        </is>
      </c>
      <c r="AG3" t="inlineStr">
        <is>
          <t>Cream</t>
        </is>
      </c>
      <c r="AH3" t="inlineStr">
        <is>
          <t>Projector</t>
        </is>
      </c>
      <c r="AI3" t="inlineStr">
        <is>
          <t>Legs</t>
        </is>
      </c>
      <c r="AJ3" t="inlineStr">
        <is>
          <t>No</t>
        </is>
      </c>
      <c r="AK3" t="inlineStr">
        <is>
          <t>No</t>
        </is>
      </c>
      <c r="AL3" t="inlineStr">
        <is>
          <t>No</t>
        </is>
      </c>
      <c r="AM3" t="inlineStr">
        <is>
          <t>No</t>
        </is>
      </c>
      <c r="AN3" t="inlineStr">
        <is>
          <t>No</t>
        </is>
      </c>
      <c r="AO3" t="inlineStr">
        <is>
          <t>Distribution Conflict</t>
        </is>
      </c>
      <c r="AP3" t="inlineStr">
        <is>
          <t>No</t>
        </is>
      </c>
      <c r="AQ3" t="inlineStr">
        <is>
          <t>No</t>
        </is>
      </c>
      <c r="AR3" t="inlineStr">
        <is>
          <t>UN3481</t>
        </is>
      </c>
      <c r="AS3" t="inlineStr">
        <is>
          <t>2.2</t>
        </is>
      </c>
      <c r="AT3" t="inlineStr">
        <is>
          <t>III</t>
        </is>
      </c>
      <c r="AU3" t="inlineStr">
        <is>
          <t>&gt;1L - ≤5L</t>
        </is>
      </c>
      <c r="AV3" t="inlineStr">
        <is>
          <t>Yes</t>
        </is>
      </c>
      <c r="AW3" t="inlineStr">
        <is>
          <t>MET Listed</t>
        </is>
      </c>
      <c r="AX3" t="inlineStr">
        <is>
          <t>3A or 6A</t>
        </is>
      </c>
      <c r="AY3" t="inlineStr">
        <is>
          <t>60 Days</t>
        </is>
      </c>
      <c r="AZ3" t="inlineStr">
        <is>
          <t>60 Days</t>
        </is>
      </c>
      <c r="BA3" t="inlineStr">
        <is>
          <t>TV Stand</t>
        </is>
      </c>
      <c r="BB3" t="inlineStr">
        <is>
          <t>TV Stand Fireplace</t>
        </is>
      </c>
      <c r="BC3" t="inlineStr">
        <is>
          <t>Stainless Steel</t>
        </is>
      </c>
      <c r="BD3" t="inlineStr">
        <is>
          <t>Paint Distressing</t>
        </is>
      </c>
      <c r="BE3" t="inlineStr">
        <is>
          <t>Natural Wood Grain Color Variation</t>
        </is>
      </c>
      <c r="BF3" t="inlineStr">
        <is>
          <t>No</t>
        </is>
      </c>
      <c r="BG3" t="inlineStr">
        <is>
          <t>Residential Use</t>
        </is>
      </c>
      <c r="BH3" t="inlineStr">
        <is>
          <t>Made in USA of Imported Materials</t>
        </is>
      </c>
      <c r="BI3" t="inlineStr">
        <is>
          <t>Mortise and Tenon</t>
        </is>
      </c>
      <c r="BJ3" t="inlineStr">
        <is>
          <t>Alder</t>
        </is>
      </c>
      <c r="BK3" t="inlineStr">
        <is>
          <t>Lithium Ion / Lithium Polymer</t>
        </is>
      </c>
      <c r="BL3" t="inlineStr">
        <is>
          <t>Battery</t>
        </is>
      </c>
      <c r="BM3" t="inlineStr">
        <is>
          <t>2</t>
        </is>
      </c>
      <c r="BN3" t="inlineStr">
        <is>
          <t>Contained in product</t>
        </is>
      </c>
      <c r="BO3" t="inlineStr">
        <is>
          <t>Batteries of 2 grams or less</t>
        </is>
      </c>
      <c r="BP3" t="inlineStr">
        <is>
          <t>Cells exceeding 60w/h</t>
        </is>
      </c>
      <c r="BQ3" t="inlineStr">
        <is>
          <t>2.5kg to 5kg</t>
        </is>
      </c>
      <c r="BR3" t="inlineStr">
        <is>
          <t>Dishwasher safe</t>
        </is>
      </c>
      <c r="BS3" t="inlineStr">
        <is>
          <t>Steel</t>
        </is>
      </c>
      <c r="BT3" t="inlineStr">
        <is>
          <t>Cream</t>
        </is>
      </c>
      <c r="BU3" t="inlineStr">
        <is>
          <t>Ball Bearing</t>
        </is>
      </c>
      <c r="BV3" t="inlineStr">
        <is>
          <t>Natural Vent</t>
        </is>
      </c>
      <c r="BW3" t="inlineStr">
        <is>
          <t>Dual Fuel</t>
        </is>
      </c>
      <c r="BX3" t="inlineStr">
        <is>
          <t>Glass</t>
        </is>
      </c>
      <c r="BY3" t="inlineStr">
        <is>
          <t>Fireplace</t>
        </is>
      </c>
      <c r="BZ3" t="inlineStr">
        <is>
          <t>Gas</t>
        </is>
      </c>
      <c r="CA3" t="inlineStr">
        <is>
          <t>No</t>
        </is>
      </c>
      <c r="CB3" t="inlineStr">
        <is>
          <t>No</t>
        </is>
      </c>
      <c r="CC3" t="inlineStr">
        <is>
          <t>No</t>
        </is>
      </c>
      <c r="CD3" t="inlineStr">
        <is>
          <t>No</t>
        </is>
      </c>
      <c r="CE3" t="inlineStr">
        <is>
          <t>No</t>
        </is>
      </c>
      <c r="CF3" t="inlineStr">
        <is>
          <t>Distribution Conflict</t>
        </is>
      </c>
      <c r="CG3" t="inlineStr">
        <is>
          <t>No</t>
        </is>
      </c>
      <c r="CH3" t="inlineStr">
        <is>
          <t>UN3481</t>
        </is>
      </c>
      <c r="CI3" t="inlineStr">
        <is>
          <t>2.2</t>
        </is>
      </c>
      <c r="CJ3" t="inlineStr">
        <is>
          <t>III</t>
        </is>
      </c>
      <c r="CK3" t="inlineStr">
        <is>
          <t>&gt;1L - ≤5L</t>
        </is>
      </c>
      <c r="CL3" t="inlineStr">
        <is>
          <t>Yes</t>
        </is>
      </c>
      <c r="CM3" t="inlineStr">
        <is>
          <t>MET Listed</t>
        </is>
      </c>
      <c r="CN3" t="inlineStr">
        <is>
          <t>Yes</t>
        </is>
      </c>
      <c r="CO3" t="inlineStr">
        <is>
          <t>3A or 6A</t>
        </is>
      </c>
      <c r="CP3" t="inlineStr">
        <is>
          <t>BIFMA Equivalent</t>
        </is>
      </c>
      <c r="CQ3" t="inlineStr">
        <is>
          <t>24"</t>
        </is>
      </c>
      <c r="CR3" t="inlineStr">
        <is>
          <t>Minimal Assembly Needed</t>
        </is>
      </c>
      <c r="CS3" t="inlineStr">
        <is>
          <t>Tool Free Assembly</t>
        </is>
      </c>
      <c r="CT3" t="inlineStr">
        <is>
          <t>60 Days</t>
        </is>
      </c>
      <c r="CU3" t="inlineStr">
        <is>
          <t>Limited</t>
        </is>
      </c>
      <c r="CV3" t="inlineStr">
        <is>
          <t>60 Days</t>
        </is>
      </c>
      <c r="CW3" t="inlineStr">
        <is>
          <t>Conference Chair</t>
        </is>
      </c>
      <c r="CX3" t="inlineStr">
        <is>
          <t>Aluminum</t>
        </is>
      </c>
      <c r="CY3" t="inlineStr">
        <is>
          <t>Bungee</t>
        </is>
      </c>
      <c r="CZ3" t="inlineStr">
        <is>
          <t>Plastic</t>
        </is>
      </c>
      <c r="DA3" t="inlineStr">
        <is>
          <t>Polyurethane</t>
        </is>
      </c>
      <c r="DB3" t="inlineStr">
        <is>
          <t>Solid Wood</t>
        </is>
      </c>
      <c r="DC3" t="inlineStr">
        <is>
          <t>Fabric</t>
        </is>
      </c>
      <c r="DD3" t="inlineStr">
        <is>
          <t>Cotton</t>
        </is>
      </c>
      <c r="DE3" t="inlineStr">
        <is>
          <t>Paint Distressing</t>
        </is>
      </c>
      <c r="DF3" t="inlineStr">
        <is>
          <t>Natural Wood Grain Color Variation</t>
        </is>
      </c>
      <c r="DG3" t="inlineStr">
        <is>
          <t>Pivot</t>
        </is>
      </c>
      <c r="DH3" t="inlineStr">
        <is>
          <t>Carpet</t>
        </is>
      </c>
      <c r="DI3" t="inlineStr">
        <is>
          <t>Residential Use</t>
        </is>
      </c>
      <c r="DJ3" t="inlineStr">
        <is>
          <t>Made in USA of Imported Materials</t>
        </is>
      </c>
      <c r="DK3" t="inlineStr">
        <is>
          <t>Mortise and Tenon</t>
        </is>
      </c>
      <c r="DL3" t="inlineStr">
        <is>
          <t>Lithium Ion / Lithium Polymer</t>
        </is>
      </c>
      <c r="DM3" t="inlineStr">
        <is>
          <t>Battery</t>
        </is>
      </c>
      <c r="DN3" t="inlineStr">
        <is>
          <t>2</t>
        </is>
      </c>
      <c r="DO3" t="inlineStr">
        <is>
          <t>Contained in product</t>
        </is>
      </c>
      <c r="DP3" t="inlineStr">
        <is>
          <t>Batteries of 2 grams or less</t>
        </is>
      </c>
      <c r="DQ3" t="inlineStr">
        <is>
          <t>Cells exceeding 60w/h</t>
        </is>
      </c>
      <c r="DR3" t="inlineStr">
        <is>
          <t>2.5kg to 5kg</t>
        </is>
      </c>
      <c r="DS3" t="inlineStr">
        <is>
          <t>Dishwasher safe</t>
        </is>
      </c>
      <c r="DT3" t="inlineStr">
        <is>
          <t>Green</t>
        </is>
      </c>
      <c r="DU3" t="inlineStr">
        <is>
          <t>Manufactured Wood</t>
        </is>
      </c>
      <c r="DV3" t="inlineStr">
        <is>
          <t>Feather</t>
        </is>
      </c>
      <c r="DW3" t="inlineStr">
        <is>
          <t>White</t>
        </is>
      </c>
      <c r="DX3" t="inlineStr">
        <is>
          <t>Alder</t>
        </is>
      </c>
      <c r="DY3" t="inlineStr">
        <is>
          <t>Tuxedo Arms</t>
        </is>
      </c>
      <c r="DZ3" t="inlineStr">
        <is>
          <t>Fire Resistant</t>
        </is>
      </c>
      <c r="EA3" t="inlineStr">
        <is>
          <t>Auto Tilt</t>
        </is>
      </c>
      <c r="EB3" t="inlineStr">
        <is>
          <t>Pillow</t>
        </is>
      </c>
      <c r="EC3" t="inlineStr">
        <is>
          <t>3,000-9,000</t>
        </is>
      </c>
      <c r="ED3" t="inlineStr">
        <is>
          <t>No</t>
        </is>
      </c>
      <c r="EE3" t="inlineStr">
        <is>
          <t>No</t>
        </is>
      </c>
      <c r="EF3" t="inlineStr">
        <is>
          <t>No</t>
        </is>
      </c>
      <c r="EG3" t="inlineStr">
        <is>
          <t>No</t>
        </is>
      </c>
      <c r="EH3" t="inlineStr">
        <is>
          <t>No</t>
        </is>
      </c>
      <c r="EI3" t="inlineStr">
        <is>
          <t>No</t>
        </is>
      </c>
      <c r="EJ3" t="inlineStr">
        <is>
          <t>No</t>
        </is>
      </c>
      <c r="EK3" t="inlineStr">
        <is>
          <t>No</t>
        </is>
      </c>
      <c r="EL3" t="inlineStr">
        <is>
          <t>Distribution Conflict</t>
        </is>
      </c>
      <c r="EM3" t="inlineStr">
        <is>
          <t>No</t>
        </is>
      </c>
      <c r="EN3" t="inlineStr">
        <is>
          <t>UN3481</t>
        </is>
      </c>
      <c r="EO3" t="inlineStr">
        <is>
          <t>2.2</t>
        </is>
      </c>
      <c r="EP3" t="inlineStr">
        <is>
          <t>III</t>
        </is>
      </c>
      <c r="EQ3" t="inlineStr">
        <is>
          <t>&gt;1L - ≤5L</t>
        </is>
      </c>
      <c r="ER3" t="inlineStr">
        <is>
          <t>Yes</t>
        </is>
      </c>
      <c r="ES3" t="inlineStr">
        <is>
          <t>No</t>
        </is>
      </c>
      <c r="ET3" t="inlineStr">
        <is>
          <t>3A or 6A</t>
        </is>
      </c>
      <c r="EU3" t="inlineStr">
        <is>
          <t>No</t>
        </is>
      </c>
      <c r="EV3" t="inlineStr">
        <is>
          <t>BIFMA Equivalent</t>
        </is>
      </c>
      <c r="EW3" t="inlineStr">
        <is>
          <t>Minimal Assembly Needed</t>
        </is>
      </c>
      <c r="EX3" t="inlineStr">
        <is>
          <t>Tool Free Assembly</t>
        </is>
      </c>
      <c r="EY3" t="inlineStr">
        <is>
          <t>60 Days</t>
        </is>
      </c>
      <c r="EZ3" t="inlineStr">
        <is>
          <t>Limited</t>
        </is>
      </c>
      <c r="FA3" t="inlineStr">
        <is>
          <t>Double Dresser</t>
        </is>
      </c>
      <c r="FB3" t="inlineStr">
        <is>
          <t>Stainless Steel</t>
        </is>
      </c>
      <c r="FC3" t="inlineStr">
        <is>
          <t>Ball Bearing</t>
        </is>
      </c>
      <c r="FD3" t="inlineStr">
        <is>
          <t>No</t>
        </is>
      </c>
      <c r="FE3" t="inlineStr">
        <is>
          <t>Paint Distressing</t>
        </is>
      </c>
      <c r="FF3" t="inlineStr">
        <is>
          <t>Natural Wood Grain Color Variation</t>
        </is>
      </c>
      <c r="FG3" t="inlineStr">
        <is>
          <t>Residential Use</t>
        </is>
      </c>
      <c r="FH3" t="inlineStr">
        <is>
          <t>Ceramic</t>
        </is>
      </c>
      <c r="FI3" t="inlineStr">
        <is>
          <t>Made in USA of Imported Materials</t>
        </is>
      </c>
      <c r="FJ3" t="inlineStr">
        <is>
          <t>Mortise and Tenon</t>
        </is>
      </c>
      <c r="FK3" t="inlineStr">
        <is>
          <t>Alder</t>
        </is>
      </c>
      <c r="FL3" t="inlineStr">
        <is>
          <t>Dishwasher safe</t>
        </is>
      </c>
      <c r="FM3" t="inlineStr">
        <is>
          <t>Black</t>
        </is>
      </c>
      <c r="FN3" t="inlineStr">
        <is>
          <t>MDF</t>
        </is>
      </c>
      <c r="FO3" t="inlineStr">
        <is>
          <t>Hutch</t>
        </is>
      </c>
      <c r="FP3" t="inlineStr">
        <is>
          <t>Yes</t>
        </is>
      </c>
      <c r="FQ3" t="inlineStr">
        <is>
          <t>No</t>
        </is>
      </c>
      <c r="FR3" t="inlineStr">
        <is>
          <t>No</t>
        </is>
      </c>
      <c r="FS3" t="inlineStr">
        <is>
          <t>No</t>
        </is>
      </c>
      <c r="FT3" t="inlineStr">
        <is>
          <t>No</t>
        </is>
      </c>
      <c r="FU3" t="inlineStr">
        <is>
          <t>No</t>
        </is>
      </c>
      <c r="FV3" t="inlineStr">
        <is>
          <t>No</t>
        </is>
      </c>
      <c r="FW3" t="inlineStr">
        <is>
          <t>No</t>
        </is>
      </c>
      <c r="FX3" t="inlineStr">
        <is>
          <t>Distribution Conflict</t>
        </is>
      </c>
      <c r="FY3" t="inlineStr">
        <is>
          <t>Yes</t>
        </is>
      </c>
      <c r="FZ3" t="inlineStr">
        <is>
          <t>3A or 6A</t>
        </is>
      </c>
      <c r="GA3" t="inlineStr">
        <is>
          <t>No</t>
        </is>
      </c>
      <c r="GB3" t="inlineStr">
        <is>
          <t>BIFMA Equivalent</t>
        </is>
      </c>
      <c r="GC3" t="inlineStr">
        <is>
          <t>Minimal Assembly Needed</t>
        </is>
      </c>
      <c r="GD3" t="inlineStr">
        <is>
          <t>Tool Free Assembly</t>
        </is>
      </c>
      <c r="GE3" t="inlineStr">
        <is>
          <t>60 Days</t>
        </is>
      </c>
      <c r="GF3" t="inlineStr">
        <is>
          <t>Limited</t>
        </is>
      </c>
      <c r="GG3" t="inlineStr">
        <is>
          <t>Extra-long Twin</t>
        </is>
      </c>
      <c r="GH3" t="inlineStr">
        <is>
          <t>Black</t>
        </is>
      </c>
      <c r="GI3" t="inlineStr">
        <is>
          <t>Canopy</t>
        </is>
      </c>
      <c r="GJ3" t="inlineStr">
        <is>
          <t>Stainless Steel</t>
        </is>
      </c>
      <c r="GK3" t="inlineStr">
        <is>
          <t>Polyurethane</t>
        </is>
      </c>
      <c r="GL3" t="inlineStr">
        <is>
          <t>PU</t>
        </is>
      </c>
      <c r="GM3" t="inlineStr">
        <is>
          <t>Wood</t>
        </is>
      </c>
      <c r="GN3" t="inlineStr">
        <is>
          <t>Footboard Storage</t>
        </is>
      </c>
      <c r="GO3" t="inlineStr">
        <is>
          <t>Natural Wood Grain Color Variation</t>
        </is>
      </c>
      <c r="GP3" t="inlineStr">
        <is>
          <t>Paint Distressing</t>
        </is>
      </c>
      <c r="GQ3" t="inlineStr">
        <is>
          <t>Residential Use</t>
        </is>
      </c>
      <c r="GR3" t="inlineStr">
        <is>
          <t>Made in USA of Imported Materials</t>
        </is>
      </c>
      <c r="GS3" t="inlineStr">
        <is>
          <t>Mortise and Tenon</t>
        </is>
      </c>
      <c r="GT3" t="inlineStr">
        <is>
          <t>Alder</t>
        </is>
      </c>
      <c r="GU3" t="inlineStr">
        <is>
          <t>Plaid</t>
        </is>
      </c>
      <c r="GV3" t="inlineStr">
        <is>
          <t>Lithium Ion / Lithium Polymer</t>
        </is>
      </c>
      <c r="GW3" t="inlineStr">
        <is>
          <t>Battery</t>
        </is>
      </c>
      <c r="GX3" t="inlineStr">
        <is>
          <t>2</t>
        </is>
      </c>
      <c r="GY3" t="inlineStr">
        <is>
          <t>Contained in product</t>
        </is>
      </c>
      <c r="GZ3" t="inlineStr">
        <is>
          <t>Batteries of 2 grams or less</t>
        </is>
      </c>
      <c r="HA3" t="inlineStr">
        <is>
          <t>Cells exceeding 60w/h</t>
        </is>
      </c>
      <c r="HB3" t="inlineStr">
        <is>
          <t>2.5kg to 5kg</t>
        </is>
      </c>
      <c r="HC3" t="inlineStr">
        <is>
          <t>MDF</t>
        </is>
      </c>
      <c r="HD3" t="inlineStr">
        <is>
          <t>Leather Match</t>
        </is>
      </c>
      <c r="HE3" t="inlineStr">
        <is>
          <t>Velvet</t>
        </is>
      </c>
      <c r="HF3" t="inlineStr">
        <is>
          <t>Arched</t>
        </is>
      </c>
      <c r="HG3" t="inlineStr">
        <is>
          <t>Built in USB-C Port</t>
        </is>
      </c>
      <c r="HH3" t="inlineStr">
        <is>
          <t>Drawers</t>
        </is>
      </c>
      <c r="HI3" t="inlineStr">
        <is>
          <t>Sustain®</t>
        </is>
      </c>
      <c r="HJ3" t="inlineStr">
        <is>
          <t>No</t>
        </is>
      </c>
      <c r="HK3" t="inlineStr">
        <is>
          <t>No</t>
        </is>
      </c>
      <c r="HL3" t="inlineStr">
        <is>
          <t>No</t>
        </is>
      </c>
      <c r="HM3" t="inlineStr">
        <is>
          <t>No</t>
        </is>
      </c>
      <c r="HN3" t="inlineStr">
        <is>
          <t>No</t>
        </is>
      </c>
      <c r="HO3" t="inlineStr">
        <is>
          <t>No</t>
        </is>
      </c>
      <c r="HP3" t="inlineStr">
        <is>
          <t>No</t>
        </is>
      </c>
      <c r="HQ3" t="inlineStr">
        <is>
          <t>Distribution Conflict</t>
        </is>
      </c>
      <c r="HR3" t="inlineStr">
        <is>
          <t>No</t>
        </is>
      </c>
      <c r="HS3" t="inlineStr">
        <is>
          <t>No</t>
        </is>
      </c>
      <c r="HT3" t="inlineStr">
        <is>
          <t>No</t>
        </is>
      </c>
      <c r="HU3" t="inlineStr">
        <is>
          <t>No</t>
        </is>
      </c>
      <c r="HV3" t="inlineStr">
        <is>
          <t>UN3481</t>
        </is>
      </c>
      <c r="HW3" t="inlineStr">
        <is>
          <t>2.2</t>
        </is>
      </c>
      <c r="HX3" t="inlineStr">
        <is>
          <t>III</t>
        </is>
      </c>
      <c r="HY3" t="inlineStr">
        <is>
          <t>&gt;1L - ≤5L</t>
        </is>
      </c>
      <c r="HZ3" t="inlineStr">
        <is>
          <t>Yes</t>
        </is>
      </c>
      <c r="IA3" t="inlineStr">
        <is>
          <t>3A or 6A</t>
        </is>
      </c>
      <c r="IB3" t="inlineStr">
        <is>
          <t>No</t>
        </is>
      </c>
      <c r="IC3" t="inlineStr">
        <is>
          <t>No</t>
        </is>
      </c>
      <c r="ID3" t="inlineStr">
        <is>
          <t>Yes</t>
        </is>
      </c>
      <c r="IE3" t="inlineStr">
        <is>
          <t>No</t>
        </is>
      </c>
      <c r="IF3" t="inlineStr">
        <is>
          <t>No</t>
        </is>
      </c>
      <c r="IG3" t="inlineStr">
        <is>
          <t>Minimal Assembly Needed</t>
        </is>
      </c>
      <c r="IH3" t="inlineStr">
        <is>
          <t>Tool Free Assembly</t>
        </is>
      </c>
      <c r="II3" t="inlineStr">
        <is>
          <t>60 Days</t>
        </is>
      </c>
      <c r="IJ3" t="inlineStr">
        <is>
          <t>Limited</t>
        </is>
      </c>
      <c r="IK3" t="inlineStr">
        <is>
          <t>60 Days</t>
        </is>
      </c>
    </row>
    <row r="4">
      <c r="B4" t="inlineStr">
        <is>
          <t>Not Variant</t>
        </is>
      </c>
      <c r="C4" t="inlineStr">
        <is>
          <t>Assembly</t>
        </is>
      </c>
      <c r="D4" t="inlineStr">
        <is>
          <t>Size</t>
        </is>
      </c>
      <c r="E4" t="inlineStr">
        <is>
          <t>Upholstery Material</t>
        </is>
      </c>
      <c r="F4" t="inlineStr">
        <is>
          <t>Frame Material</t>
        </is>
      </c>
      <c r="I4" t="inlineStr">
        <is>
          <t>60</t>
        </is>
      </c>
      <c r="J4" t="inlineStr">
        <is>
          <t>48</t>
        </is>
      </c>
      <c r="K4" t="inlineStr">
        <is>
          <t>48</t>
        </is>
      </c>
      <c r="L4" t="inlineStr">
        <is>
          <t>Acetaldehyde</t>
        </is>
      </c>
      <c r="N4" t="inlineStr">
        <is>
          <t>Afghanistan</t>
        </is>
      </c>
      <c r="O4" t="inlineStr">
        <is>
          <t>Owner Manual</t>
        </is>
      </c>
      <c r="P4" t="inlineStr">
        <is>
          <t>AATCC 16.1-2014 Grade</t>
        </is>
      </c>
      <c r="Q4" t="inlineStr">
        <is>
          <t>EU</t>
        </is>
      </c>
      <c r="R4" t="inlineStr">
        <is>
          <t>Czech (Czech Republic)</t>
        </is>
      </c>
      <c r="S4" t="inlineStr">
        <is>
          <t>CPU Holder</t>
        </is>
      </c>
      <c r="T4" t="inlineStr">
        <is>
          <t>Glass</t>
        </is>
      </c>
      <c r="U4" t="inlineStr">
        <is>
          <t>Ash</t>
        </is>
      </c>
      <c r="W4" t="inlineStr">
        <is>
          <t>Product of Canada</t>
        </is>
      </c>
      <c r="X4" t="inlineStr">
        <is>
          <t>Button Cell</t>
        </is>
      </c>
      <c r="Y4" t="inlineStr">
        <is>
          <t>Nickel Cadmium</t>
        </is>
      </c>
      <c r="Z4" t="inlineStr">
        <is>
          <t>3</t>
        </is>
      </c>
      <c r="AA4" t="inlineStr">
        <is>
          <t>Packed with product</t>
        </is>
      </c>
      <c r="AB4" t="inlineStr">
        <is>
          <t>Batteries of between 2 and 25 grams</t>
        </is>
      </c>
      <c r="AC4" t="inlineStr">
        <is>
          <t>Cells of 20w/h or less</t>
        </is>
      </c>
      <c r="AD4" t="inlineStr">
        <is>
          <t>More than 10kg</t>
        </is>
      </c>
      <c r="AE4" t="inlineStr">
        <is>
          <t>Legs</t>
        </is>
      </c>
      <c r="AF4" t="inlineStr">
        <is>
          <t>Wall Mounted</t>
        </is>
      </c>
      <c r="AG4" t="inlineStr">
        <is>
          <t>Purple</t>
        </is>
      </c>
      <c r="AH4" t="inlineStr">
        <is>
          <t>CPU</t>
        </is>
      </c>
      <c r="AI4" t="inlineStr">
        <is>
          <t>Storage</t>
        </is>
      </c>
      <c r="AJ4" t="inlineStr">
        <is>
          <t>Yes, Compliance Verified Program Member</t>
        </is>
      </c>
      <c r="AK4" t="inlineStr">
        <is>
          <t>Yes, Compliance Verified Program Member</t>
        </is>
      </c>
      <c r="AL4" t="inlineStr">
        <is>
          <t>Yes, Compliance Verified Program Member</t>
        </is>
      </c>
      <c r="AM4" t="inlineStr">
        <is>
          <t>Yes, Compliance Verified Program Member</t>
        </is>
      </c>
      <c r="AN4" t="inlineStr">
        <is>
          <t>Yes, Compliance Verified Program Member</t>
        </is>
      </c>
      <c r="AO4" t="inlineStr">
        <is>
          <t>Logistics</t>
        </is>
      </c>
      <c r="AP4" t="inlineStr">
        <is>
          <t>Yes, Compliance Verified Program Member</t>
        </is>
      </c>
      <c r="AQ4" t="inlineStr">
        <is>
          <t>Yes, Compliance Verified Program Member</t>
        </is>
      </c>
      <c r="AR4" t="inlineStr">
        <is>
          <t>UN2800</t>
        </is>
      </c>
      <c r="AS4" t="inlineStr">
        <is>
          <t>2.1</t>
        </is>
      </c>
      <c r="AT4" t="inlineStr">
        <is>
          <t>No Packing Group</t>
        </is>
      </c>
      <c r="AU4" t="inlineStr">
        <is>
          <t>&gt;0.5L - ≤1L</t>
        </is>
      </c>
      <c r="AV4" t="inlineStr">
        <is>
          <t>Yes, Compliance Verified Program Member</t>
        </is>
      </c>
      <c r="AW4" t="inlineStr">
        <is>
          <t>AFNOR UK Ltd</t>
        </is>
      </c>
      <c r="AX4" t="inlineStr">
        <is>
          <t>Does Not Apply</t>
        </is>
      </c>
      <c r="AY4" t="inlineStr">
        <is>
          <t>90 Days</t>
        </is>
      </c>
      <c r="AZ4" t="inlineStr">
        <is>
          <t>90 Days</t>
        </is>
      </c>
      <c r="BB4" t="inlineStr">
        <is>
          <t>Open shelving</t>
        </is>
      </c>
      <c r="BC4" t="inlineStr">
        <is>
          <t>Cane</t>
        </is>
      </c>
      <c r="BD4" t="inlineStr">
        <is>
          <t>Distressed Grain Accents</t>
        </is>
      </c>
      <c r="BE4" t="inlineStr">
        <is>
          <t>Weathered Steel</t>
        </is>
      </c>
      <c r="BH4" t="inlineStr">
        <is>
          <t>Product of Canada</t>
        </is>
      </c>
      <c r="BI4" t="inlineStr">
        <is>
          <t>Rabbet Joint</t>
        </is>
      </c>
      <c r="BJ4" t="inlineStr">
        <is>
          <t>Ash</t>
        </is>
      </c>
      <c r="BK4" t="inlineStr">
        <is>
          <t>Nickel Cadmium</t>
        </is>
      </c>
      <c r="BL4" t="inlineStr">
        <is>
          <t>Button Cell</t>
        </is>
      </c>
      <c r="BM4" t="inlineStr">
        <is>
          <t>3</t>
        </is>
      </c>
      <c r="BN4" t="inlineStr">
        <is>
          <t>Packed with product</t>
        </is>
      </c>
      <c r="BO4" t="inlineStr">
        <is>
          <t>Batteries of between 2 and 25 grams</t>
        </is>
      </c>
      <c r="BP4" t="inlineStr">
        <is>
          <t>Cells of 20w/h or less</t>
        </is>
      </c>
      <c r="BQ4" t="inlineStr">
        <is>
          <t>More than 10kg</t>
        </is>
      </c>
      <c r="BR4" t="inlineStr">
        <is>
          <t>Spot clean only</t>
        </is>
      </c>
      <c r="BS4" t="inlineStr">
        <is>
          <t>Wood Veneers</t>
        </is>
      </c>
      <c r="BT4" t="inlineStr">
        <is>
          <t>Purple</t>
        </is>
      </c>
      <c r="BU4" t="inlineStr">
        <is>
          <t>Soft Close</t>
        </is>
      </c>
      <c r="BV4" t="inlineStr">
        <is>
          <t>Vent Free</t>
        </is>
      </c>
      <c r="BW4" t="inlineStr">
        <is>
          <t>Induction</t>
        </is>
      </c>
      <c r="BX4" t="inlineStr">
        <is>
          <t>Louvered</t>
        </is>
      </c>
      <c r="BY4" t="inlineStr">
        <is>
          <t>Hutch</t>
        </is>
      </c>
      <c r="BZ4" t="inlineStr">
        <is>
          <t>Wood</t>
        </is>
      </c>
      <c r="CA4" t="inlineStr">
        <is>
          <t>Does Not Apply</t>
        </is>
      </c>
      <c r="CB4" t="inlineStr">
        <is>
          <t>Does Not Apply</t>
        </is>
      </c>
      <c r="CC4" t="inlineStr">
        <is>
          <t>Does Not Apply</t>
        </is>
      </c>
      <c r="CD4" t="inlineStr">
        <is>
          <t>Yes, Compliance Verified Program Member</t>
        </is>
      </c>
      <c r="CF4" t="inlineStr">
        <is>
          <t>Logistics</t>
        </is>
      </c>
      <c r="CG4" t="inlineStr">
        <is>
          <t>Yes, Compliance Verified Program Member</t>
        </is>
      </c>
      <c r="CH4" t="inlineStr">
        <is>
          <t>UN2800</t>
        </is>
      </c>
      <c r="CI4" t="inlineStr">
        <is>
          <t>2.1</t>
        </is>
      </c>
      <c r="CJ4" t="inlineStr">
        <is>
          <t>No Packing Group</t>
        </is>
      </c>
      <c r="CK4" t="inlineStr">
        <is>
          <t>&gt;0.5L - ≤1L</t>
        </is>
      </c>
      <c r="CL4" t="inlineStr">
        <is>
          <t>Yes, Compliance Verified Program Member</t>
        </is>
      </c>
      <c r="CM4" t="inlineStr">
        <is>
          <t>AFNOR UK Ltd</t>
        </is>
      </c>
      <c r="CN4" t="inlineStr">
        <is>
          <t>Yes, Compliance Verified Program Member</t>
        </is>
      </c>
      <c r="CO4" t="inlineStr">
        <is>
          <t>Does Not Apply</t>
        </is>
      </c>
      <c r="CP4" t="inlineStr">
        <is>
          <t>Contract Grade Accredited</t>
        </is>
      </c>
      <c r="CQ4" t="inlineStr">
        <is>
          <t>40"</t>
        </is>
      </c>
      <c r="CR4" t="inlineStr">
        <is>
          <t>Full Assembly Needed</t>
        </is>
      </c>
      <c r="CS4" t="inlineStr">
        <is>
          <t>Screwdriver</t>
        </is>
      </c>
      <c r="CT4" t="inlineStr">
        <is>
          <t>90 Days</t>
        </is>
      </c>
      <c r="CU4" t="inlineStr">
        <is>
          <t>Does Not Apply</t>
        </is>
      </c>
      <c r="CV4" t="inlineStr">
        <is>
          <t>90 Days</t>
        </is>
      </c>
      <c r="CW4" t="inlineStr">
        <is>
          <t>Drafting Chair</t>
        </is>
      </c>
      <c r="CX4" t="inlineStr">
        <is>
          <t>Solid Wood</t>
        </is>
      </c>
      <c r="CY4" t="inlineStr">
        <is>
          <t>Other</t>
        </is>
      </c>
      <c r="CZ4" t="inlineStr">
        <is>
          <t>Wood</t>
        </is>
      </c>
      <c r="DA4" t="inlineStr">
        <is>
          <t>Linen Blend</t>
        </is>
      </c>
      <c r="DB4" t="inlineStr">
        <is>
          <t>Leather</t>
        </is>
      </c>
      <c r="DC4" t="inlineStr">
        <is>
          <t>Polyurethane</t>
        </is>
      </c>
      <c r="DD4" t="inlineStr">
        <is>
          <t>Down</t>
        </is>
      </c>
      <c r="DE4" t="inlineStr">
        <is>
          <t>Distressed Grain Accents</t>
        </is>
      </c>
      <c r="DF4" t="inlineStr">
        <is>
          <t>Weathered Steel</t>
        </is>
      </c>
      <c r="DG4" t="inlineStr">
        <is>
          <t>Side to Side</t>
        </is>
      </c>
      <c r="DH4" t="inlineStr">
        <is>
          <t>Linoleum / Laminate</t>
        </is>
      </c>
      <c r="DJ4" t="inlineStr">
        <is>
          <t>Product of Canada</t>
        </is>
      </c>
      <c r="DK4" t="inlineStr">
        <is>
          <t>Rabbet Joint</t>
        </is>
      </c>
      <c r="DL4" t="inlineStr">
        <is>
          <t>Nickel Cadmium</t>
        </is>
      </c>
      <c r="DM4" t="inlineStr">
        <is>
          <t>Button Cell</t>
        </is>
      </c>
      <c r="DN4" t="inlineStr">
        <is>
          <t>3</t>
        </is>
      </c>
      <c r="DO4" t="inlineStr">
        <is>
          <t>Packed with product</t>
        </is>
      </c>
      <c r="DP4" t="inlineStr">
        <is>
          <t>Batteries of between 2 and 25 grams</t>
        </is>
      </c>
      <c r="DQ4" t="inlineStr">
        <is>
          <t>Cells of 20w/h or less</t>
        </is>
      </c>
      <c r="DR4" t="inlineStr">
        <is>
          <t>More than 10kg</t>
        </is>
      </c>
      <c r="DS4" t="inlineStr">
        <is>
          <t>Spot clean only</t>
        </is>
      </c>
      <c r="DT4" t="inlineStr">
        <is>
          <t>Gold</t>
        </is>
      </c>
      <c r="DU4" t="inlineStr">
        <is>
          <t>Rubber</t>
        </is>
      </c>
      <c r="DV4" t="inlineStr">
        <is>
          <t>Down Blend</t>
        </is>
      </c>
      <c r="DW4" t="inlineStr">
        <is>
          <t>Silver</t>
        </is>
      </c>
      <c r="DX4" t="inlineStr">
        <is>
          <t>Ash</t>
        </is>
      </c>
      <c r="DY4" t="inlineStr">
        <is>
          <t>Fixed</t>
        </is>
      </c>
      <c r="DZ4" t="inlineStr">
        <is>
          <t>Antimicrobial</t>
        </is>
      </c>
      <c r="EA4" t="inlineStr">
        <is>
          <t>Knee Tilt</t>
        </is>
      </c>
      <c r="EB4" t="inlineStr">
        <is>
          <t>Chair Mat</t>
        </is>
      </c>
      <c r="EC4" t="inlineStr">
        <is>
          <t>9,000-15,000</t>
        </is>
      </c>
      <c r="ED4" t="inlineStr">
        <is>
          <t>Yes, Compliance Verified Program Member</t>
        </is>
      </c>
      <c r="EE4" t="inlineStr">
        <is>
          <t>Yes, Compliance Verified Program Member</t>
        </is>
      </c>
      <c r="EF4" t="inlineStr">
        <is>
          <t>Yes, Compliance Verified Program Member</t>
        </is>
      </c>
      <c r="EG4" t="inlineStr">
        <is>
          <t>Yes, Compliance Verified Program Member</t>
        </is>
      </c>
      <c r="EH4" t="inlineStr">
        <is>
          <t>Yes, Compliance Verified Program Member</t>
        </is>
      </c>
      <c r="EI4" t="inlineStr">
        <is>
          <t>Yes, Compliance Verified Program Member</t>
        </is>
      </c>
      <c r="EJ4" t="inlineStr">
        <is>
          <t>Yes, Compliance Verified Program Member</t>
        </is>
      </c>
      <c r="EK4" t="inlineStr">
        <is>
          <t>Yes, Compliance Verified Program Member</t>
        </is>
      </c>
      <c r="EL4" t="inlineStr">
        <is>
          <t>Logistics</t>
        </is>
      </c>
      <c r="EM4" t="inlineStr">
        <is>
          <t>Yes, Compliance Verified Program Member</t>
        </is>
      </c>
      <c r="EN4" t="inlineStr">
        <is>
          <t>UN2800</t>
        </is>
      </c>
      <c r="EO4" t="inlineStr">
        <is>
          <t>2.1</t>
        </is>
      </c>
      <c r="EP4" t="inlineStr">
        <is>
          <t>No Packing Group</t>
        </is>
      </c>
      <c r="EQ4" t="inlineStr">
        <is>
          <t>&gt;0.5L - ≤1L</t>
        </is>
      </c>
      <c r="ER4" t="inlineStr">
        <is>
          <t>Yes, Compliance Verified Program Member</t>
        </is>
      </c>
      <c r="ES4" t="inlineStr">
        <is>
          <t>Yes, Compliance Verified Program Member</t>
        </is>
      </c>
      <c r="ET4" t="inlineStr">
        <is>
          <t>Does Not Apply</t>
        </is>
      </c>
      <c r="EU4" t="inlineStr">
        <is>
          <t>Yes, Compliance Verified Program Member</t>
        </is>
      </c>
      <c r="EV4" t="inlineStr">
        <is>
          <t>Contract Grade Accredited</t>
        </is>
      </c>
      <c r="EW4" t="inlineStr">
        <is>
          <t>Full Assembly Needed</t>
        </is>
      </c>
      <c r="EX4" t="inlineStr">
        <is>
          <t>Screwdriver</t>
        </is>
      </c>
      <c r="EY4" t="inlineStr">
        <is>
          <t>90 Days</t>
        </is>
      </c>
      <c r="EZ4" t="inlineStr">
        <is>
          <t>Does Not Apply</t>
        </is>
      </c>
      <c r="FA4" t="inlineStr">
        <is>
          <t>Gentlemens Chest</t>
        </is>
      </c>
      <c r="FB4" t="inlineStr">
        <is>
          <t>Cane</t>
        </is>
      </c>
      <c r="FC4" t="inlineStr">
        <is>
          <t>Soft Close</t>
        </is>
      </c>
      <c r="FE4" t="inlineStr">
        <is>
          <t>Distressed Grain Accents</t>
        </is>
      </c>
      <c r="FF4" t="inlineStr">
        <is>
          <t>Weathered Steel</t>
        </is>
      </c>
      <c r="FH4" t="inlineStr">
        <is>
          <t>Plastic</t>
        </is>
      </c>
      <c r="FI4" t="inlineStr">
        <is>
          <t>Product of Canada</t>
        </is>
      </c>
      <c r="FJ4" t="inlineStr">
        <is>
          <t>Rabbet Joint</t>
        </is>
      </c>
      <c r="FK4" t="inlineStr">
        <is>
          <t>Ash</t>
        </is>
      </c>
      <c r="FL4" t="inlineStr">
        <is>
          <t>Spot clean only</t>
        </is>
      </c>
      <c r="FM4" t="inlineStr">
        <is>
          <t>Brown</t>
        </is>
      </c>
      <c r="FN4" t="inlineStr">
        <is>
          <t>Plywood / Laminate Board</t>
        </is>
      </c>
      <c r="FO4" t="inlineStr">
        <is>
          <t>Mirror</t>
        </is>
      </c>
      <c r="FP4" t="inlineStr">
        <is>
          <t>Does Not Apply</t>
        </is>
      </c>
      <c r="FR4" t="inlineStr">
        <is>
          <t>Does Not Apply</t>
        </is>
      </c>
      <c r="FS4" t="inlineStr">
        <is>
          <t>Does Not Apply</t>
        </is>
      </c>
      <c r="FT4" t="inlineStr">
        <is>
          <t>Does Not Apply</t>
        </is>
      </c>
      <c r="FU4" t="inlineStr">
        <is>
          <t>Does Not Apply</t>
        </is>
      </c>
      <c r="FV4" t="inlineStr">
        <is>
          <t>Yes, Compliance Verified Program Member</t>
        </is>
      </c>
      <c r="FX4" t="inlineStr">
        <is>
          <t>Logistics</t>
        </is>
      </c>
      <c r="FY4" t="inlineStr">
        <is>
          <t>Yes, Compliance Verified Program Member</t>
        </is>
      </c>
      <c r="FZ4" t="inlineStr">
        <is>
          <t>Does Not Apply</t>
        </is>
      </c>
      <c r="GA4" t="inlineStr">
        <is>
          <t>Yes, Compliance Verified Program Member</t>
        </is>
      </c>
      <c r="GB4" t="inlineStr">
        <is>
          <t>Contract Grade Accredited</t>
        </is>
      </c>
      <c r="GC4" t="inlineStr">
        <is>
          <t>Full Assembly Needed</t>
        </is>
      </c>
      <c r="GD4" t="inlineStr">
        <is>
          <t>Screwdriver</t>
        </is>
      </c>
      <c r="GE4" t="inlineStr">
        <is>
          <t>90 Days</t>
        </is>
      </c>
      <c r="GF4" t="inlineStr">
        <is>
          <t>Unavailable</t>
        </is>
      </c>
      <c r="GG4" t="inlineStr">
        <is>
          <t>Full / Double</t>
        </is>
      </c>
      <c r="GH4" t="inlineStr">
        <is>
          <t>Brown</t>
        </is>
      </c>
      <c r="GI4" t="inlineStr">
        <is>
          <t>Four Poster</t>
        </is>
      </c>
      <c r="GJ4" t="inlineStr">
        <is>
          <t>Raffia</t>
        </is>
      </c>
      <c r="GK4" t="inlineStr">
        <is>
          <t>Linen Blend</t>
        </is>
      </c>
      <c r="GL4" t="inlineStr">
        <is>
          <t>PVC</t>
        </is>
      </c>
      <c r="GM4" t="inlineStr">
        <is>
          <t>Metal</t>
        </is>
      </c>
      <c r="GN4" t="inlineStr">
        <is>
          <t>No Storage Included</t>
        </is>
      </c>
      <c r="GO4" t="inlineStr">
        <is>
          <t>Weathered Steel</t>
        </is>
      </c>
      <c r="GP4" t="inlineStr">
        <is>
          <t>Distressed Grain Accents</t>
        </is>
      </c>
      <c r="GR4" t="inlineStr">
        <is>
          <t>Product of Canada</t>
        </is>
      </c>
      <c r="GS4" t="inlineStr">
        <is>
          <t>Rabbet Joint</t>
        </is>
      </c>
      <c r="GT4" t="inlineStr">
        <is>
          <t>Ash</t>
        </is>
      </c>
      <c r="GU4" t="inlineStr">
        <is>
          <t>Chevron</t>
        </is>
      </c>
      <c r="GV4" t="inlineStr">
        <is>
          <t>Nickel Cadmium</t>
        </is>
      </c>
      <c r="GW4" t="inlineStr">
        <is>
          <t>Button Cell</t>
        </is>
      </c>
      <c r="GX4" t="inlineStr">
        <is>
          <t>3</t>
        </is>
      </c>
      <c r="GY4" t="inlineStr">
        <is>
          <t>Packed with product</t>
        </is>
      </c>
      <c r="GZ4" t="inlineStr">
        <is>
          <t>Batteries of between 2 and 25 grams</t>
        </is>
      </c>
      <c r="HA4" t="inlineStr">
        <is>
          <t>Cells of 20w/h or less</t>
        </is>
      </c>
      <c r="HB4" t="inlineStr">
        <is>
          <t>More than 10kg</t>
        </is>
      </c>
      <c r="HC4" t="inlineStr">
        <is>
          <t>Plywood / Laminate Board</t>
        </is>
      </c>
      <c r="HD4" t="inlineStr">
        <is>
          <t>Top Grain Leather</t>
        </is>
      </c>
      <c r="HE4" t="inlineStr">
        <is>
          <t>Cord</t>
        </is>
      </c>
      <c r="HF4" t="inlineStr">
        <is>
          <t>Portman</t>
        </is>
      </c>
      <c r="HG4" t="inlineStr">
        <is>
          <t>LED Lighting Included</t>
        </is>
      </c>
      <c r="HH4" t="inlineStr">
        <is>
          <t>Footboard</t>
        </is>
      </c>
      <c r="HI4" t="inlineStr">
        <is>
          <t>Sunbrella®</t>
        </is>
      </c>
      <c r="HJ4" t="inlineStr">
        <is>
          <t>Yes, Compliance Verified Program Member</t>
        </is>
      </c>
      <c r="HK4" t="inlineStr">
        <is>
          <t>Yes, Compliance Verified Program Member</t>
        </is>
      </c>
      <c r="HL4" t="inlineStr">
        <is>
          <t>Yes, Compliance Verified Program Member</t>
        </is>
      </c>
      <c r="HM4" t="inlineStr">
        <is>
          <t>Yes, Compliance Verified Program Member</t>
        </is>
      </c>
      <c r="HN4" t="inlineStr">
        <is>
          <t>Yes, Compliance Verified Program Member</t>
        </is>
      </c>
      <c r="HO4" t="inlineStr">
        <is>
          <t>Yes, Compliance Verified Program Member</t>
        </is>
      </c>
      <c r="HP4" t="inlineStr">
        <is>
          <t>Yes, Compliance Verified Program Member</t>
        </is>
      </c>
      <c r="HQ4" t="inlineStr">
        <is>
          <t>Logistics</t>
        </is>
      </c>
      <c r="HR4" t="inlineStr">
        <is>
          <t>Yes, Compliance Verified Program Member</t>
        </is>
      </c>
      <c r="HS4" t="inlineStr">
        <is>
          <t>Yes, Compliance Verified Program Member</t>
        </is>
      </c>
      <c r="HT4" t="inlineStr">
        <is>
          <t>Yes, Compliance Verified Program Member</t>
        </is>
      </c>
      <c r="HU4" t="inlineStr">
        <is>
          <t>Yes, Compliance Verified Program Member</t>
        </is>
      </c>
      <c r="HV4" t="inlineStr">
        <is>
          <t>UN2800</t>
        </is>
      </c>
      <c r="HW4" t="inlineStr">
        <is>
          <t>2.1</t>
        </is>
      </c>
      <c r="HX4" t="inlineStr">
        <is>
          <t>No Packing Group</t>
        </is>
      </c>
      <c r="HY4" t="inlineStr">
        <is>
          <t>&gt;0.5L - ≤1L</t>
        </is>
      </c>
      <c r="HZ4" t="inlineStr">
        <is>
          <t>Yes, Compliance Verified Program Member</t>
        </is>
      </c>
      <c r="IA4" t="inlineStr">
        <is>
          <t>Does Not Apply</t>
        </is>
      </c>
      <c r="IB4" t="inlineStr">
        <is>
          <t>Yes, Compliance Verified Program Member</t>
        </is>
      </c>
      <c r="IC4" t="inlineStr">
        <is>
          <t>Yes, Compliance Verified Program Member</t>
        </is>
      </c>
      <c r="ID4" t="inlineStr">
        <is>
          <t>Yes, Compliance Verified Program Member</t>
        </is>
      </c>
      <c r="IE4" t="inlineStr">
        <is>
          <t>Yes, Compliance Verified Program Member</t>
        </is>
      </c>
      <c r="IF4" t="inlineStr">
        <is>
          <t>Yes, Compliance Verified Program Member</t>
        </is>
      </c>
      <c r="IG4" t="inlineStr">
        <is>
          <t>Full Assembly Needed</t>
        </is>
      </c>
      <c r="IH4" t="inlineStr">
        <is>
          <t>Screwdriver</t>
        </is>
      </c>
      <c r="II4" t="inlineStr">
        <is>
          <t>90 Days</t>
        </is>
      </c>
      <c r="IJ4" t="inlineStr">
        <is>
          <t>Does Not Apply</t>
        </is>
      </c>
      <c r="IK4" t="inlineStr">
        <is>
          <t>90 Days</t>
        </is>
      </c>
    </row>
    <row r="5">
      <c r="D5" t="inlineStr">
        <is>
          <t>Fireplace Included</t>
        </is>
      </c>
      <c r="E5" t="inlineStr">
        <is>
          <t>Leather Type</t>
        </is>
      </c>
      <c r="F5" t="inlineStr">
        <is>
          <t>Print/Pattern</t>
        </is>
      </c>
      <c r="I5" t="inlineStr">
        <is>
          <t>65</t>
        </is>
      </c>
      <c r="J5" t="inlineStr">
        <is>
          <t>72</t>
        </is>
      </c>
      <c r="K5" t="inlineStr">
        <is>
          <t>72</t>
        </is>
      </c>
      <c r="L5" t="inlineStr">
        <is>
          <t>Acetamide</t>
        </is>
      </c>
      <c r="N5" t="inlineStr">
        <is>
          <t>Åland Islands</t>
        </is>
      </c>
      <c r="O5" t="inlineStr">
        <is>
          <t>Delivery Information</t>
        </is>
      </c>
      <c r="P5" t="inlineStr">
        <is>
          <t>AATCC 16.3-2014 Grade</t>
        </is>
      </c>
      <c r="Q5" t="inlineStr">
        <is>
          <t>CA</t>
        </is>
      </c>
      <c r="R5" t="inlineStr">
        <is>
          <t>Danish</t>
        </is>
      </c>
      <c r="S5" t="inlineStr">
        <is>
          <t>File Cart</t>
        </is>
      </c>
      <c r="T5" t="inlineStr">
        <is>
          <t>Silicone</t>
        </is>
      </c>
      <c r="U5" t="inlineStr">
        <is>
          <t>Bamboo</t>
        </is>
      </c>
      <c r="W5" t="inlineStr">
        <is>
          <t>Made In Canada</t>
        </is>
      </c>
      <c r="X5" t="inlineStr">
        <is>
          <t>Does Not Apply</t>
        </is>
      </c>
      <c r="Y5" t="inlineStr">
        <is>
          <t>Nickel Metal Hydride</t>
        </is>
      </c>
      <c r="Z5" t="inlineStr">
        <is>
          <t>6</t>
        </is>
      </c>
      <c r="AA5" t="inlineStr">
        <is>
          <t>Does Not Apply</t>
        </is>
      </c>
      <c r="AB5" t="inlineStr">
        <is>
          <t>Cells of 1gram or less</t>
        </is>
      </c>
      <c r="AC5" t="inlineStr">
        <is>
          <t>Batteries exceeding 300w/h</t>
        </is>
      </c>
      <c r="AD5" t="inlineStr">
        <is>
          <t>5kg to 10kg</t>
        </is>
      </c>
      <c r="AE5" t="inlineStr">
        <is>
          <t>Cover</t>
        </is>
      </c>
      <c r="AF5" t="inlineStr">
        <is>
          <t>Tilt</t>
        </is>
      </c>
      <c r="AG5" t="inlineStr">
        <is>
          <t>Gold</t>
        </is>
      </c>
      <c r="AH5" t="inlineStr">
        <is>
          <t>Printer</t>
        </is>
      </c>
      <c r="AI5" t="inlineStr">
        <is>
          <t>TV Mount</t>
        </is>
      </c>
      <c r="AK5" t="inlineStr">
        <is>
          <t>Does Not Apply</t>
        </is>
      </c>
      <c r="AL5" t="inlineStr">
        <is>
          <t>Does Not Apply</t>
        </is>
      </c>
      <c r="AM5" t="inlineStr">
        <is>
          <t>Does Not Apply</t>
        </is>
      </c>
      <c r="AO5" t="inlineStr">
        <is>
          <t>Does Not Apply</t>
        </is>
      </c>
      <c r="AP5" t="inlineStr">
        <is>
          <t>Does Not Apply</t>
        </is>
      </c>
      <c r="AQ5" t="inlineStr">
        <is>
          <t>Does Not Apply</t>
        </is>
      </c>
      <c r="AR5" t="inlineStr">
        <is>
          <t>UN1950</t>
        </is>
      </c>
      <c r="AS5" t="inlineStr">
        <is>
          <t>7</t>
        </is>
      </c>
      <c r="AT5" t="inlineStr">
        <is>
          <t>II</t>
        </is>
      </c>
      <c r="AU5" t="inlineStr">
        <is>
          <t>&gt;0 - ≤100g</t>
        </is>
      </c>
      <c r="AV5" t="inlineStr">
        <is>
          <t>Unavailable</t>
        </is>
      </c>
      <c r="AW5" t="inlineStr">
        <is>
          <t>BSI Assurance UK Ltd</t>
        </is>
      </c>
      <c r="AY5" t="inlineStr">
        <is>
          <t>6 Months</t>
        </is>
      </c>
      <c r="AZ5" t="inlineStr">
        <is>
          <t>6 Months</t>
        </is>
      </c>
      <c r="BB5" t="inlineStr">
        <is>
          <t>Corner unit</t>
        </is>
      </c>
      <c r="BC5" t="inlineStr">
        <is>
          <t>Raffia</t>
        </is>
      </c>
      <c r="BD5" t="inlineStr">
        <is>
          <t>Coat/Paint Distressing</t>
        </is>
      </c>
      <c r="BE5" t="inlineStr">
        <is>
          <t>Wood Knots</t>
        </is>
      </c>
      <c r="BH5" t="inlineStr">
        <is>
          <t>Made In Canada</t>
        </is>
      </c>
      <c r="BI5" t="inlineStr">
        <is>
          <t>Basic Butt</t>
        </is>
      </c>
      <c r="BJ5" t="inlineStr">
        <is>
          <t>Bamboo</t>
        </is>
      </c>
      <c r="BK5" t="inlineStr">
        <is>
          <t>Nickel Metal Hydride</t>
        </is>
      </c>
      <c r="BL5" t="inlineStr">
        <is>
          <t>Does Not Apply</t>
        </is>
      </c>
      <c r="BM5" t="inlineStr">
        <is>
          <t>6</t>
        </is>
      </c>
      <c r="BN5" t="inlineStr">
        <is>
          <t>Does Not Apply</t>
        </is>
      </c>
      <c r="BO5" t="inlineStr">
        <is>
          <t>Cells of 1gram or less</t>
        </is>
      </c>
      <c r="BP5" t="inlineStr">
        <is>
          <t>Batteries exceeding 300w/h</t>
        </is>
      </c>
      <c r="BQ5" t="inlineStr">
        <is>
          <t>5kg to 10kg</t>
        </is>
      </c>
      <c r="BR5" t="inlineStr">
        <is>
          <t>Hand wash only</t>
        </is>
      </c>
      <c r="BS5" t="inlineStr">
        <is>
          <t>Polyvinyl Chloride (PVC)</t>
        </is>
      </c>
      <c r="BT5" t="inlineStr">
        <is>
          <t>Gold</t>
        </is>
      </c>
      <c r="BU5" t="inlineStr">
        <is>
          <t>Roller Glides</t>
        </is>
      </c>
      <c r="BV5" t="inlineStr">
        <is>
          <t>External</t>
        </is>
      </c>
      <c r="BW5" t="inlineStr">
        <is>
          <t>Wood Pellets</t>
        </is>
      </c>
      <c r="BX5" t="inlineStr">
        <is>
          <t>Paneled</t>
        </is>
      </c>
      <c r="BY5" t="inlineStr">
        <is>
          <t>Shelves</t>
        </is>
      </c>
      <c r="BZ5" t="inlineStr">
        <is>
          <t>Electric</t>
        </is>
      </c>
      <c r="CD5" t="inlineStr">
        <is>
          <t>Does Not Apply</t>
        </is>
      </c>
      <c r="CF5" t="inlineStr">
        <is>
          <t>Does Not Apply</t>
        </is>
      </c>
      <c r="CG5" t="inlineStr">
        <is>
          <t>Does Not Apply</t>
        </is>
      </c>
      <c r="CH5" t="inlineStr">
        <is>
          <t>UN1950</t>
        </is>
      </c>
      <c r="CI5" t="inlineStr">
        <is>
          <t>7</t>
        </is>
      </c>
      <c r="CJ5" t="inlineStr">
        <is>
          <t>II</t>
        </is>
      </c>
      <c r="CK5" t="inlineStr">
        <is>
          <t>&gt;0 - ≤100g</t>
        </is>
      </c>
      <c r="CL5" t="inlineStr">
        <is>
          <t>Unavailable</t>
        </is>
      </c>
      <c r="CM5" t="inlineStr">
        <is>
          <t>BSI Assurance UK Ltd</t>
        </is>
      </c>
      <c r="CN5" t="inlineStr">
        <is>
          <t>Does Not Apply</t>
        </is>
      </c>
      <c r="CP5" t="inlineStr">
        <is>
          <t>Unavailable</t>
        </is>
      </c>
      <c r="CQ5" t="inlineStr">
        <is>
          <t>32"</t>
        </is>
      </c>
      <c r="CR5" t="inlineStr">
        <is>
          <t>Does Not Apply</t>
        </is>
      </c>
      <c r="CS5" t="inlineStr">
        <is>
          <t>Allen Wrench</t>
        </is>
      </c>
      <c r="CT5" t="inlineStr">
        <is>
          <t>6 Months</t>
        </is>
      </c>
      <c r="CV5" t="inlineStr">
        <is>
          <t>6 Months</t>
        </is>
      </c>
      <c r="CW5" t="inlineStr">
        <is>
          <t>Executive Chair</t>
        </is>
      </c>
      <c r="CX5" t="inlineStr">
        <is>
          <t>Composite</t>
        </is>
      </c>
      <c r="CY5" t="inlineStr">
        <is>
          <t>Manufactured Wood</t>
        </is>
      </c>
      <c r="CZ5" t="inlineStr">
        <is>
          <t>Manufactured wood</t>
        </is>
      </c>
      <c r="DA5" t="inlineStr">
        <is>
          <t>Cotton Blend</t>
        </is>
      </c>
      <c r="DB5" t="inlineStr">
        <is>
          <t>Faux Leather</t>
        </is>
      </c>
      <c r="DC5" t="inlineStr">
        <is>
          <t>Genuine Leather</t>
        </is>
      </c>
      <c r="DD5" t="inlineStr">
        <is>
          <t>Synthetic Fiber</t>
        </is>
      </c>
      <c r="DE5" t="inlineStr">
        <is>
          <t>Coat/Paint Distressing</t>
        </is>
      </c>
      <c r="DF5" t="inlineStr">
        <is>
          <t>Wood Knots</t>
        </is>
      </c>
      <c r="DG5" t="inlineStr">
        <is>
          <t>Front to Back</t>
        </is>
      </c>
      <c r="DH5" t="inlineStr">
        <is>
          <t>Brick</t>
        </is>
      </c>
      <c r="DJ5" t="inlineStr">
        <is>
          <t>Made In Canada</t>
        </is>
      </c>
      <c r="DK5" t="inlineStr">
        <is>
          <t>Basic Butt</t>
        </is>
      </c>
      <c r="DL5" t="inlineStr">
        <is>
          <t>Nickel Metal Hydride</t>
        </is>
      </c>
      <c r="DM5" t="inlineStr">
        <is>
          <t>Does Not Apply</t>
        </is>
      </c>
      <c r="DN5" t="inlineStr">
        <is>
          <t>6</t>
        </is>
      </c>
      <c r="DO5" t="inlineStr">
        <is>
          <t>Does Not Apply</t>
        </is>
      </c>
      <c r="DP5" t="inlineStr">
        <is>
          <t>Cells of 1gram or less</t>
        </is>
      </c>
      <c r="DQ5" t="inlineStr">
        <is>
          <t>Batteries exceeding 300w/h</t>
        </is>
      </c>
      <c r="DR5" t="inlineStr">
        <is>
          <t>5kg to 10kg</t>
        </is>
      </c>
      <c r="DS5" t="inlineStr">
        <is>
          <t>Hand wash only</t>
        </is>
      </c>
      <c r="DT5" t="inlineStr">
        <is>
          <t>Blue</t>
        </is>
      </c>
      <c r="DU5" t="inlineStr">
        <is>
          <t>Foam</t>
        </is>
      </c>
      <c r="DV5" t="inlineStr">
        <is>
          <t>Synthetic Fiber</t>
        </is>
      </c>
      <c r="DW5" t="inlineStr">
        <is>
          <t>Satin</t>
        </is>
      </c>
      <c r="DX5" t="inlineStr">
        <is>
          <t>Bamboo</t>
        </is>
      </c>
      <c r="DY5" t="inlineStr">
        <is>
          <t>Round Arms</t>
        </is>
      </c>
      <c r="DZ5" t="inlineStr">
        <is>
          <t>Does Not Apply</t>
        </is>
      </c>
      <c r="EA5" t="inlineStr">
        <is>
          <t>Manual Tilt</t>
        </is>
      </c>
      <c r="EB5" t="inlineStr">
        <is>
          <t>Waterfall Seat</t>
        </is>
      </c>
      <c r="EC5" t="inlineStr">
        <is>
          <t>Not Tested</t>
        </is>
      </c>
      <c r="EE5" t="inlineStr">
        <is>
          <t>Does Not Apply</t>
        </is>
      </c>
      <c r="EF5" t="inlineStr">
        <is>
          <t>Does Not Apply</t>
        </is>
      </c>
      <c r="EG5" t="inlineStr">
        <is>
          <t>Does Not Apply</t>
        </is>
      </c>
      <c r="EH5" t="inlineStr">
        <is>
          <t>Unavailable</t>
        </is>
      </c>
      <c r="EI5" t="inlineStr">
        <is>
          <t>Unavailable</t>
        </is>
      </c>
      <c r="EJ5" t="inlineStr">
        <is>
          <t>Does Not Apply</t>
        </is>
      </c>
      <c r="EL5" t="inlineStr">
        <is>
          <t>Does Not Apply</t>
        </is>
      </c>
      <c r="EM5" t="inlineStr">
        <is>
          <t>Does Not Apply</t>
        </is>
      </c>
      <c r="EN5" t="inlineStr">
        <is>
          <t>UN1950</t>
        </is>
      </c>
      <c r="EO5" t="inlineStr">
        <is>
          <t>7</t>
        </is>
      </c>
      <c r="EP5" t="inlineStr">
        <is>
          <t>II</t>
        </is>
      </c>
      <c r="EQ5" t="inlineStr">
        <is>
          <t>&gt;0 - ≤100g</t>
        </is>
      </c>
      <c r="ER5" t="inlineStr">
        <is>
          <t>Unavailable</t>
        </is>
      </c>
      <c r="ES5" t="inlineStr">
        <is>
          <t>Does Not Apply</t>
        </is>
      </c>
      <c r="EU5" t="inlineStr">
        <is>
          <t>Does Not Apply</t>
        </is>
      </c>
      <c r="EV5" t="inlineStr">
        <is>
          <t>Unavailable</t>
        </is>
      </c>
      <c r="EW5" t="inlineStr">
        <is>
          <t>Does Not Apply</t>
        </is>
      </c>
      <c r="EX5" t="inlineStr">
        <is>
          <t>Allen Wrench</t>
        </is>
      </c>
      <c r="EY5" t="inlineStr">
        <is>
          <t>6 Months</t>
        </is>
      </c>
      <c r="FA5" t="inlineStr">
        <is>
          <t>Lingerie Chest / Semainier</t>
        </is>
      </c>
      <c r="FB5" t="inlineStr">
        <is>
          <t>Raffia</t>
        </is>
      </c>
      <c r="FC5" t="inlineStr">
        <is>
          <t>Roller Glides</t>
        </is>
      </c>
      <c r="FE5" t="inlineStr">
        <is>
          <t>Coat/Paint Distressing</t>
        </is>
      </c>
      <c r="FF5" t="inlineStr">
        <is>
          <t>Wood Knots</t>
        </is>
      </c>
      <c r="FH5" t="inlineStr">
        <is>
          <t>Wood</t>
        </is>
      </c>
      <c r="FI5" t="inlineStr">
        <is>
          <t>Made In Canada</t>
        </is>
      </c>
      <c r="FJ5" t="inlineStr">
        <is>
          <t>Basic Butt</t>
        </is>
      </c>
      <c r="FK5" t="inlineStr">
        <is>
          <t>Bamboo</t>
        </is>
      </c>
      <c r="FL5" t="inlineStr">
        <is>
          <t>Hand wash only</t>
        </is>
      </c>
      <c r="FM5" t="inlineStr">
        <is>
          <t>Red</t>
        </is>
      </c>
      <c r="FN5" t="inlineStr">
        <is>
          <t>Unavailable</t>
        </is>
      </c>
      <c r="FO5" t="inlineStr">
        <is>
          <t>Shelves</t>
        </is>
      </c>
      <c r="FV5" t="inlineStr">
        <is>
          <t>Does Not Apply</t>
        </is>
      </c>
      <c r="FX5" t="inlineStr">
        <is>
          <t>Does Not Apply</t>
        </is>
      </c>
      <c r="GA5" t="inlineStr">
        <is>
          <t>Does Not Apply</t>
        </is>
      </c>
      <c r="GB5" t="inlineStr">
        <is>
          <t>Unavailable</t>
        </is>
      </c>
      <c r="GC5" t="inlineStr">
        <is>
          <t>Does Not Apply</t>
        </is>
      </c>
      <c r="GD5" t="inlineStr">
        <is>
          <t>Allen Wrench</t>
        </is>
      </c>
      <c r="GE5" t="inlineStr">
        <is>
          <t>6 Months</t>
        </is>
      </c>
      <c r="GF5" t="inlineStr">
        <is>
          <t>Does Not Apply</t>
        </is>
      </c>
      <c r="GG5" t="inlineStr">
        <is>
          <t>Queen</t>
        </is>
      </c>
      <c r="GH5" t="inlineStr">
        <is>
          <t>Red</t>
        </is>
      </c>
      <c r="GI5" t="inlineStr">
        <is>
          <t>Sleigh</t>
        </is>
      </c>
      <c r="GJ5" t="inlineStr">
        <is>
          <t>Solid + Manufactured Wood</t>
        </is>
      </c>
      <c r="GK5" t="inlineStr">
        <is>
          <t>Cotton Blend</t>
        </is>
      </c>
      <c r="GL5" t="inlineStr">
        <is>
          <t>Vinyl</t>
        </is>
      </c>
      <c r="GM5" t="inlineStr">
        <is>
          <t>Solid Wood</t>
        </is>
      </c>
      <c r="GN5" t="inlineStr">
        <is>
          <t>Shelves</t>
        </is>
      </c>
      <c r="GO5" t="inlineStr">
        <is>
          <t>Wood Knots</t>
        </is>
      </c>
      <c r="GP5" t="inlineStr">
        <is>
          <t>Coat/Paint Distressing</t>
        </is>
      </c>
      <c r="GR5" t="inlineStr">
        <is>
          <t>Made In Canada</t>
        </is>
      </c>
      <c r="GS5" t="inlineStr">
        <is>
          <t>Basic Butt</t>
        </is>
      </c>
      <c r="GT5" t="inlineStr">
        <is>
          <t>Bamboo</t>
        </is>
      </c>
      <c r="GU5" t="inlineStr">
        <is>
          <t>Damask</t>
        </is>
      </c>
      <c r="GV5" t="inlineStr">
        <is>
          <t>Nickel Metal Hydride</t>
        </is>
      </c>
      <c r="GW5" t="inlineStr">
        <is>
          <t>Does Not Apply</t>
        </is>
      </c>
      <c r="GX5" t="inlineStr">
        <is>
          <t>6</t>
        </is>
      </c>
      <c r="GY5" t="inlineStr">
        <is>
          <t>Does Not Apply</t>
        </is>
      </c>
      <c r="GZ5" t="inlineStr">
        <is>
          <t>Cells of 1gram or less</t>
        </is>
      </c>
      <c r="HA5" t="inlineStr">
        <is>
          <t>Batteries exceeding 300w/h</t>
        </is>
      </c>
      <c r="HB5" t="inlineStr">
        <is>
          <t>5kg to 10kg</t>
        </is>
      </c>
      <c r="HC5" t="inlineStr">
        <is>
          <t>Unavailable</t>
        </is>
      </c>
      <c r="HD5" t="inlineStr">
        <is>
          <t>Split Grain Leather</t>
        </is>
      </c>
      <c r="HE5" t="inlineStr">
        <is>
          <t>Denim</t>
        </is>
      </c>
      <c r="HF5" t="inlineStr">
        <is>
          <t>Rectangular</t>
        </is>
      </c>
      <c r="HG5" t="inlineStr">
        <is>
          <t>Lighting Included</t>
        </is>
      </c>
      <c r="HH5" t="inlineStr">
        <is>
          <t>Headboard</t>
        </is>
      </c>
      <c r="HI5" t="inlineStr">
        <is>
          <t>Revolution Performance Fabric®</t>
        </is>
      </c>
      <c r="HJ5" t="inlineStr">
        <is>
          <t>Does Not Apply</t>
        </is>
      </c>
      <c r="HK5" t="inlineStr">
        <is>
          <t>Does Not Apply</t>
        </is>
      </c>
      <c r="HL5" t="inlineStr">
        <is>
          <t>Does Not Apply</t>
        </is>
      </c>
      <c r="HM5" t="inlineStr">
        <is>
          <t>Does Not Apply</t>
        </is>
      </c>
      <c r="HN5" t="inlineStr">
        <is>
          <t>Unavailable</t>
        </is>
      </c>
      <c r="HO5" t="inlineStr">
        <is>
          <t>Unavailable</t>
        </is>
      </c>
      <c r="HQ5" t="inlineStr">
        <is>
          <t>Does Not Apply</t>
        </is>
      </c>
      <c r="HR5" t="inlineStr">
        <is>
          <t>Does Not Apply</t>
        </is>
      </c>
      <c r="HS5" t="inlineStr">
        <is>
          <t>Does Not Apply</t>
        </is>
      </c>
      <c r="HT5" t="inlineStr">
        <is>
          <t>Does Not Apply</t>
        </is>
      </c>
      <c r="HU5" t="inlineStr">
        <is>
          <t>Does Not Apply</t>
        </is>
      </c>
      <c r="HV5" t="inlineStr">
        <is>
          <t>UN1950</t>
        </is>
      </c>
      <c r="HW5" t="inlineStr">
        <is>
          <t>7</t>
        </is>
      </c>
      <c r="HX5" t="inlineStr">
        <is>
          <t>II</t>
        </is>
      </c>
      <c r="HY5" t="inlineStr">
        <is>
          <t>&gt;0 - ≤100g</t>
        </is>
      </c>
      <c r="HZ5" t="inlineStr">
        <is>
          <t>Does Not Apply</t>
        </is>
      </c>
      <c r="IB5" t="inlineStr">
        <is>
          <t>Does Not Apply</t>
        </is>
      </c>
      <c r="IC5" t="inlineStr">
        <is>
          <t>Does Not Apply</t>
        </is>
      </c>
      <c r="ID5" t="inlineStr">
        <is>
          <t>Does Not Apply</t>
        </is>
      </c>
      <c r="IF5" t="inlineStr">
        <is>
          <t>Yes, Compliance Verified Program or Baby Safety Alliance (fka JPMA)</t>
        </is>
      </c>
      <c r="IG5" t="inlineStr">
        <is>
          <t>Does Not Apply</t>
        </is>
      </c>
      <c r="IH5" t="inlineStr">
        <is>
          <t>Allen Wrench</t>
        </is>
      </c>
      <c r="II5" t="inlineStr">
        <is>
          <t>6 Months</t>
        </is>
      </c>
      <c r="IK5" t="inlineStr">
        <is>
          <t>6 Months</t>
        </is>
      </c>
    </row>
    <row r="6">
      <c r="E6" t="inlineStr">
        <is>
          <t>Casters/Glides</t>
        </is>
      </c>
      <c r="F6" t="inlineStr">
        <is>
          <t>Storage</t>
        </is>
      </c>
      <c r="I6" t="inlineStr">
        <is>
          <t>70</t>
        </is>
      </c>
      <c r="J6" t="inlineStr">
        <is>
          <t>96</t>
        </is>
      </c>
      <c r="K6" t="inlineStr">
        <is>
          <t>96</t>
        </is>
      </c>
      <c r="L6" t="inlineStr">
        <is>
          <t>Acetazolamide</t>
        </is>
      </c>
      <c r="N6" t="inlineStr">
        <is>
          <t>Albania</t>
        </is>
      </c>
      <c r="O6" t="inlineStr">
        <is>
          <t>Warranty Information</t>
        </is>
      </c>
      <c r="P6" t="inlineStr">
        <is>
          <t>AATCC 8 Grade</t>
        </is>
      </c>
      <c r="R6" t="inlineStr">
        <is>
          <t>German</t>
        </is>
      </c>
      <c r="S6" t="inlineStr">
        <is>
          <t>Laptop Cart</t>
        </is>
      </c>
      <c r="T6" t="inlineStr">
        <is>
          <t>Stainless Steel</t>
        </is>
      </c>
      <c r="U6" t="inlineStr">
        <is>
          <t>Beech</t>
        </is>
      </c>
      <c r="W6" t="inlineStr">
        <is>
          <t>Does Not Apply</t>
        </is>
      </c>
      <c r="Y6" t="inlineStr">
        <is>
          <t>Alkaline</t>
        </is>
      </c>
      <c r="Z6" t="inlineStr">
        <is>
          <t>7</t>
        </is>
      </c>
      <c r="AB6" t="inlineStr">
        <is>
          <t>Cells of between 1 and 5 grams</t>
        </is>
      </c>
      <c r="AC6" t="inlineStr">
        <is>
          <t>Batteries of between 100w/h and 300 w/h</t>
        </is>
      </c>
      <c r="AD6" t="inlineStr">
        <is>
          <t>Does Not Apply</t>
        </is>
      </c>
      <c r="AE6" t="inlineStr">
        <is>
          <t>Lid</t>
        </is>
      </c>
      <c r="AF6" t="inlineStr">
        <is>
          <t>Articulating</t>
        </is>
      </c>
      <c r="AG6" t="inlineStr">
        <is>
          <t>Silver</t>
        </is>
      </c>
      <c r="AH6" t="inlineStr">
        <is>
          <t>Keyboard</t>
        </is>
      </c>
      <c r="AI6" t="inlineStr">
        <is>
          <t>Wheels / Casters</t>
        </is>
      </c>
      <c r="AR6" t="inlineStr">
        <is>
          <t>UN3496</t>
        </is>
      </c>
      <c r="AS6" t="inlineStr">
        <is>
          <t>5.2</t>
        </is>
      </c>
      <c r="AT6" t="inlineStr">
        <is>
          <t>Does Not Apply</t>
        </is>
      </c>
      <c r="AU6" t="inlineStr">
        <is>
          <t>&gt;100 - ≤500g</t>
        </is>
      </c>
      <c r="AV6" t="inlineStr">
        <is>
          <t>Does Not Apply</t>
        </is>
      </c>
      <c r="AW6" t="inlineStr">
        <is>
          <t>cUL Listed</t>
        </is>
      </c>
      <c r="AY6" t="inlineStr">
        <is>
          <t>1 Year</t>
        </is>
      </c>
      <c r="AZ6" t="inlineStr">
        <is>
          <t>1 Year</t>
        </is>
      </c>
      <c r="BB6" t="inlineStr">
        <is>
          <t>Hutch</t>
        </is>
      </c>
      <c r="BC6" t="inlineStr">
        <is>
          <t>Mango Wood</t>
        </is>
      </c>
      <c r="BD6" t="inlineStr">
        <is>
          <t>Wormholes</t>
        </is>
      </c>
      <c r="BE6" t="inlineStr">
        <is>
          <t>Natural Stone Color Variation</t>
        </is>
      </c>
      <c r="BH6" t="inlineStr">
        <is>
          <t>Does Not Apply</t>
        </is>
      </c>
      <c r="BI6" t="inlineStr">
        <is>
          <t>Biscuit Joint</t>
        </is>
      </c>
      <c r="BJ6" t="inlineStr">
        <is>
          <t>Beech</t>
        </is>
      </c>
      <c r="BK6" t="inlineStr">
        <is>
          <t>Alkaline</t>
        </is>
      </c>
      <c r="BM6" t="inlineStr">
        <is>
          <t>7</t>
        </is>
      </c>
      <c r="BO6" t="inlineStr">
        <is>
          <t>Cells of between 1 and 5 grams</t>
        </is>
      </c>
      <c r="BP6" t="inlineStr">
        <is>
          <t>Batteries of between 100w/h and 300 w/h</t>
        </is>
      </c>
      <c r="BQ6" t="inlineStr">
        <is>
          <t>Does Not Apply</t>
        </is>
      </c>
      <c r="BR6" t="inlineStr">
        <is>
          <t>Delicate cycle</t>
        </is>
      </c>
      <c r="BS6" t="inlineStr">
        <is>
          <t>Polycarbonate</t>
        </is>
      </c>
      <c r="BT6" t="inlineStr">
        <is>
          <t>Silver</t>
        </is>
      </c>
      <c r="BU6" t="inlineStr">
        <is>
          <t>0.75 Extension</t>
        </is>
      </c>
      <c r="BV6" t="inlineStr">
        <is>
          <t>Convertible</t>
        </is>
      </c>
      <c r="BW6" t="inlineStr">
        <is>
          <t>Natural Gas</t>
        </is>
      </c>
      <c r="BX6" t="inlineStr">
        <is>
          <t>Mirrored</t>
        </is>
      </c>
      <c r="BY6" t="inlineStr">
        <is>
          <t>Bridge</t>
        </is>
      </c>
      <c r="BZ6" t="inlineStr">
        <is>
          <t>Unavailable</t>
        </is>
      </c>
      <c r="CH6" t="inlineStr">
        <is>
          <t>UN3496</t>
        </is>
      </c>
      <c r="CI6" t="inlineStr">
        <is>
          <t>5.2</t>
        </is>
      </c>
      <c r="CJ6" t="inlineStr">
        <is>
          <t>Does Not Apply</t>
        </is>
      </c>
      <c r="CK6" t="inlineStr">
        <is>
          <t>&gt;100 - ≤500g</t>
        </is>
      </c>
      <c r="CL6" t="inlineStr">
        <is>
          <t>Does Not Apply</t>
        </is>
      </c>
      <c r="CM6" t="inlineStr">
        <is>
          <t>cUL Listed</t>
        </is>
      </c>
      <c r="CP6" t="inlineStr">
        <is>
          <t>Does Not Apply</t>
        </is>
      </c>
      <c r="CQ6" t="inlineStr">
        <is>
          <t>42"</t>
        </is>
      </c>
      <c r="CS6" t="inlineStr">
        <is>
          <t>Adjustable Wrench</t>
        </is>
      </c>
      <c r="CT6" t="inlineStr">
        <is>
          <t>1 Year</t>
        </is>
      </c>
      <c r="CV6" t="inlineStr">
        <is>
          <t>1 Year</t>
        </is>
      </c>
      <c r="CW6" t="inlineStr">
        <is>
          <t>Gaming Chair</t>
        </is>
      </c>
      <c r="CX6" t="inlineStr">
        <is>
          <t>Plastic</t>
        </is>
      </c>
      <c r="CY6" t="inlineStr">
        <is>
          <t>Fabric</t>
        </is>
      </c>
      <c r="CZ6" t="inlineStr">
        <is>
          <t>Brass</t>
        </is>
      </c>
      <c r="DA6" t="inlineStr">
        <is>
          <t>Faux Leather</t>
        </is>
      </c>
      <c r="DB6" t="inlineStr">
        <is>
          <t>Metal</t>
        </is>
      </c>
      <c r="DC6" t="inlineStr">
        <is>
          <t>Vinyl</t>
        </is>
      </c>
      <c r="DD6" t="inlineStr">
        <is>
          <t>Feather</t>
        </is>
      </c>
      <c r="DE6" t="inlineStr">
        <is>
          <t>Wormholes</t>
        </is>
      </c>
      <c r="DF6" t="inlineStr">
        <is>
          <t>Natural Stone Color Variation</t>
        </is>
      </c>
      <c r="DG6" t="inlineStr">
        <is>
          <t>Non-Adjustable</t>
        </is>
      </c>
      <c r="DH6" t="inlineStr">
        <is>
          <t>Porcelain</t>
        </is>
      </c>
      <c r="DJ6" t="inlineStr">
        <is>
          <t>Does Not Apply</t>
        </is>
      </c>
      <c r="DK6" t="inlineStr">
        <is>
          <t>Biscuit Joint</t>
        </is>
      </c>
      <c r="DL6" t="inlineStr">
        <is>
          <t>Alkaline</t>
        </is>
      </c>
      <c r="DN6" t="inlineStr">
        <is>
          <t>7</t>
        </is>
      </c>
      <c r="DP6" t="inlineStr">
        <is>
          <t>Cells of between 1 and 5 grams</t>
        </is>
      </c>
      <c r="DQ6" t="inlineStr">
        <is>
          <t>Batteries of between 100w/h and 300 w/h</t>
        </is>
      </c>
      <c r="DR6" t="inlineStr">
        <is>
          <t>Does Not Apply</t>
        </is>
      </c>
      <c r="DS6" t="inlineStr">
        <is>
          <t>Delicate cycle</t>
        </is>
      </c>
      <c r="DT6" t="inlineStr">
        <is>
          <t>Beige</t>
        </is>
      </c>
      <c r="DU6" t="inlineStr">
        <is>
          <t>Plastic / Acrylic</t>
        </is>
      </c>
      <c r="DV6" t="inlineStr">
        <is>
          <t>Foam</t>
        </is>
      </c>
      <c r="DW6" t="inlineStr">
        <is>
          <t>Gold</t>
        </is>
      </c>
      <c r="DX6" t="inlineStr">
        <is>
          <t>Beech</t>
        </is>
      </c>
      <c r="DY6" t="inlineStr">
        <is>
          <t>Square Arms</t>
        </is>
      </c>
      <c r="EA6" t="inlineStr">
        <is>
          <t>Synchro Tilt</t>
        </is>
      </c>
      <c r="EB6" t="inlineStr">
        <is>
          <t>Wheels / Casters</t>
        </is>
      </c>
      <c r="EC6" t="inlineStr">
        <is>
          <t>30,000-50,000</t>
        </is>
      </c>
      <c r="EH6" t="inlineStr">
        <is>
          <t>Does Not Apply</t>
        </is>
      </c>
      <c r="EI6" t="inlineStr">
        <is>
          <t>Does Not Apply</t>
        </is>
      </c>
      <c r="EN6" t="inlineStr">
        <is>
          <t>UN3496</t>
        </is>
      </c>
      <c r="EO6" t="inlineStr">
        <is>
          <t>5.2</t>
        </is>
      </c>
      <c r="EP6" t="inlineStr">
        <is>
          <t>Does Not Apply</t>
        </is>
      </c>
      <c r="EQ6" t="inlineStr">
        <is>
          <t>&gt;100 - ≤500g</t>
        </is>
      </c>
      <c r="ER6" t="inlineStr">
        <is>
          <t>Does Not Apply</t>
        </is>
      </c>
      <c r="EV6" t="inlineStr">
        <is>
          <t>Does Not Apply</t>
        </is>
      </c>
      <c r="EX6" t="inlineStr">
        <is>
          <t>Adjustable Wrench</t>
        </is>
      </c>
      <c r="EY6" t="inlineStr">
        <is>
          <t>1 Year</t>
        </is>
      </c>
      <c r="FA6" t="inlineStr">
        <is>
          <t>Mini Chest</t>
        </is>
      </c>
      <c r="FB6" t="inlineStr">
        <is>
          <t>Mango Wood</t>
        </is>
      </c>
      <c r="FC6" t="inlineStr">
        <is>
          <t>0.75 Extension</t>
        </is>
      </c>
      <c r="FE6" t="inlineStr">
        <is>
          <t>Wormholes</t>
        </is>
      </c>
      <c r="FF6" t="inlineStr">
        <is>
          <t>Natural Stone Color Variation</t>
        </is>
      </c>
      <c r="FH6" t="inlineStr">
        <is>
          <t>Aluminum</t>
        </is>
      </c>
      <c r="FI6" t="inlineStr">
        <is>
          <t>Does Not Apply</t>
        </is>
      </c>
      <c r="FJ6" t="inlineStr">
        <is>
          <t>Biscuit Joint</t>
        </is>
      </c>
      <c r="FK6" t="inlineStr">
        <is>
          <t>Beech</t>
        </is>
      </c>
      <c r="FL6" t="inlineStr">
        <is>
          <t>Delicate cycle</t>
        </is>
      </c>
      <c r="FM6" t="inlineStr">
        <is>
          <t>Beige</t>
        </is>
      </c>
      <c r="FN6" t="inlineStr">
        <is>
          <t>Does Not Apply</t>
        </is>
      </c>
      <c r="FO6" t="inlineStr">
        <is>
          <t>Lighting</t>
        </is>
      </c>
      <c r="GB6" t="inlineStr">
        <is>
          <t>Does Not Apply</t>
        </is>
      </c>
      <c r="GD6" t="inlineStr">
        <is>
          <t>Adjustable Wrench</t>
        </is>
      </c>
      <c r="GE6" t="inlineStr">
        <is>
          <t>1 Year</t>
        </is>
      </c>
      <c r="GG6" t="inlineStr">
        <is>
          <t>King</t>
        </is>
      </c>
      <c r="GH6" t="inlineStr">
        <is>
          <t>Beige</t>
        </is>
      </c>
      <c r="GI6" t="inlineStr">
        <is>
          <t>TV Bed</t>
        </is>
      </c>
      <c r="GJ6" t="inlineStr">
        <is>
          <t>Iron</t>
        </is>
      </c>
      <c r="GK6" t="inlineStr">
        <is>
          <t>Faux Leather</t>
        </is>
      </c>
      <c r="GL6" t="inlineStr">
        <is>
          <t>Shagreen Embossed</t>
        </is>
      </c>
      <c r="GM6" t="inlineStr">
        <is>
          <t>Solid + Manufactured Wood</t>
        </is>
      </c>
      <c r="GN6" t="inlineStr">
        <is>
          <t>Drawers</t>
        </is>
      </c>
      <c r="GO6" t="inlineStr">
        <is>
          <t>Natural Stone Color Variation</t>
        </is>
      </c>
      <c r="GP6" t="inlineStr">
        <is>
          <t>Wormholes</t>
        </is>
      </c>
      <c r="GR6" t="inlineStr">
        <is>
          <t>Does Not Apply</t>
        </is>
      </c>
      <c r="GS6" t="inlineStr">
        <is>
          <t>Biscuit Joint</t>
        </is>
      </c>
      <c r="GT6" t="inlineStr">
        <is>
          <t>Beech</t>
        </is>
      </c>
      <c r="GU6" t="inlineStr">
        <is>
          <t>Paisley</t>
        </is>
      </c>
      <c r="GV6" t="inlineStr">
        <is>
          <t>Alkaline</t>
        </is>
      </c>
      <c r="GX6" t="inlineStr">
        <is>
          <t>7</t>
        </is>
      </c>
      <c r="GZ6" t="inlineStr">
        <is>
          <t>Cells of between 1 and 5 grams</t>
        </is>
      </c>
      <c r="HA6" t="inlineStr">
        <is>
          <t>Batteries of between 100w/h and 300 w/h</t>
        </is>
      </c>
      <c r="HB6" t="inlineStr">
        <is>
          <t>Does Not Apply</t>
        </is>
      </c>
      <c r="HC6" t="inlineStr">
        <is>
          <t>Does Not Apply</t>
        </is>
      </c>
      <c r="HD6" t="inlineStr">
        <is>
          <t>Nubuck</t>
        </is>
      </c>
      <c r="HE6" t="inlineStr">
        <is>
          <t>Microfiber / Microsuede</t>
        </is>
      </c>
      <c r="HF6" t="inlineStr">
        <is>
          <t>Camelback</t>
        </is>
      </c>
      <c r="HG6" t="inlineStr">
        <is>
          <t>Built In Speaker</t>
        </is>
      </c>
      <c r="HH6" t="inlineStr">
        <is>
          <t>Mattress</t>
        </is>
      </c>
      <c r="HI6" t="inlineStr">
        <is>
          <t>Livesmart®</t>
        </is>
      </c>
      <c r="HN6" t="inlineStr">
        <is>
          <t>Does Not Apply</t>
        </is>
      </c>
      <c r="HO6" t="inlineStr">
        <is>
          <t>Does Not Apply</t>
        </is>
      </c>
      <c r="HV6" t="inlineStr">
        <is>
          <t>UN3496</t>
        </is>
      </c>
      <c r="HW6" t="inlineStr">
        <is>
          <t>5.2</t>
        </is>
      </c>
      <c r="HX6" t="inlineStr">
        <is>
          <t>Does Not Apply</t>
        </is>
      </c>
      <c r="HY6" t="inlineStr">
        <is>
          <t>&gt;100 - ≤500g</t>
        </is>
      </c>
      <c r="IF6" t="inlineStr">
        <is>
          <t>Does Not Apply</t>
        </is>
      </c>
      <c r="IH6" t="inlineStr">
        <is>
          <t>Adjustable Wrench</t>
        </is>
      </c>
      <c r="II6" t="inlineStr">
        <is>
          <t>1 Year</t>
        </is>
      </c>
      <c r="IK6" t="inlineStr">
        <is>
          <t>1 Year</t>
        </is>
      </c>
    </row>
    <row r="7">
      <c r="E7" t="inlineStr">
        <is>
          <t>Arm Type</t>
        </is>
      </c>
      <c r="I7" t="inlineStr">
        <is>
          <t>77.5</t>
        </is>
      </c>
      <c r="J7" t="inlineStr">
        <is>
          <t>120</t>
        </is>
      </c>
      <c r="K7" t="inlineStr">
        <is>
          <t>120</t>
        </is>
      </c>
      <c r="L7" t="inlineStr">
        <is>
          <t>Acetochlor</t>
        </is>
      </c>
      <c r="N7" t="inlineStr">
        <is>
          <t>Algeria</t>
        </is>
      </c>
      <c r="O7" t="inlineStr">
        <is>
          <t>Certifications</t>
        </is>
      </c>
      <c r="P7" t="inlineStr">
        <is>
          <t>AC Rated</t>
        </is>
      </c>
      <c r="R7" t="inlineStr">
        <is>
          <t>Greek</t>
        </is>
      </c>
      <c r="S7" t="inlineStr">
        <is>
          <t>Printer Stand</t>
        </is>
      </c>
      <c r="T7" t="inlineStr">
        <is>
          <t>Melamine</t>
        </is>
      </c>
      <c r="U7" t="inlineStr">
        <is>
          <t>Birch</t>
        </is>
      </c>
      <c r="Y7" t="inlineStr">
        <is>
          <t>Carbon Zinc</t>
        </is>
      </c>
      <c r="Z7" t="inlineStr">
        <is>
          <t>5</t>
        </is>
      </c>
      <c r="AB7" t="inlineStr">
        <is>
          <t>Batteries exceeding 25 grams</t>
        </is>
      </c>
      <c r="AC7" t="inlineStr">
        <is>
          <t>Batteries of 100w/h or less</t>
        </is>
      </c>
      <c r="AE7" t="inlineStr">
        <is>
          <t>Headboard</t>
        </is>
      </c>
      <c r="AF7" t="inlineStr">
        <is>
          <t>Tank mount</t>
        </is>
      </c>
      <c r="AG7" t="inlineStr">
        <is>
          <t>Polished Chrome</t>
        </is>
      </c>
      <c r="AH7" t="inlineStr">
        <is>
          <t>TV/Monitor</t>
        </is>
      </c>
      <c r="AI7" t="inlineStr">
        <is>
          <t>Cabinets</t>
        </is>
      </c>
      <c r="AR7" t="inlineStr">
        <is>
          <t>ID8000</t>
        </is>
      </c>
      <c r="AS7" t="inlineStr">
        <is>
          <t>6.1</t>
        </is>
      </c>
      <c r="AU7" t="inlineStr">
        <is>
          <t>&gt;500g - ≤1kg</t>
        </is>
      </c>
      <c r="AW7" t="inlineStr">
        <is>
          <t>ETL Listed</t>
        </is>
      </c>
      <c r="AY7" t="inlineStr">
        <is>
          <t>2 Years</t>
        </is>
      </c>
      <c r="AZ7" t="inlineStr">
        <is>
          <t>2 Years</t>
        </is>
      </c>
      <c r="BB7" t="inlineStr">
        <is>
          <t>Piers</t>
        </is>
      </c>
      <c r="BC7" t="inlineStr">
        <is>
          <t>Aluminum</t>
        </is>
      </c>
      <c r="BD7" t="inlineStr">
        <is>
          <t>No Natural Variation</t>
        </is>
      </c>
      <c r="BE7" t="inlineStr">
        <is>
          <t>Unavailable</t>
        </is>
      </c>
      <c r="BI7" t="inlineStr">
        <is>
          <t>Tongue and Groove</t>
        </is>
      </c>
      <c r="BJ7" t="inlineStr">
        <is>
          <t>Birch</t>
        </is>
      </c>
      <c r="BK7" t="inlineStr">
        <is>
          <t>Carbon Zinc</t>
        </is>
      </c>
      <c r="BM7" t="inlineStr">
        <is>
          <t>5</t>
        </is>
      </c>
      <c r="BO7" t="inlineStr">
        <is>
          <t>Batteries exceeding 25 grams</t>
        </is>
      </c>
      <c r="BP7" t="inlineStr">
        <is>
          <t>Batteries of 100w/h or less</t>
        </is>
      </c>
      <c r="BR7" t="inlineStr">
        <is>
          <t>Commercial laundry safe</t>
        </is>
      </c>
      <c r="BS7" t="inlineStr">
        <is>
          <t>Stainless Steel</t>
        </is>
      </c>
      <c r="BT7" t="inlineStr">
        <is>
          <t>Polished Chrome</t>
        </is>
      </c>
      <c r="BU7" t="inlineStr">
        <is>
          <t>Full Extension</t>
        </is>
      </c>
      <c r="BV7" t="inlineStr">
        <is>
          <t>Recirculating</t>
        </is>
      </c>
      <c r="BW7" t="inlineStr">
        <is>
          <t>Liquid Propane</t>
        </is>
      </c>
      <c r="BX7" t="inlineStr">
        <is>
          <t>Barn Doors</t>
        </is>
      </c>
      <c r="BY7" t="inlineStr">
        <is>
          <t>Exterior Shelves</t>
        </is>
      </c>
      <c r="BZ7" t="inlineStr">
        <is>
          <t>Does Not Apply</t>
        </is>
      </c>
      <c r="CH7" t="inlineStr">
        <is>
          <t>ID8000</t>
        </is>
      </c>
      <c r="CI7" t="inlineStr">
        <is>
          <t>6.1</t>
        </is>
      </c>
      <c r="CK7" t="inlineStr">
        <is>
          <t>&gt;500g - ≤1kg</t>
        </is>
      </c>
      <c r="CM7" t="inlineStr">
        <is>
          <t>ETL Listed</t>
        </is>
      </c>
      <c r="CQ7" t="inlineStr">
        <is>
          <t>49"</t>
        </is>
      </c>
      <c r="CS7" t="inlineStr">
        <is>
          <t>Socket Wrench</t>
        </is>
      </c>
      <c r="CT7" t="inlineStr">
        <is>
          <t>2 Years</t>
        </is>
      </c>
      <c r="CV7" t="inlineStr">
        <is>
          <t>2 Years</t>
        </is>
      </c>
      <c r="CW7" t="inlineStr">
        <is>
          <t>Side Chair</t>
        </is>
      </c>
      <c r="CX7" t="inlineStr">
        <is>
          <t>Acrylic</t>
        </is>
      </c>
      <c r="CY7" t="inlineStr">
        <is>
          <t>Solid Wood</t>
        </is>
      </c>
      <c r="CZ7" t="inlineStr">
        <is>
          <t>Bungee</t>
        </is>
      </c>
      <c r="DA7" t="inlineStr">
        <is>
          <t>Polypropylene / Olefin</t>
        </is>
      </c>
      <c r="DB7" t="inlineStr">
        <is>
          <t>Vinyl</t>
        </is>
      </c>
      <c r="DC7" t="inlineStr">
        <is>
          <t>Polyester / Polyester Blend</t>
        </is>
      </c>
      <c r="DD7" t="inlineStr">
        <is>
          <t>Polyester</t>
        </is>
      </c>
      <c r="DE7" t="inlineStr">
        <is>
          <t>No Natural Variation</t>
        </is>
      </c>
      <c r="DF7" t="inlineStr">
        <is>
          <t>Unavailable</t>
        </is>
      </c>
      <c r="DG7" t="inlineStr">
        <is>
          <t>Flip Up</t>
        </is>
      </c>
      <c r="DH7" t="inlineStr">
        <is>
          <t>Thick Carpet and Shag Rugs</t>
        </is>
      </c>
      <c r="DK7" t="inlineStr">
        <is>
          <t>Tongue and Groove</t>
        </is>
      </c>
      <c r="DL7" t="inlineStr">
        <is>
          <t>Carbon Zinc</t>
        </is>
      </c>
      <c r="DN7" t="inlineStr">
        <is>
          <t>5</t>
        </is>
      </c>
      <c r="DP7" t="inlineStr">
        <is>
          <t>Batteries exceeding 25 grams</t>
        </is>
      </c>
      <c r="DQ7" t="inlineStr">
        <is>
          <t>Batteries of 100w/h or less</t>
        </is>
      </c>
      <c r="DS7" t="inlineStr">
        <is>
          <t>Commercial laundry safe</t>
        </is>
      </c>
      <c r="DT7" t="inlineStr">
        <is>
          <t>Tan</t>
        </is>
      </c>
      <c r="DU7" t="inlineStr">
        <is>
          <t>Wicker</t>
        </is>
      </c>
      <c r="DV7" t="inlineStr">
        <is>
          <t>Eco-Fill</t>
        </is>
      </c>
      <c r="DW7" t="inlineStr">
        <is>
          <t>Yellow</t>
        </is>
      </c>
      <c r="DX7" t="inlineStr">
        <is>
          <t>Birch</t>
        </is>
      </c>
      <c r="DY7" t="inlineStr">
        <is>
          <t>Pillow Top Arms</t>
        </is>
      </c>
      <c r="EA7" t="inlineStr">
        <is>
          <t>Rotational</t>
        </is>
      </c>
      <c r="EB7" t="inlineStr">
        <is>
          <t>Arms</t>
        </is>
      </c>
      <c r="EC7" t="inlineStr">
        <is>
          <t>15,000-30,000</t>
        </is>
      </c>
      <c r="EN7" t="inlineStr">
        <is>
          <t>ID8000</t>
        </is>
      </c>
      <c r="EO7" t="inlineStr">
        <is>
          <t>6.1</t>
        </is>
      </c>
      <c r="EQ7" t="inlineStr">
        <is>
          <t>&gt;500g - ≤1kg</t>
        </is>
      </c>
      <c r="EX7" t="inlineStr">
        <is>
          <t>Socket Wrench</t>
        </is>
      </c>
      <c r="EY7" t="inlineStr">
        <is>
          <t>2 Years</t>
        </is>
      </c>
      <c r="FA7" t="inlineStr">
        <is>
          <t>Standard Dresser / Chest</t>
        </is>
      </c>
      <c r="FB7" t="inlineStr">
        <is>
          <t>Aluminum</t>
        </is>
      </c>
      <c r="FC7" t="inlineStr">
        <is>
          <t>Full Extension</t>
        </is>
      </c>
      <c r="FE7" t="inlineStr">
        <is>
          <t>No Natural Variation</t>
        </is>
      </c>
      <c r="FF7" t="inlineStr">
        <is>
          <t>Unavailable</t>
        </is>
      </c>
      <c r="FH7" t="inlineStr">
        <is>
          <t>Melamine</t>
        </is>
      </c>
      <c r="FJ7" t="inlineStr">
        <is>
          <t>Tongue and Groove</t>
        </is>
      </c>
      <c r="FK7" t="inlineStr">
        <is>
          <t>Birch</t>
        </is>
      </c>
      <c r="FL7" t="inlineStr">
        <is>
          <t>Commercial laundry safe</t>
        </is>
      </c>
      <c r="FM7" t="inlineStr">
        <is>
          <t>Yellow</t>
        </is>
      </c>
      <c r="FO7" t="inlineStr">
        <is>
          <t>Cabinets</t>
        </is>
      </c>
      <c r="GD7" t="inlineStr">
        <is>
          <t>Socket Wrench</t>
        </is>
      </c>
      <c r="GE7" t="inlineStr">
        <is>
          <t>2 Years</t>
        </is>
      </c>
      <c r="GG7" t="inlineStr">
        <is>
          <t>California King</t>
        </is>
      </c>
      <c r="GH7" t="inlineStr">
        <is>
          <t>Yellow</t>
        </is>
      </c>
      <c r="GI7" t="inlineStr">
        <is>
          <t>Scalloped</t>
        </is>
      </c>
      <c r="GJ7" t="inlineStr">
        <is>
          <t>Cane</t>
        </is>
      </c>
      <c r="GK7" t="inlineStr">
        <is>
          <t>Polypropylene / Olefin</t>
        </is>
      </c>
      <c r="GL7" t="inlineStr">
        <is>
          <t>Bicast Leather</t>
        </is>
      </c>
      <c r="GM7" t="inlineStr">
        <is>
          <t>Plywood</t>
        </is>
      </c>
      <c r="GN7" t="inlineStr">
        <is>
          <t>Lift Up Storage</t>
        </is>
      </c>
      <c r="GO7" t="inlineStr">
        <is>
          <t>Unavailable</t>
        </is>
      </c>
      <c r="GP7" t="inlineStr">
        <is>
          <t>No Natural Variation</t>
        </is>
      </c>
      <c r="GS7" t="inlineStr">
        <is>
          <t>Tongue and Groove</t>
        </is>
      </c>
      <c r="GT7" t="inlineStr">
        <is>
          <t>Birch</t>
        </is>
      </c>
      <c r="GU7" t="inlineStr">
        <is>
          <t>Geometric</t>
        </is>
      </c>
      <c r="GV7" t="inlineStr">
        <is>
          <t>Carbon Zinc</t>
        </is>
      </c>
      <c r="GX7" t="inlineStr">
        <is>
          <t>5</t>
        </is>
      </c>
      <c r="GZ7" t="inlineStr">
        <is>
          <t>Batteries exceeding 25 grams</t>
        </is>
      </c>
      <c r="HA7" t="inlineStr">
        <is>
          <t>Batteries of 100w/h or less</t>
        </is>
      </c>
      <c r="HD7" t="inlineStr">
        <is>
          <t>Full Grain Leather</t>
        </is>
      </c>
      <c r="HE7" t="inlineStr">
        <is>
          <t>Twill</t>
        </is>
      </c>
      <c r="HF7" t="inlineStr">
        <is>
          <t>Scooped</t>
        </is>
      </c>
      <c r="HG7" t="inlineStr">
        <is>
          <t>Reclining Headboard Function</t>
        </is>
      </c>
      <c r="HH7" t="inlineStr">
        <is>
          <t>Trundle Bed</t>
        </is>
      </c>
      <c r="HI7" t="inlineStr">
        <is>
          <t>Perennials®</t>
        </is>
      </c>
      <c r="HV7" t="inlineStr">
        <is>
          <t>ID8000</t>
        </is>
      </c>
      <c r="HW7" t="inlineStr">
        <is>
          <t>6.1</t>
        </is>
      </c>
      <c r="HY7" t="inlineStr">
        <is>
          <t>&gt;500g - ≤1kg</t>
        </is>
      </c>
      <c r="IH7" t="inlineStr">
        <is>
          <t>Socket Wrench</t>
        </is>
      </c>
      <c r="II7" t="inlineStr">
        <is>
          <t>2 Years</t>
        </is>
      </c>
      <c r="IK7" t="inlineStr">
        <is>
          <t>2 Years</t>
        </is>
      </c>
    </row>
    <row r="8">
      <c r="E8" t="inlineStr">
        <is>
          <t>Customization</t>
        </is>
      </c>
      <c r="I8" t="inlineStr">
        <is>
          <t>85</t>
        </is>
      </c>
      <c r="J8" t="inlineStr">
        <is>
          <t>144</t>
        </is>
      </c>
      <c r="L8" t="inlineStr">
        <is>
          <t>Acetohydroxamic acid</t>
        </is>
      </c>
      <c r="N8" t="inlineStr">
        <is>
          <t>American Samoa</t>
        </is>
      </c>
      <c r="O8" t="inlineStr">
        <is>
          <t>Disclaimers</t>
        </is>
      </c>
      <c r="P8" t="inlineStr">
        <is>
          <t>ACT Flammability Guidelines Compliant</t>
        </is>
      </c>
      <c r="R8" t="inlineStr">
        <is>
          <t>English (United Kingdom)</t>
        </is>
      </c>
      <c r="S8" t="inlineStr">
        <is>
          <t>Utility Cart</t>
        </is>
      </c>
      <c r="T8" t="inlineStr">
        <is>
          <t>Polypropylene</t>
        </is>
      </c>
      <c r="U8" t="inlineStr">
        <is>
          <t>Camphor</t>
        </is>
      </c>
      <c r="Y8" t="inlineStr">
        <is>
          <t>Lead Acid (Spillable)</t>
        </is>
      </c>
      <c r="Z8" t="inlineStr">
        <is>
          <t>8</t>
        </is>
      </c>
      <c r="AB8" t="inlineStr">
        <is>
          <t>Does Not Apply</t>
        </is>
      </c>
      <c r="AC8" t="inlineStr">
        <is>
          <t>Does Not Apply</t>
        </is>
      </c>
      <c r="AE8" t="inlineStr">
        <is>
          <t>Back Cushion</t>
        </is>
      </c>
      <c r="AF8" t="inlineStr">
        <is>
          <t>Recessed</t>
        </is>
      </c>
      <c r="AG8" t="inlineStr">
        <is>
          <t>Polished Nickel</t>
        </is>
      </c>
      <c r="AH8" t="inlineStr">
        <is>
          <t>Unavailable</t>
        </is>
      </c>
      <c r="AI8" t="inlineStr">
        <is>
          <t>Unavailable</t>
        </is>
      </c>
      <c r="AR8" t="inlineStr">
        <is>
          <t>UN1013</t>
        </is>
      </c>
      <c r="AS8" t="inlineStr">
        <is>
          <t>3</t>
        </is>
      </c>
      <c r="AU8" t="inlineStr">
        <is>
          <t>&gt;125ml - ≤500ml</t>
        </is>
      </c>
      <c r="AW8" t="inlineStr">
        <is>
          <t>DBI Certification Ltd</t>
        </is>
      </c>
      <c r="AY8" t="inlineStr">
        <is>
          <t>3 Years</t>
        </is>
      </c>
      <c r="AZ8" t="inlineStr">
        <is>
          <t>3 Years</t>
        </is>
      </c>
      <c r="BB8" t="inlineStr">
        <is>
          <t>Floating mount</t>
        </is>
      </c>
      <c r="BC8" t="inlineStr">
        <is>
          <t>Manufactured Wood</t>
        </is>
      </c>
      <c r="BD8" t="inlineStr">
        <is>
          <t>No Distressing</t>
        </is>
      </c>
      <c r="BI8" t="inlineStr">
        <is>
          <t>Pocket Joint</t>
        </is>
      </c>
      <c r="BJ8" t="inlineStr">
        <is>
          <t>Camphor</t>
        </is>
      </c>
      <c r="BK8" t="inlineStr">
        <is>
          <t>Lead Acid (Spillable)</t>
        </is>
      </c>
      <c r="BM8" t="inlineStr">
        <is>
          <t>8</t>
        </is>
      </c>
      <c r="BO8" t="inlineStr">
        <is>
          <t>Does Not Apply</t>
        </is>
      </c>
      <c r="BP8" t="inlineStr">
        <is>
          <t>Does Not Apply</t>
        </is>
      </c>
      <c r="BR8" t="inlineStr">
        <is>
          <t>Do not use a fabric softener</t>
        </is>
      </c>
      <c r="BS8" t="inlineStr">
        <is>
          <t>Marble</t>
        </is>
      </c>
      <c r="BT8" t="inlineStr">
        <is>
          <t>Polished Nickel</t>
        </is>
      </c>
      <c r="BU8" t="inlineStr">
        <is>
          <t>Metal Slide</t>
        </is>
      </c>
      <c r="BV8" t="inlineStr">
        <is>
          <t>B-Vent</t>
        </is>
      </c>
      <c r="BW8" t="inlineStr">
        <is>
          <t>Wood Burning</t>
        </is>
      </c>
      <c r="BX8" t="inlineStr">
        <is>
          <t>Frosted</t>
        </is>
      </c>
      <c r="BY8" t="inlineStr">
        <is>
          <t>Fireplace Remote</t>
        </is>
      </c>
      <c r="CH8" t="inlineStr">
        <is>
          <t>UN1013</t>
        </is>
      </c>
      <c r="CI8" t="inlineStr">
        <is>
          <t>3</t>
        </is>
      </c>
      <c r="CK8" t="inlineStr">
        <is>
          <t>&gt;125ml - ≤500ml</t>
        </is>
      </c>
      <c r="CM8" t="inlineStr">
        <is>
          <t>DBI Certification Ltd</t>
        </is>
      </c>
      <c r="CQ8" t="inlineStr">
        <is>
          <t>55"</t>
        </is>
      </c>
      <c r="CS8" t="inlineStr">
        <is>
          <t>Power Drill</t>
        </is>
      </c>
      <c r="CT8" t="inlineStr">
        <is>
          <t>3 Years</t>
        </is>
      </c>
      <c r="CV8" t="inlineStr">
        <is>
          <t>3 Years</t>
        </is>
      </c>
      <c r="CW8" t="inlineStr">
        <is>
          <t>Task Chair</t>
        </is>
      </c>
      <c r="CX8" t="inlineStr">
        <is>
          <t>Manufactured Wood</t>
        </is>
      </c>
      <c r="CY8" t="inlineStr">
        <is>
          <t>Metal</t>
        </is>
      </c>
      <c r="CZ8" t="inlineStr">
        <is>
          <t>Chenille</t>
        </is>
      </c>
      <c r="DA8" t="inlineStr">
        <is>
          <t>Leather Match</t>
        </is>
      </c>
      <c r="DB8" t="inlineStr">
        <is>
          <t>Mesh</t>
        </is>
      </c>
      <c r="DC8" t="inlineStr">
        <is>
          <t>Faux Fur</t>
        </is>
      </c>
      <c r="DD8" t="inlineStr">
        <is>
          <t>Pellets / Beads</t>
        </is>
      </c>
      <c r="DE8" t="inlineStr">
        <is>
          <t>No Distressing</t>
        </is>
      </c>
      <c r="DG8" t="inlineStr">
        <is>
          <t>Unavailable</t>
        </is>
      </c>
      <c r="DH8" t="inlineStr">
        <is>
          <t>Vinyl</t>
        </is>
      </c>
      <c r="DK8" t="inlineStr">
        <is>
          <t>Pocket Joint</t>
        </is>
      </c>
      <c r="DL8" t="inlineStr">
        <is>
          <t>Lead Acid (Spillable)</t>
        </is>
      </c>
      <c r="DN8" t="inlineStr">
        <is>
          <t>8</t>
        </is>
      </c>
      <c r="DP8" t="inlineStr">
        <is>
          <t>Does Not Apply</t>
        </is>
      </c>
      <c r="DQ8" t="inlineStr">
        <is>
          <t>Does Not Apply</t>
        </is>
      </c>
      <c r="DS8" t="inlineStr">
        <is>
          <t>Do not use a fabric softener</t>
        </is>
      </c>
      <c r="DT8" t="inlineStr">
        <is>
          <t>Gray</t>
        </is>
      </c>
      <c r="DU8" t="inlineStr">
        <is>
          <t>Fabric</t>
        </is>
      </c>
      <c r="DV8" t="inlineStr">
        <is>
          <t>Pellets / Beads</t>
        </is>
      </c>
      <c r="DW8" t="inlineStr">
        <is>
          <t>Clear</t>
        </is>
      </c>
      <c r="DX8" t="inlineStr">
        <is>
          <t>Camphor</t>
        </is>
      </c>
      <c r="DY8" t="inlineStr">
        <is>
          <t>Rolled Arms</t>
        </is>
      </c>
      <c r="EA8" t="inlineStr">
        <is>
          <t>Collar Tilt</t>
        </is>
      </c>
      <c r="EB8" t="inlineStr">
        <is>
          <t>Footrest</t>
        </is>
      </c>
      <c r="EC8" t="inlineStr">
        <is>
          <t>50,000+</t>
        </is>
      </c>
      <c r="EN8" t="inlineStr">
        <is>
          <t>UN1013</t>
        </is>
      </c>
      <c r="EO8" t="inlineStr">
        <is>
          <t>3</t>
        </is>
      </c>
      <c r="EQ8" t="inlineStr">
        <is>
          <t>&gt;125ml - ≤500ml</t>
        </is>
      </c>
      <c r="EX8" t="inlineStr">
        <is>
          <t>Power Drill</t>
        </is>
      </c>
      <c r="EY8" t="inlineStr">
        <is>
          <t>3 Years</t>
        </is>
      </c>
      <c r="FA8" t="inlineStr">
        <is>
          <t>Unavailable</t>
        </is>
      </c>
      <c r="FB8" t="inlineStr">
        <is>
          <t>Manufactured Wood</t>
        </is>
      </c>
      <c r="FC8" t="inlineStr">
        <is>
          <t>Metal Slide</t>
        </is>
      </c>
      <c r="FE8" t="inlineStr">
        <is>
          <t>No Distressing</t>
        </is>
      </c>
      <c r="FH8" t="inlineStr">
        <is>
          <t>Silicone</t>
        </is>
      </c>
      <c r="FJ8" t="inlineStr">
        <is>
          <t>Pocket Joint</t>
        </is>
      </c>
      <c r="FK8" t="inlineStr">
        <is>
          <t>Camphor</t>
        </is>
      </c>
      <c r="FL8" t="inlineStr">
        <is>
          <t>Do not use a fabric softener</t>
        </is>
      </c>
      <c r="FM8" t="inlineStr">
        <is>
          <t>Pink</t>
        </is>
      </c>
      <c r="FO8" t="inlineStr">
        <is>
          <t>Doors</t>
        </is>
      </c>
      <c r="GD8" t="inlineStr">
        <is>
          <t>Power Drill</t>
        </is>
      </c>
      <c r="GE8" t="inlineStr">
        <is>
          <t>3 Years</t>
        </is>
      </c>
      <c r="GG8" t="inlineStr">
        <is>
          <t>Full XL</t>
        </is>
      </c>
      <c r="GH8" t="inlineStr">
        <is>
          <t>Pink</t>
        </is>
      </c>
      <c r="GI8" t="inlineStr">
        <is>
          <t>Panel Headboard Design</t>
        </is>
      </c>
      <c r="GJ8" t="inlineStr">
        <is>
          <t>Aluminum</t>
        </is>
      </c>
      <c r="GK8" t="inlineStr">
        <is>
          <t>Leather Match</t>
        </is>
      </c>
      <c r="GL8" t="inlineStr">
        <is>
          <t>Faux Cowhide</t>
        </is>
      </c>
      <c r="GM8" t="inlineStr">
        <is>
          <t>Bamboo</t>
        </is>
      </c>
      <c r="GN8" t="inlineStr">
        <is>
          <t>Unavailable</t>
        </is>
      </c>
      <c r="GP8" t="inlineStr">
        <is>
          <t>No Distressing</t>
        </is>
      </c>
      <c r="GS8" t="inlineStr">
        <is>
          <t>Pocket Joint</t>
        </is>
      </c>
      <c r="GT8" t="inlineStr">
        <is>
          <t>Camphor</t>
        </is>
      </c>
      <c r="GU8" t="inlineStr">
        <is>
          <t>Abstract</t>
        </is>
      </c>
      <c r="GV8" t="inlineStr">
        <is>
          <t>Lead Acid (Spillable)</t>
        </is>
      </c>
      <c r="GX8" t="inlineStr">
        <is>
          <t>8</t>
        </is>
      </c>
      <c r="GZ8" t="inlineStr">
        <is>
          <t>Does Not Apply</t>
        </is>
      </c>
      <c r="HA8" t="inlineStr">
        <is>
          <t>Does Not Apply</t>
        </is>
      </c>
      <c r="HD8" t="inlineStr">
        <is>
          <t>Sheepskin</t>
        </is>
      </c>
      <c r="HE8" t="inlineStr">
        <is>
          <t>Unavailable</t>
        </is>
      </c>
      <c r="HF8" t="inlineStr">
        <is>
          <t>Stepped</t>
        </is>
      </c>
      <c r="HG8" t="inlineStr">
        <is>
          <t>Built In USB Port</t>
        </is>
      </c>
      <c r="HH8" t="inlineStr">
        <is>
          <t>Center Support Legs</t>
        </is>
      </c>
      <c r="HI8" t="inlineStr">
        <is>
          <t>Outdura</t>
        </is>
      </c>
      <c r="HV8" t="inlineStr">
        <is>
          <t>UN1013</t>
        </is>
      </c>
      <c r="HW8" t="inlineStr">
        <is>
          <t>3</t>
        </is>
      </c>
      <c r="HY8" t="inlineStr">
        <is>
          <t>&gt;125ml - ≤500ml</t>
        </is>
      </c>
      <c r="IH8" t="inlineStr">
        <is>
          <t>Power Drill</t>
        </is>
      </c>
      <c r="II8" t="inlineStr">
        <is>
          <t>3 Years</t>
        </is>
      </c>
      <c r="IK8" t="inlineStr">
        <is>
          <t>3 Years</t>
        </is>
      </c>
    </row>
    <row r="9">
      <c r="E9" t="inlineStr">
        <is>
          <t>Back Height</t>
        </is>
      </c>
      <c r="I9" t="inlineStr">
        <is>
          <t>92.5</t>
        </is>
      </c>
      <c r="J9" t="inlineStr">
        <is>
          <t>168</t>
        </is>
      </c>
      <c r="L9" t="inlineStr">
        <is>
          <t>2-Acetylaminofluorene</t>
        </is>
      </c>
      <c r="N9" t="inlineStr">
        <is>
          <t>Andorra</t>
        </is>
      </c>
      <c r="O9" t="inlineStr">
        <is>
          <t>Buying Guides</t>
        </is>
      </c>
      <c r="P9" t="inlineStr">
        <is>
          <t>AHAM CADR Dust rating</t>
        </is>
      </c>
      <c r="R9" t="inlineStr">
        <is>
          <t>English (United States)</t>
        </is>
      </c>
      <c r="S9" t="inlineStr">
        <is>
          <t>Laptop/Tablet Storage Cart</t>
        </is>
      </c>
      <c r="T9" t="inlineStr">
        <is>
          <t>Cane</t>
        </is>
      </c>
      <c r="U9" t="inlineStr">
        <is>
          <t>Cedar</t>
        </is>
      </c>
      <c r="Y9" t="inlineStr">
        <is>
          <t>Lead Acid (Non-Spillable)</t>
        </is>
      </c>
      <c r="Z9" t="inlineStr">
        <is>
          <t>10</t>
        </is>
      </c>
      <c r="AE9" t="inlineStr">
        <is>
          <t>Footboard</t>
        </is>
      </c>
      <c r="AF9" t="inlineStr">
        <is>
          <t>Unavailable</t>
        </is>
      </c>
      <c r="AG9" t="inlineStr">
        <is>
          <t>Stainless Steel</t>
        </is>
      </c>
      <c r="AH9" t="inlineStr">
        <is>
          <t>Does Not Apply</t>
        </is>
      </c>
      <c r="AI9" t="inlineStr">
        <is>
          <t>Does Not Apply</t>
        </is>
      </c>
      <c r="AR9" t="inlineStr">
        <is>
          <t>UN3082</t>
        </is>
      </c>
      <c r="AS9" t="inlineStr">
        <is>
          <t>4.1</t>
        </is>
      </c>
      <c r="AU9" t="inlineStr">
        <is>
          <t>&gt;25 - ≤125ml</t>
        </is>
      </c>
      <c r="AW9" t="inlineStr">
        <is>
          <t>UL Listed</t>
        </is>
      </c>
      <c r="AY9" t="inlineStr">
        <is>
          <t>5 Years</t>
        </is>
      </c>
      <c r="AZ9" t="inlineStr">
        <is>
          <t>5 Years</t>
        </is>
      </c>
      <c r="BB9" t="inlineStr">
        <is>
          <t>Standard</t>
        </is>
      </c>
      <c r="BC9" t="inlineStr">
        <is>
          <t>Leather</t>
        </is>
      </c>
      <c r="BD9" t="inlineStr">
        <is>
          <t>Distressed Metal</t>
        </is>
      </c>
      <c r="BI9" t="inlineStr">
        <is>
          <t>Cam Bolt</t>
        </is>
      </c>
      <c r="BJ9" t="inlineStr">
        <is>
          <t>Cedar</t>
        </is>
      </c>
      <c r="BK9" t="inlineStr">
        <is>
          <t>Lead Acid (Non-Spillable)</t>
        </is>
      </c>
      <c r="BM9" t="inlineStr">
        <is>
          <t>10</t>
        </is>
      </c>
      <c r="BR9" t="inlineStr">
        <is>
          <t>Cold wash</t>
        </is>
      </c>
      <c r="BS9" t="inlineStr">
        <is>
          <t>Solid + Manufactured Wood</t>
        </is>
      </c>
      <c r="BT9" t="inlineStr">
        <is>
          <t>Stainless Steel</t>
        </is>
      </c>
      <c r="BU9" t="inlineStr">
        <is>
          <t>0.5 Extension</t>
        </is>
      </c>
      <c r="BV9" t="inlineStr">
        <is>
          <t>Does Not Apply</t>
        </is>
      </c>
      <c r="BW9" t="inlineStr">
        <is>
          <t>Gel Fuel</t>
        </is>
      </c>
      <c r="BX9" t="inlineStr">
        <is>
          <t>Insulated</t>
        </is>
      </c>
      <c r="BY9" t="inlineStr">
        <is>
          <t>Integrated TV Mount</t>
        </is>
      </c>
      <c r="CH9" t="inlineStr">
        <is>
          <t>UN3082</t>
        </is>
      </c>
      <c r="CI9" t="inlineStr">
        <is>
          <t>4.1</t>
        </is>
      </c>
      <c r="CK9" t="inlineStr">
        <is>
          <t>&gt;25 - ≤125ml</t>
        </is>
      </c>
      <c r="CM9" t="inlineStr">
        <is>
          <t>UL Listed</t>
        </is>
      </c>
      <c r="CQ9" t="inlineStr">
        <is>
          <t>50"</t>
        </is>
      </c>
      <c r="CS9" t="inlineStr">
        <is>
          <t>Hammer</t>
        </is>
      </c>
      <c r="CT9" t="inlineStr">
        <is>
          <t>5 Years</t>
        </is>
      </c>
      <c r="CV9" t="inlineStr">
        <is>
          <t>5 Years</t>
        </is>
      </c>
      <c r="CW9" t="inlineStr">
        <is>
          <t>Criss Cross Chair</t>
        </is>
      </c>
      <c r="CX9" t="inlineStr">
        <is>
          <t>Solid + Manufactured Wood</t>
        </is>
      </c>
      <c r="CY9" t="inlineStr">
        <is>
          <t>Plastic</t>
        </is>
      </c>
      <c r="CZ9" t="inlineStr">
        <is>
          <t>Concrete</t>
        </is>
      </c>
      <c r="DA9" t="inlineStr">
        <is>
          <t>Vinyl</t>
        </is>
      </c>
      <c r="DB9" t="inlineStr">
        <is>
          <t>Plastic / Acrylic</t>
        </is>
      </c>
      <c r="DC9" t="inlineStr">
        <is>
          <t>Faux Leather</t>
        </is>
      </c>
      <c r="DD9" t="inlineStr">
        <is>
          <t>Unavailable</t>
        </is>
      </c>
      <c r="DE9" t="inlineStr">
        <is>
          <t>Distressed Metal</t>
        </is>
      </c>
      <c r="DG9" t="inlineStr">
        <is>
          <t>Does Not Apply</t>
        </is>
      </c>
      <c r="DH9" t="inlineStr">
        <is>
          <t>Metal</t>
        </is>
      </c>
      <c r="DK9" t="inlineStr">
        <is>
          <t>Cam Bolt</t>
        </is>
      </c>
      <c r="DL9" t="inlineStr">
        <is>
          <t>Lead Acid (Non-Spillable)</t>
        </is>
      </c>
      <c r="DN9" t="inlineStr">
        <is>
          <t>10</t>
        </is>
      </c>
      <c r="DS9" t="inlineStr">
        <is>
          <t>Cold wash</t>
        </is>
      </c>
      <c r="DT9" t="inlineStr">
        <is>
          <t>Black</t>
        </is>
      </c>
      <c r="DU9" t="inlineStr">
        <is>
          <t>Metal</t>
        </is>
      </c>
      <c r="DV9" t="inlineStr">
        <is>
          <t>Cotton</t>
        </is>
      </c>
      <c r="DW9" t="inlineStr">
        <is>
          <t>Satin Black</t>
        </is>
      </c>
      <c r="DX9" t="inlineStr">
        <is>
          <t>Cedar</t>
        </is>
      </c>
      <c r="DY9" t="inlineStr">
        <is>
          <t>Recessed Arms</t>
        </is>
      </c>
      <c r="EA9" t="inlineStr">
        <is>
          <t>Push Button</t>
        </is>
      </c>
      <c r="EB9" t="inlineStr">
        <is>
          <t>Unavailable</t>
        </is>
      </c>
      <c r="EC9" t="inlineStr">
        <is>
          <t>Unavailable</t>
        </is>
      </c>
      <c r="EN9" t="inlineStr">
        <is>
          <t>UN3082</t>
        </is>
      </c>
      <c r="EO9" t="inlineStr">
        <is>
          <t>4.1</t>
        </is>
      </c>
      <c r="EQ9" t="inlineStr">
        <is>
          <t>&gt;25 - ≤125ml</t>
        </is>
      </c>
      <c r="EX9" t="inlineStr">
        <is>
          <t>Hammer</t>
        </is>
      </c>
      <c r="EY9" t="inlineStr">
        <is>
          <t>5 Years</t>
        </is>
      </c>
      <c r="FB9" t="inlineStr">
        <is>
          <t>Leather</t>
        </is>
      </c>
      <c r="FC9" t="inlineStr">
        <is>
          <t>0.5 Extension</t>
        </is>
      </c>
      <c r="FE9" t="inlineStr">
        <is>
          <t>Distressed Metal</t>
        </is>
      </c>
      <c r="FH9" t="inlineStr">
        <is>
          <t>Brass</t>
        </is>
      </c>
      <c r="FJ9" t="inlineStr">
        <is>
          <t>Cam Bolt</t>
        </is>
      </c>
      <c r="FK9" t="inlineStr">
        <is>
          <t>Cedar</t>
        </is>
      </c>
      <c r="FL9" t="inlineStr">
        <is>
          <t>Cold wash</t>
        </is>
      </c>
      <c r="FM9" t="inlineStr">
        <is>
          <t>Purple</t>
        </is>
      </c>
      <c r="FO9" t="inlineStr">
        <is>
          <t>Unavailable</t>
        </is>
      </c>
      <c r="GD9" t="inlineStr">
        <is>
          <t>Hammer</t>
        </is>
      </c>
      <c r="GE9" t="inlineStr">
        <is>
          <t>5 Years</t>
        </is>
      </c>
      <c r="GG9" t="inlineStr">
        <is>
          <t>Super Single</t>
        </is>
      </c>
      <c r="GH9" t="inlineStr">
        <is>
          <t>Purple</t>
        </is>
      </c>
      <c r="GI9" t="inlineStr">
        <is>
          <t>Bookcase</t>
        </is>
      </c>
      <c r="GJ9" t="inlineStr">
        <is>
          <t>Manufactured Wood</t>
        </is>
      </c>
      <c r="GK9" t="inlineStr">
        <is>
          <t>Vinyl</t>
        </is>
      </c>
      <c r="GL9" t="inlineStr">
        <is>
          <t>Faux Sheepskin</t>
        </is>
      </c>
      <c r="GM9" t="inlineStr">
        <is>
          <t>Unavailable</t>
        </is>
      </c>
      <c r="GN9" t="inlineStr">
        <is>
          <t>Does Not Apply</t>
        </is>
      </c>
      <c r="GP9" t="inlineStr">
        <is>
          <t>Distressed Metal</t>
        </is>
      </c>
      <c r="GS9" t="inlineStr">
        <is>
          <t>Cam Bolt</t>
        </is>
      </c>
      <c r="GT9" t="inlineStr">
        <is>
          <t>Cedar</t>
        </is>
      </c>
      <c r="GU9" t="inlineStr">
        <is>
          <t>Gingham</t>
        </is>
      </c>
      <c r="GV9" t="inlineStr">
        <is>
          <t>Lead Acid (Non-Spillable)</t>
        </is>
      </c>
      <c r="GX9" t="inlineStr">
        <is>
          <t>10</t>
        </is>
      </c>
      <c r="HD9" t="inlineStr">
        <is>
          <t>Cowhide</t>
        </is>
      </c>
      <c r="HE9" t="inlineStr">
        <is>
          <t>Does Not Apply</t>
        </is>
      </c>
      <c r="HF9" t="inlineStr">
        <is>
          <t>Other</t>
        </is>
      </c>
      <c r="HG9" t="inlineStr">
        <is>
          <t>Adjustable Lighting</t>
        </is>
      </c>
      <c r="HH9" t="inlineStr">
        <is>
          <t>Slat Kit</t>
        </is>
      </c>
      <c r="HI9" t="inlineStr">
        <is>
          <t>Crypton®</t>
        </is>
      </c>
      <c r="HV9" t="inlineStr">
        <is>
          <t>UN3082</t>
        </is>
      </c>
      <c r="HW9" t="inlineStr">
        <is>
          <t>4.1</t>
        </is>
      </c>
      <c r="HY9" t="inlineStr">
        <is>
          <t>&gt;25 - ≤125ml</t>
        </is>
      </c>
      <c r="IH9" t="inlineStr">
        <is>
          <t>Hammer</t>
        </is>
      </c>
      <c r="II9" t="inlineStr">
        <is>
          <t>5 Years</t>
        </is>
      </c>
      <c r="IK9" t="inlineStr">
        <is>
          <t>5 Years</t>
        </is>
      </c>
    </row>
    <row r="10">
      <c r="E10" t="inlineStr">
        <is>
          <t>Team Logo</t>
        </is>
      </c>
      <c r="I10" t="inlineStr">
        <is>
          <t>100</t>
        </is>
      </c>
      <c r="J10" t="inlineStr">
        <is>
          <t>192</t>
        </is>
      </c>
      <c r="L10" t="inlineStr">
        <is>
          <t>Acifluorfen sodium</t>
        </is>
      </c>
      <c r="N10" t="inlineStr">
        <is>
          <t>Angola</t>
        </is>
      </c>
      <c r="O10" t="inlineStr">
        <is>
          <t>Promotions</t>
        </is>
      </c>
      <c r="P10" t="inlineStr">
        <is>
          <t>AHAM CADR Pollen rating</t>
        </is>
      </c>
      <c r="R10" t="inlineStr">
        <is>
          <t>Spanish</t>
        </is>
      </c>
      <c r="T10" t="inlineStr">
        <is>
          <t>Raffia</t>
        </is>
      </c>
      <c r="U10" t="inlineStr">
        <is>
          <t>Cherry</t>
        </is>
      </c>
      <c r="Y10" t="inlineStr">
        <is>
          <t>Silver Oxide</t>
        </is>
      </c>
      <c r="Z10" t="inlineStr">
        <is>
          <t>4</t>
        </is>
      </c>
      <c r="AE10" t="inlineStr">
        <is>
          <t>Tray</t>
        </is>
      </c>
      <c r="AG10" t="inlineStr">
        <is>
          <t>Bronze</t>
        </is>
      </c>
      <c r="AR10" t="inlineStr">
        <is>
          <t>UN3077</t>
        </is>
      </c>
      <c r="AS10" t="inlineStr">
        <is>
          <t>4.3</t>
        </is>
      </c>
      <c r="AU10" t="inlineStr">
        <is>
          <t>&gt;1kg - ≤5kg</t>
        </is>
      </c>
      <c r="AW10" t="inlineStr">
        <is>
          <t>cETL Listed</t>
        </is>
      </c>
      <c r="AY10" t="inlineStr">
        <is>
          <t>10 Years</t>
        </is>
      </c>
      <c r="AZ10" t="inlineStr">
        <is>
          <t>10 Years</t>
        </is>
      </c>
      <c r="BB10" t="inlineStr">
        <is>
          <t>Demilune</t>
        </is>
      </c>
      <c r="BC10" t="inlineStr">
        <is>
          <t>Bamboo</t>
        </is>
      </c>
      <c r="BD10" t="inlineStr">
        <is>
          <t>Worn/Fade</t>
        </is>
      </c>
      <c r="BI10" t="inlineStr">
        <is>
          <t>Dowel Joint</t>
        </is>
      </c>
      <c r="BJ10" t="inlineStr">
        <is>
          <t>Cherry</t>
        </is>
      </c>
      <c r="BK10" t="inlineStr">
        <is>
          <t>Silver Oxide</t>
        </is>
      </c>
      <c r="BM10" t="inlineStr">
        <is>
          <t>4</t>
        </is>
      </c>
      <c r="BR10" t="inlineStr">
        <is>
          <t>Sweep / Dust Mop</t>
        </is>
      </c>
      <c r="BS10" t="inlineStr">
        <is>
          <t>Wood</t>
        </is>
      </c>
      <c r="BT10" t="inlineStr">
        <is>
          <t>Bronze</t>
        </is>
      </c>
      <c r="BU10" t="inlineStr">
        <is>
          <t>Wood Slide</t>
        </is>
      </c>
      <c r="BW10" t="inlineStr">
        <is>
          <t>Bio-Ethanol</t>
        </is>
      </c>
      <c r="BX10" t="inlineStr">
        <is>
          <t>Contoured</t>
        </is>
      </c>
      <c r="BY10" t="inlineStr">
        <is>
          <t>Interior Shelves</t>
        </is>
      </c>
      <c r="CH10" t="inlineStr">
        <is>
          <t>UN3077</t>
        </is>
      </c>
      <c r="CI10" t="inlineStr">
        <is>
          <t>4.3</t>
        </is>
      </c>
      <c r="CK10" t="inlineStr">
        <is>
          <t>&gt;1kg - ≤5kg</t>
        </is>
      </c>
      <c r="CM10" t="inlineStr">
        <is>
          <t>cETL Listed</t>
        </is>
      </c>
      <c r="CQ10" t="inlineStr">
        <is>
          <t>58"</t>
        </is>
      </c>
      <c r="CS10" t="inlineStr">
        <is>
          <t>Pliers</t>
        </is>
      </c>
      <c r="CT10" t="inlineStr">
        <is>
          <t>10 Years</t>
        </is>
      </c>
      <c r="CV10" t="inlineStr">
        <is>
          <t>10 Years</t>
        </is>
      </c>
      <c r="CX10" t="inlineStr">
        <is>
          <t>Steel</t>
        </is>
      </c>
      <c r="CY10" t="inlineStr">
        <is>
          <t>Leather</t>
        </is>
      </c>
      <c r="CZ10" t="inlineStr">
        <is>
          <t>Copper</t>
        </is>
      </c>
      <c r="DA10" t="inlineStr">
        <is>
          <t>Polyester</t>
        </is>
      </c>
      <c r="DB10" t="inlineStr">
        <is>
          <t>Manufactured Wood</t>
        </is>
      </c>
      <c r="DC10" t="inlineStr">
        <is>
          <t>Suede</t>
        </is>
      </c>
      <c r="DD10" t="inlineStr">
        <is>
          <t>Does Not Apply</t>
        </is>
      </c>
      <c r="DE10" t="inlineStr">
        <is>
          <t>Worn/Fade</t>
        </is>
      </c>
      <c r="DH10" t="inlineStr">
        <is>
          <t>Rug</t>
        </is>
      </c>
      <c r="DK10" t="inlineStr">
        <is>
          <t>Dowel Joint</t>
        </is>
      </c>
      <c r="DL10" t="inlineStr">
        <is>
          <t>Silver Oxide</t>
        </is>
      </c>
      <c r="DN10" t="inlineStr">
        <is>
          <t>4</t>
        </is>
      </c>
      <c r="DS10" t="inlineStr">
        <is>
          <t>Sweep / Dust Mop</t>
        </is>
      </c>
      <c r="DT10" t="inlineStr">
        <is>
          <t>Clear</t>
        </is>
      </c>
      <c r="DU10" t="inlineStr">
        <is>
          <t>Nylon</t>
        </is>
      </c>
      <c r="DV10" t="inlineStr">
        <is>
          <t>Polyester</t>
        </is>
      </c>
      <c r="DW10" t="inlineStr">
        <is>
          <t>Medium Wood</t>
        </is>
      </c>
      <c r="DX10" t="inlineStr">
        <is>
          <t>Cherry</t>
        </is>
      </c>
      <c r="DY10" t="inlineStr">
        <is>
          <t>Charles of London</t>
        </is>
      </c>
      <c r="EA10" t="inlineStr">
        <is>
          <t>Does Not Apply</t>
        </is>
      </c>
      <c r="EB10" t="inlineStr">
        <is>
          <t>Does Not Apply</t>
        </is>
      </c>
      <c r="EC10" t="inlineStr">
        <is>
          <t>Does Not Apply</t>
        </is>
      </c>
      <c r="EN10" t="inlineStr">
        <is>
          <t>UN3077</t>
        </is>
      </c>
      <c r="EO10" t="inlineStr">
        <is>
          <t>4.3</t>
        </is>
      </c>
      <c r="EQ10" t="inlineStr">
        <is>
          <t>&gt;1kg - ≤5kg</t>
        </is>
      </c>
      <c r="EX10" t="inlineStr">
        <is>
          <t>Pliers</t>
        </is>
      </c>
      <c r="EY10" t="inlineStr">
        <is>
          <t>10 Years</t>
        </is>
      </c>
      <c r="FB10" t="inlineStr">
        <is>
          <t>Bamboo</t>
        </is>
      </c>
      <c r="FC10" t="inlineStr">
        <is>
          <t>Wood Slide</t>
        </is>
      </c>
      <c r="FE10" t="inlineStr">
        <is>
          <t>Worn/Fade</t>
        </is>
      </c>
      <c r="FH10" t="inlineStr">
        <is>
          <t>Fabric</t>
        </is>
      </c>
      <c r="FJ10" t="inlineStr">
        <is>
          <t>Dowel Joint</t>
        </is>
      </c>
      <c r="FK10" t="inlineStr">
        <is>
          <t>Cherry</t>
        </is>
      </c>
      <c r="FL10" t="inlineStr">
        <is>
          <t>Sweep / Dust Mop</t>
        </is>
      </c>
      <c r="FM10" t="inlineStr">
        <is>
          <t>Gold</t>
        </is>
      </c>
      <c r="FO10" t="inlineStr">
        <is>
          <t>Does Not Apply</t>
        </is>
      </c>
      <c r="GD10" t="inlineStr">
        <is>
          <t>Pliers</t>
        </is>
      </c>
      <c r="GE10" t="inlineStr">
        <is>
          <t>10 Years</t>
        </is>
      </c>
      <c r="GG10" t="inlineStr">
        <is>
          <t>RV King</t>
        </is>
      </c>
      <c r="GH10" t="inlineStr">
        <is>
          <t>Gold</t>
        </is>
      </c>
      <c r="GI10" t="inlineStr">
        <is>
          <t>Spindle</t>
        </is>
      </c>
      <c r="GJ10" t="inlineStr">
        <is>
          <t>Nickel</t>
        </is>
      </c>
      <c r="GK10" t="inlineStr">
        <is>
          <t>Polyester</t>
        </is>
      </c>
      <c r="GL10" t="inlineStr">
        <is>
          <t>Faux Shearing</t>
        </is>
      </c>
      <c r="GM10" t="inlineStr">
        <is>
          <t>Does Not Apply</t>
        </is>
      </c>
      <c r="GP10" t="inlineStr">
        <is>
          <t>Worn/Fade</t>
        </is>
      </c>
      <c r="GS10" t="inlineStr">
        <is>
          <t>Dowel Joint</t>
        </is>
      </c>
      <c r="GT10" t="inlineStr">
        <is>
          <t>Cherry</t>
        </is>
      </c>
      <c r="GU10" t="inlineStr">
        <is>
          <t>Animal Print</t>
        </is>
      </c>
      <c r="GV10" t="inlineStr">
        <is>
          <t>Silver Oxide</t>
        </is>
      </c>
      <c r="GX10" t="inlineStr">
        <is>
          <t>4</t>
        </is>
      </c>
      <c r="HD10" t="inlineStr">
        <is>
          <t>Corrected Grain Leather</t>
        </is>
      </c>
      <c r="HF10" t="inlineStr">
        <is>
          <t>Rounded</t>
        </is>
      </c>
      <c r="HG10" t="inlineStr">
        <is>
          <t>Unavailable</t>
        </is>
      </c>
      <c r="HH10" t="inlineStr">
        <is>
          <t>Unavailable</t>
        </is>
      </c>
      <c r="HI10" t="inlineStr">
        <is>
          <t>Suncrylic</t>
        </is>
      </c>
      <c r="HV10" t="inlineStr">
        <is>
          <t>UN3077</t>
        </is>
      </c>
      <c r="HW10" t="inlineStr">
        <is>
          <t>4.3</t>
        </is>
      </c>
      <c r="HY10" t="inlineStr">
        <is>
          <t>&gt;1kg - ≤5kg</t>
        </is>
      </c>
      <c r="IH10" t="inlineStr">
        <is>
          <t>Pliers</t>
        </is>
      </c>
      <c r="II10" t="inlineStr">
        <is>
          <t>10 Years</t>
        </is>
      </c>
      <c r="IK10" t="inlineStr">
        <is>
          <t>10 Years</t>
        </is>
      </c>
    </row>
    <row r="11">
      <c r="E11" t="inlineStr">
        <is>
          <t>Pattern</t>
        </is>
      </c>
      <c r="I11" t="inlineStr">
        <is>
          <t>110</t>
        </is>
      </c>
      <c r="J11" t="inlineStr">
        <is>
          <t>216</t>
        </is>
      </c>
      <c r="L11" t="inlineStr">
        <is>
          <t>Acrylamide</t>
        </is>
      </c>
      <c r="N11" t="inlineStr">
        <is>
          <t>Anguilla</t>
        </is>
      </c>
      <c r="O11" t="inlineStr">
        <is>
          <t>Dimensions</t>
        </is>
      </c>
      <c r="P11" t="inlineStr">
        <is>
          <t>AHAM CADR Smoke rating</t>
        </is>
      </c>
      <c r="R11" t="inlineStr">
        <is>
          <t>Finnish</t>
        </is>
      </c>
      <c r="T11" t="inlineStr">
        <is>
          <t>Mango Wood</t>
        </is>
      </c>
      <c r="U11" t="inlineStr">
        <is>
          <t>Elm</t>
        </is>
      </c>
      <c r="Y11" t="inlineStr">
        <is>
          <t>Does Not Apply</t>
        </is>
      </c>
      <c r="Z11" t="inlineStr">
        <is>
          <t>9</t>
        </is>
      </c>
      <c r="AE11" t="inlineStr">
        <is>
          <t>Pillow Top</t>
        </is>
      </c>
      <c r="AG11" t="inlineStr">
        <is>
          <t>Chrome</t>
        </is>
      </c>
      <c r="AR11" t="inlineStr">
        <is>
          <t>UN3480</t>
        </is>
      </c>
      <c r="AS11" t="inlineStr">
        <is>
          <t>4.2</t>
        </is>
      </c>
      <c r="AU11" t="inlineStr">
        <is>
          <t>&gt;5L</t>
        </is>
      </c>
      <c r="AW11" t="inlineStr">
        <is>
          <t>CSA Certified</t>
        </is>
      </c>
      <c r="AY11" t="inlineStr">
        <is>
          <t>20 Years</t>
        </is>
      </c>
      <c r="AZ11" t="inlineStr">
        <is>
          <t>20 Years</t>
        </is>
      </c>
      <c r="BB11" t="inlineStr">
        <is>
          <t>Nesting</t>
        </is>
      </c>
      <c r="BC11" t="inlineStr">
        <is>
          <t>Ceramic</t>
        </is>
      </c>
      <c r="BD11" t="inlineStr">
        <is>
          <t>Wood Scoring &amp; Rub Through</t>
        </is>
      </c>
      <c r="BI11" t="inlineStr">
        <is>
          <t>Half-Lap</t>
        </is>
      </c>
      <c r="BJ11" t="inlineStr">
        <is>
          <t>Elm</t>
        </is>
      </c>
      <c r="BK11" t="inlineStr">
        <is>
          <t>Does Not Apply</t>
        </is>
      </c>
      <c r="BM11" t="inlineStr">
        <is>
          <t>9</t>
        </is>
      </c>
      <c r="BR11" t="inlineStr">
        <is>
          <t>Cut loose threads using a scissor</t>
        </is>
      </c>
      <c r="BS11" t="inlineStr">
        <is>
          <t>Clear Glass</t>
        </is>
      </c>
      <c r="BT11" t="inlineStr">
        <is>
          <t>Chrome</t>
        </is>
      </c>
      <c r="BU11" t="inlineStr">
        <is>
          <t>Center Slides</t>
        </is>
      </c>
      <c r="BW11" t="inlineStr">
        <is>
          <t>Propane</t>
        </is>
      </c>
      <c r="BX11" t="inlineStr">
        <is>
          <t>Tinted</t>
        </is>
      </c>
      <c r="BY11" t="inlineStr">
        <is>
          <t>Media Storage</t>
        </is>
      </c>
      <c r="CH11" t="inlineStr">
        <is>
          <t>UN3480</t>
        </is>
      </c>
      <c r="CI11" t="inlineStr">
        <is>
          <t>4.2</t>
        </is>
      </c>
      <c r="CK11" t="inlineStr">
        <is>
          <t>&gt;5L</t>
        </is>
      </c>
      <c r="CM11" t="inlineStr">
        <is>
          <t>CSA Certified</t>
        </is>
      </c>
      <c r="CQ11" t="inlineStr">
        <is>
          <t>65"</t>
        </is>
      </c>
      <c r="CS11" t="inlineStr">
        <is>
          <t>Ratchet</t>
        </is>
      </c>
      <c r="CT11" t="inlineStr">
        <is>
          <t>20 Years</t>
        </is>
      </c>
      <c r="CV11" t="inlineStr">
        <is>
          <t>20 Years</t>
        </is>
      </c>
      <c r="CX11" t="inlineStr">
        <is>
          <t>Iron</t>
        </is>
      </c>
      <c r="CY11" t="inlineStr">
        <is>
          <t>Unavailable</t>
        </is>
      </c>
      <c r="CZ11" t="inlineStr">
        <is>
          <t>Fabric</t>
        </is>
      </c>
      <c r="DA11" t="inlineStr">
        <is>
          <t>Rayon / Viscose</t>
        </is>
      </c>
      <c r="DB11" t="inlineStr">
        <is>
          <t>Bungee</t>
        </is>
      </c>
      <c r="DC11" t="inlineStr">
        <is>
          <t>Microfiber</t>
        </is>
      </c>
      <c r="DE11" t="inlineStr">
        <is>
          <t>Wood Scoring &amp; Rub Through</t>
        </is>
      </c>
      <c r="DH11" t="inlineStr">
        <is>
          <t>Marble / Tile</t>
        </is>
      </c>
      <c r="DK11" t="inlineStr">
        <is>
          <t>Half-Lap</t>
        </is>
      </c>
      <c r="DL11" t="inlineStr">
        <is>
          <t>Does Not Apply</t>
        </is>
      </c>
      <c r="DN11" t="inlineStr">
        <is>
          <t>9</t>
        </is>
      </c>
      <c r="DS11" t="inlineStr">
        <is>
          <t>Cut loose threads using a scissor</t>
        </is>
      </c>
      <c r="DT11" t="inlineStr">
        <is>
          <t>Orange</t>
        </is>
      </c>
      <c r="DU11" t="inlineStr">
        <is>
          <t>Polyester</t>
        </is>
      </c>
      <c r="DV11" t="inlineStr">
        <is>
          <t>Unavailable</t>
        </is>
      </c>
      <c r="DW11" t="inlineStr">
        <is>
          <t>Matte Black</t>
        </is>
      </c>
      <c r="DX11" t="inlineStr">
        <is>
          <t>Elm</t>
        </is>
      </c>
      <c r="DY11" t="inlineStr">
        <is>
          <t>Padded</t>
        </is>
      </c>
      <c r="EN11" t="inlineStr">
        <is>
          <t>UN3480</t>
        </is>
      </c>
      <c r="EO11" t="inlineStr">
        <is>
          <t>4.2</t>
        </is>
      </c>
      <c r="EQ11" t="inlineStr">
        <is>
          <t>&gt;5L</t>
        </is>
      </c>
      <c r="EX11" t="inlineStr">
        <is>
          <t>Ratchet</t>
        </is>
      </c>
      <c r="EY11" t="inlineStr">
        <is>
          <t>20 Years</t>
        </is>
      </c>
      <c r="FB11" t="inlineStr">
        <is>
          <t>Ceramic</t>
        </is>
      </c>
      <c r="FC11" t="inlineStr">
        <is>
          <t>Center Slides</t>
        </is>
      </c>
      <c r="FE11" t="inlineStr">
        <is>
          <t>Wood Scoring &amp; Rub Through</t>
        </is>
      </c>
      <c r="FH11" t="inlineStr">
        <is>
          <t>Bamboo</t>
        </is>
      </c>
      <c r="FJ11" t="inlineStr">
        <is>
          <t>Half-Lap</t>
        </is>
      </c>
      <c r="FK11" t="inlineStr">
        <is>
          <t>Elm</t>
        </is>
      </c>
      <c r="FL11" t="inlineStr">
        <is>
          <t>Cut loose threads using a scissor</t>
        </is>
      </c>
      <c r="FM11" t="inlineStr">
        <is>
          <t>White</t>
        </is>
      </c>
      <c r="GD11" t="inlineStr">
        <is>
          <t>Ratchet</t>
        </is>
      </c>
      <c r="GE11" t="inlineStr">
        <is>
          <t>20 Years</t>
        </is>
      </c>
      <c r="GG11" t="inlineStr">
        <is>
          <t>Short Queen</t>
        </is>
      </c>
      <c r="GH11" t="inlineStr">
        <is>
          <t>White</t>
        </is>
      </c>
      <c r="GI11" t="inlineStr">
        <is>
          <t>Murphy</t>
        </is>
      </c>
      <c r="GJ11" t="inlineStr">
        <is>
          <t>Brass</t>
        </is>
      </c>
      <c r="GK11" t="inlineStr">
        <is>
          <t>Rayon / Viscose</t>
        </is>
      </c>
      <c r="GL11" t="inlineStr">
        <is>
          <t>Unavailable</t>
        </is>
      </c>
      <c r="GP11" t="inlineStr">
        <is>
          <t>Wood Scoring &amp; Rub Through</t>
        </is>
      </c>
      <c r="GS11" t="inlineStr">
        <is>
          <t>Half-Lap</t>
        </is>
      </c>
      <c r="GT11" t="inlineStr">
        <is>
          <t>Elm</t>
        </is>
      </c>
      <c r="GU11" t="inlineStr">
        <is>
          <t>Camouflage</t>
        </is>
      </c>
      <c r="GV11" t="inlineStr">
        <is>
          <t>Does Not Apply</t>
        </is>
      </c>
      <c r="GX11" t="inlineStr">
        <is>
          <t>9</t>
        </is>
      </c>
      <c r="HD11" t="inlineStr">
        <is>
          <t>Shearling</t>
        </is>
      </c>
      <c r="HF11" t="inlineStr">
        <is>
          <t>Unavailable</t>
        </is>
      </c>
      <c r="HG11" t="inlineStr">
        <is>
          <t>Does Not Apply</t>
        </is>
      </c>
      <c r="HH11" t="inlineStr">
        <is>
          <t>Does Not Apply</t>
        </is>
      </c>
      <c r="HI11" t="inlineStr">
        <is>
          <t>Richloom Fortress® Home Performance</t>
        </is>
      </c>
      <c r="HV11" t="inlineStr">
        <is>
          <t>UN3480</t>
        </is>
      </c>
      <c r="HW11" t="inlineStr">
        <is>
          <t>4.2</t>
        </is>
      </c>
      <c r="HY11" t="inlineStr">
        <is>
          <t>&gt;5L</t>
        </is>
      </c>
      <c r="IH11" t="inlineStr">
        <is>
          <t>Ratchet</t>
        </is>
      </c>
      <c r="II11" t="inlineStr">
        <is>
          <t>20 Years</t>
        </is>
      </c>
      <c r="IK11" t="inlineStr">
        <is>
          <t>20 Years</t>
        </is>
      </c>
    </row>
    <row r="12">
      <c r="I12" t="inlineStr">
        <is>
          <t>125</t>
        </is>
      </c>
      <c r="J12" t="inlineStr">
        <is>
          <t>240</t>
        </is>
      </c>
      <c r="L12" t="inlineStr">
        <is>
          <t>Acrylonitrile</t>
        </is>
      </c>
      <c r="N12" t="inlineStr">
        <is>
          <t>Antarctica</t>
        </is>
      </c>
      <c r="O12" t="inlineStr">
        <is>
          <t>Marketing Materials</t>
        </is>
      </c>
      <c r="P12" t="inlineStr">
        <is>
          <t>AHMA Certified</t>
        </is>
      </c>
      <c r="R12" t="inlineStr">
        <is>
          <t>French (Canada)</t>
        </is>
      </c>
      <c r="T12" t="inlineStr">
        <is>
          <t>Aluminum</t>
        </is>
      </c>
      <c r="U12" t="inlineStr">
        <is>
          <t>Eucalyptus</t>
        </is>
      </c>
      <c r="Z12" t="inlineStr">
        <is>
          <t>Unavailable</t>
        </is>
      </c>
      <c r="AE12" t="inlineStr">
        <is>
          <t>Cushion Cover</t>
        </is>
      </c>
      <c r="AG12" t="inlineStr">
        <is>
          <t>Oil Rubbed Bronze</t>
        </is>
      </c>
      <c r="AR12" t="inlineStr">
        <is>
          <t>UN2857</t>
        </is>
      </c>
      <c r="AS12" t="inlineStr">
        <is>
          <t>5.1</t>
        </is>
      </c>
      <c r="AU12" t="inlineStr">
        <is>
          <t>&gt;5kg</t>
        </is>
      </c>
      <c r="AW12" t="inlineStr">
        <is>
          <t>SGS North America Listed</t>
        </is>
      </c>
      <c r="AY12" t="inlineStr">
        <is>
          <t>25 Years</t>
        </is>
      </c>
      <c r="AZ12" t="inlineStr">
        <is>
          <t>25 Years</t>
        </is>
      </c>
      <c r="BB12" t="inlineStr">
        <is>
          <t>Apothecary</t>
        </is>
      </c>
      <c r="BC12" t="inlineStr">
        <is>
          <t>Faux Leather</t>
        </is>
      </c>
      <c r="BD12" t="inlineStr">
        <is>
          <t>Unavailable</t>
        </is>
      </c>
      <c r="BI12" t="inlineStr">
        <is>
          <t>Box</t>
        </is>
      </c>
      <c r="BJ12" t="inlineStr">
        <is>
          <t>Eucalyptus</t>
        </is>
      </c>
      <c r="BM12" t="inlineStr">
        <is>
          <t>Unavailable</t>
        </is>
      </c>
      <c r="BR12" t="inlineStr">
        <is>
          <t>Clean with soap and water</t>
        </is>
      </c>
      <c r="BS12" t="inlineStr">
        <is>
          <t>Stone</t>
        </is>
      </c>
      <c r="BT12" t="inlineStr">
        <is>
          <t>Oil Rubbed Bronze</t>
        </is>
      </c>
      <c r="BU12" t="inlineStr">
        <is>
          <t>Kenlin</t>
        </is>
      </c>
      <c r="BW12" t="inlineStr">
        <is>
          <t>Butane</t>
        </is>
      </c>
      <c r="BX12" t="inlineStr">
        <is>
          <t>See Through</t>
        </is>
      </c>
      <c r="BY12" t="inlineStr">
        <is>
          <t>Pier / Bookcase</t>
        </is>
      </c>
      <c r="CH12" t="inlineStr">
        <is>
          <t>UN2857</t>
        </is>
      </c>
      <c r="CI12" t="inlineStr">
        <is>
          <t>5.1</t>
        </is>
      </c>
      <c r="CK12" t="inlineStr">
        <is>
          <t>&gt;5kg</t>
        </is>
      </c>
      <c r="CM12" t="inlineStr">
        <is>
          <t>SGS North America Listed</t>
        </is>
      </c>
      <c r="CQ12" t="inlineStr">
        <is>
          <t>75"</t>
        </is>
      </c>
      <c r="CS12" t="inlineStr">
        <is>
          <t>Utility Saw</t>
        </is>
      </c>
      <c r="CT12" t="inlineStr">
        <is>
          <t>25 Years</t>
        </is>
      </c>
      <c r="CV12" t="inlineStr">
        <is>
          <t>25 Years</t>
        </is>
      </c>
      <c r="CX12" t="inlineStr">
        <is>
          <t>Cane</t>
        </is>
      </c>
      <c r="CZ12" t="inlineStr">
        <is>
          <t>Genuine Leather</t>
        </is>
      </c>
      <c r="DA12" t="inlineStr">
        <is>
          <t>Silk</t>
        </is>
      </c>
      <c r="DB12" t="inlineStr">
        <is>
          <t>Copper</t>
        </is>
      </c>
      <c r="DC12" t="inlineStr">
        <is>
          <t>Velvet</t>
        </is>
      </c>
      <c r="DE12" t="inlineStr">
        <is>
          <t>Unavailable</t>
        </is>
      </c>
      <c r="DH12" t="inlineStr">
        <is>
          <t>Upholstery</t>
        </is>
      </c>
      <c r="DK12" t="inlineStr">
        <is>
          <t>Box</t>
        </is>
      </c>
      <c r="DN12" t="inlineStr">
        <is>
          <t>Unavailable</t>
        </is>
      </c>
      <c r="DS12" t="inlineStr">
        <is>
          <t>Clean with soap and water</t>
        </is>
      </c>
      <c r="DT12" t="inlineStr">
        <is>
          <t>Red</t>
        </is>
      </c>
      <c r="DU12" t="inlineStr">
        <is>
          <t>Plastic</t>
        </is>
      </c>
      <c r="DV12" t="inlineStr">
        <is>
          <t>Does Not Apply</t>
        </is>
      </c>
      <c r="DW12" t="inlineStr">
        <is>
          <t>White Wood</t>
        </is>
      </c>
      <c r="DX12" t="inlineStr">
        <is>
          <t>Eucalyptus</t>
        </is>
      </c>
      <c r="DY12" t="inlineStr">
        <is>
          <t>Flip-Up</t>
        </is>
      </c>
      <c r="EN12" t="inlineStr">
        <is>
          <t>UN2857</t>
        </is>
      </c>
      <c r="EO12" t="inlineStr">
        <is>
          <t>5.1</t>
        </is>
      </c>
      <c r="EQ12" t="inlineStr">
        <is>
          <t>&gt;5kg</t>
        </is>
      </c>
      <c r="EX12" t="inlineStr">
        <is>
          <t>Utility Saw</t>
        </is>
      </c>
      <c r="EY12" t="inlineStr">
        <is>
          <t>25 Years</t>
        </is>
      </c>
      <c r="FB12" t="inlineStr">
        <is>
          <t>Faux Leather</t>
        </is>
      </c>
      <c r="FC12" t="inlineStr">
        <is>
          <t>Kenlin</t>
        </is>
      </c>
      <c r="FE12" t="inlineStr">
        <is>
          <t>Unavailable</t>
        </is>
      </c>
      <c r="FH12" t="inlineStr">
        <is>
          <t>Bakelite</t>
        </is>
      </c>
      <c r="FJ12" t="inlineStr">
        <is>
          <t>Box</t>
        </is>
      </c>
      <c r="FK12" t="inlineStr">
        <is>
          <t>Eucalyptus</t>
        </is>
      </c>
      <c r="FL12" t="inlineStr">
        <is>
          <t>Clean with soap and water</t>
        </is>
      </c>
      <c r="FM12" t="inlineStr">
        <is>
          <t>Ivory</t>
        </is>
      </c>
      <c r="GD12" t="inlineStr">
        <is>
          <t>Utility Saw</t>
        </is>
      </c>
      <c r="GE12" t="inlineStr">
        <is>
          <t>25 Years</t>
        </is>
      </c>
      <c r="GG12" t="inlineStr">
        <is>
          <t>Antique / Three Quarter</t>
        </is>
      </c>
      <c r="GH12" t="inlineStr">
        <is>
          <t>Ivory</t>
        </is>
      </c>
      <c r="GI12" t="inlineStr">
        <is>
          <t>Wingback</t>
        </is>
      </c>
      <c r="GJ12" t="inlineStr">
        <is>
          <t>Copper</t>
        </is>
      </c>
      <c r="GK12" t="inlineStr">
        <is>
          <t>Silk</t>
        </is>
      </c>
      <c r="GL12" t="inlineStr">
        <is>
          <t>Does Not Apply</t>
        </is>
      </c>
      <c r="GP12" t="inlineStr">
        <is>
          <t>Unavailable</t>
        </is>
      </c>
      <c r="GS12" t="inlineStr">
        <is>
          <t>Box</t>
        </is>
      </c>
      <c r="GT12" t="inlineStr">
        <is>
          <t>Eucalyptus</t>
        </is>
      </c>
      <c r="GU12" t="inlineStr">
        <is>
          <t>Polka Dots</t>
        </is>
      </c>
      <c r="GX12" t="inlineStr">
        <is>
          <t>Unavailable</t>
        </is>
      </c>
      <c r="HD12" t="inlineStr">
        <is>
          <t>Unavailable</t>
        </is>
      </c>
      <c r="HF12" t="inlineStr">
        <is>
          <t>Does Not Apply</t>
        </is>
      </c>
      <c r="HI12" t="inlineStr">
        <is>
          <t>Eco Ease® Performance Fabric</t>
        </is>
      </c>
      <c r="HV12" t="inlineStr">
        <is>
          <t>UN2857</t>
        </is>
      </c>
      <c r="HW12" t="inlineStr">
        <is>
          <t>5.1</t>
        </is>
      </c>
      <c r="HY12" t="inlineStr">
        <is>
          <t>&gt;5kg</t>
        </is>
      </c>
      <c r="IH12" t="inlineStr">
        <is>
          <t>Utility Saw</t>
        </is>
      </c>
      <c r="II12" t="inlineStr">
        <is>
          <t>25 Years</t>
        </is>
      </c>
      <c r="IK12" t="inlineStr">
        <is>
          <t>25 Years</t>
        </is>
      </c>
    </row>
    <row r="13">
      <c r="I13" t="inlineStr">
        <is>
          <t>150</t>
        </is>
      </c>
      <c r="J13" t="inlineStr">
        <is>
          <t>360</t>
        </is>
      </c>
      <c r="L13" t="inlineStr">
        <is>
          <t>Actinomycin D</t>
        </is>
      </c>
      <c r="N13" t="inlineStr">
        <is>
          <t>Antigua and Barbuda</t>
        </is>
      </c>
      <c r="O13" t="inlineStr">
        <is>
          <t>Energy Guide</t>
        </is>
      </c>
      <c r="P13" t="inlineStr">
        <is>
          <t>AHMA Compliant</t>
        </is>
      </c>
      <c r="R13" t="inlineStr">
        <is>
          <t>Hungarian</t>
        </is>
      </c>
      <c r="T13" t="inlineStr">
        <is>
          <t>Linen Blend</t>
        </is>
      </c>
      <c r="U13" t="inlineStr">
        <is>
          <t>Fir</t>
        </is>
      </c>
      <c r="Z13" t="inlineStr">
        <is>
          <t>Does Not Apply</t>
        </is>
      </c>
      <c r="AE13" t="inlineStr">
        <is>
          <t>Canopy</t>
        </is>
      </c>
      <c r="AG13" t="inlineStr">
        <is>
          <t>Matte Black</t>
        </is>
      </c>
      <c r="AR13" t="inlineStr">
        <is>
          <t>UN3358</t>
        </is>
      </c>
      <c r="AS13" t="inlineStr">
        <is>
          <t>2.3</t>
        </is>
      </c>
      <c r="AU13" t="inlineStr">
        <is>
          <t>Does Not Apply</t>
        </is>
      </c>
      <c r="AW13" t="inlineStr">
        <is>
          <t>Does Not Apply</t>
        </is>
      </c>
      <c r="AY13" t="inlineStr">
        <is>
          <t>Lifetime</t>
        </is>
      </c>
      <c r="AZ13" t="inlineStr">
        <is>
          <t>Lifetime</t>
        </is>
      </c>
      <c r="BB13" t="inlineStr">
        <is>
          <t>Multi-tiered</t>
        </is>
      </c>
      <c r="BC13" t="inlineStr">
        <is>
          <t>Iron</t>
        </is>
      </c>
      <c r="BI13" t="inlineStr">
        <is>
          <t>Lap</t>
        </is>
      </c>
      <c r="BJ13" t="inlineStr">
        <is>
          <t>Fir</t>
        </is>
      </c>
      <c r="BM13" t="inlineStr">
        <is>
          <t>Does Not Apply</t>
        </is>
      </c>
      <c r="BR13" t="inlineStr">
        <is>
          <t>Clean spills immediately</t>
        </is>
      </c>
      <c r="BS13" t="inlineStr">
        <is>
          <t>Glass</t>
        </is>
      </c>
      <c r="BT13" t="inlineStr">
        <is>
          <t>Matte Black</t>
        </is>
      </c>
      <c r="BU13" t="inlineStr">
        <is>
          <t>Side-Mounted Glides</t>
        </is>
      </c>
      <c r="BW13" t="inlineStr">
        <is>
          <t>Charcoal</t>
        </is>
      </c>
      <c r="BX13" t="inlineStr">
        <is>
          <t>Double Pane</t>
        </is>
      </c>
      <c r="BY13" t="inlineStr">
        <is>
          <t>Sound Bar Shelf</t>
        </is>
      </c>
      <c r="CH13" t="inlineStr">
        <is>
          <t>UN3358</t>
        </is>
      </c>
      <c r="CI13" t="inlineStr">
        <is>
          <t>2.3</t>
        </is>
      </c>
      <c r="CK13" t="inlineStr">
        <is>
          <t>Does Not Apply</t>
        </is>
      </c>
      <c r="CM13" t="inlineStr">
        <is>
          <t>Does Not Apply</t>
        </is>
      </c>
      <c r="CQ13" t="inlineStr">
        <is>
          <t>70"</t>
        </is>
      </c>
      <c r="CS13" t="inlineStr">
        <is>
          <t>Saw</t>
        </is>
      </c>
      <c r="CT13" t="inlineStr">
        <is>
          <t>Lifetime</t>
        </is>
      </c>
      <c r="CV13" t="inlineStr">
        <is>
          <t>Lifetime</t>
        </is>
      </c>
      <c r="CX13" t="inlineStr">
        <is>
          <t>Raffia</t>
        </is>
      </c>
      <c r="CZ13" t="inlineStr">
        <is>
          <t>Metal</t>
        </is>
      </c>
      <c r="DA13" t="inlineStr">
        <is>
          <t>Genuine Leather</t>
        </is>
      </c>
      <c r="DB13" t="inlineStr">
        <is>
          <t>Nickel</t>
        </is>
      </c>
      <c r="DC13" t="inlineStr">
        <is>
          <t>Leather</t>
        </is>
      </c>
      <c r="DH13" t="inlineStr">
        <is>
          <t>Concrete / Stone</t>
        </is>
      </c>
      <c r="DK13" t="inlineStr">
        <is>
          <t>Lap</t>
        </is>
      </c>
      <c r="DN13" t="inlineStr">
        <is>
          <t>Does Not Apply</t>
        </is>
      </c>
      <c r="DS13" t="inlineStr">
        <is>
          <t>Clean spills immediately</t>
        </is>
      </c>
      <c r="DT13" t="inlineStr">
        <is>
          <t>Purple</t>
        </is>
      </c>
      <c r="DU13" t="inlineStr">
        <is>
          <t>Vinyl</t>
        </is>
      </c>
      <c r="DW13" t="inlineStr">
        <is>
          <t>Black</t>
        </is>
      </c>
      <c r="DX13" t="inlineStr">
        <is>
          <t>Fir</t>
        </is>
      </c>
      <c r="DY13" t="inlineStr">
        <is>
          <t>Track Arms</t>
        </is>
      </c>
      <c r="EN13" t="inlineStr">
        <is>
          <t>UN3358</t>
        </is>
      </c>
      <c r="EO13" t="inlineStr">
        <is>
          <t>2.3</t>
        </is>
      </c>
      <c r="EQ13" t="inlineStr">
        <is>
          <t>Does Not Apply</t>
        </is>
      </c>
      <c r="EX13" t="inlineStr">
        <is>
          <t>Saw</t>
        </is>
      </c>
      <c r="EY13" t="inlineStr">
        <is>
          <t>Lifetime</t>
        </is>
      </c>
      <c r="FB13" t="inlineStr">
        <is>
          <t>Iron</t>
        </is>
      </c>
      <c r="FC13" t="inlineStr">
        <is>
          <t>Side-Mounted Glides</t>
        </is>
      </c>
      <c r="FH13" t="inlineStr">
        <is>
          <t>Nylon</t>
        </is>
      </c>
      <c r="FJ13" t="inlineStr">
        <is>
          <t>Lap</t>
        </is>
      </c>
      <c r="FK13" t="inlineStr">
        <is>
          <t>Fir</t>
        </is>
      </c>
      <c r="FL13" t="inlineStr">
        <is>
          <t>Clean spills immediately</t>
        </is>
      </c>
      <c r="FM13" t="inlineStr">
        <is>
          <t>Tan</t>
        </is>
      </c>
      <c r="GD13" t="inlineStr">
        <is>
          <t>Saw</t>
        </is>
      </c>
      <c r="GE13" t="inlineStr">
        <is>
          <t>Lifetime</t>
        </is>
      </c>
      <c r="GG13" t="inlineStr">
        <is>
          <t>Split California King</t>
        </is>
      </c>
      <c r="GH13" t="inlineStr">
        <is>
          <t>Tan</t>
        </is>
      </c>
      <c r="GI13" t="inlineStr">
        <is>
          <t>Open-Frame</t>
        </is>
      </c>
      <c r="GJ13" t="inlineStr">
        <is>
          <t>Metal</t>
        </is>
      </c>
      <c r="GK13" t="inlineStr">
        <is>
          <t>Genuine Leather</t>
        </is>
      </c>
      <c r="GS13" t="inlineStr">
        <is>
          <t>Lap</t>
        </is>
      </c>
      <c r="GT13" t="inlineStr">
        <is>
          <t>Fir</t>
        </is>
      </c>
      <c r="GU13" t="inlineStr">
        <is>
          <t>Ikat</t>
        </is>
      </c>
      <c r="GX13" t="inlineStr">
        <is>
          <t>Does Not Apply</t>
        </is>
      </c>
      <c r="HD13" t="inlineStr">
        <is>
          <t>Does Not Apply</t>
        </is>
      </c>
      <c r="HI13" t="inlineStr">
        <is>
          <t>Unavailable</t>
        </is>
      </c>
      <c r="HV13" t="inlineStr">
        <is>
          <t>UN3358</t>
        </is>
      </c>
      <c r="HW13" t="inlineStr">
        <is>
          <t>2.3</t>
        </is>
      </c>
      <c r="HY13" t="inlineStr">
        <is>
          <t>Does Not Apply</t>
        </is>
      </c>
      <c r="IH13" t="inlineStr">
        <is>
          <t>Saw</t>
        </is>
      </c>
      <c r="II13" t="inlineStr">
        <is>
          <t>Lifetime</t>
        </is>
      </c>
      <c r="IK13" t="inlineStr">
        <is>
          <t>Lifetime</t>
        </is>
      </c>
    </row>
    <row r="14">
      <c r="I14" t="inlineStr">
        <is>
          <t>175</t>
        </is>
      </c>
      <c r="J14" t="inlineStr">
        <is>
          <t>480</t>
        </is>
      </c>
      <c r="L14" t="inlineStr">
        <is>
          <t>AF-2;[2-(2-furyl)-3-(5-nitro-2-furyl)]acrylamide</t>
        </is>
      </c>
      <c r="N14" t="inlineStr">
        <is>
          <t>Argentina</t>
        </is>
      </c>
      <c r="O14" t="inlineStr">
        <is>
          <t>Other</t>
        </is>
      </c>
      <c r="P14" t="inlineStr">
        <is>
          <t>AHRI Certified</t>
        </is>
      </c>
      <c r="R14" t="inlineStr">
        <is>
          <t>Indonesian</t>
        </is>
      </c>
      <c r="T14" t="inlineStr">
        <is>
          <t>Acrylic</t>
        </is>
      </c>
      <c r="U14" t="inlineStr">
        <is>
          <t>Hickory</t>
        </is>
      </c>
      <c r="AE14" t="inlineStr">
        <is>
          <t>Shelves</t>
        </is>
      </c>
      <c r="AG14" t="inlineStr">
        <is>
          <t>Satin Nickel</t>
        </is>
      </c>
      <c r="AR14" t="inlineStr">
        <is>
          <t>UN3090</t>
        </is>
      </c>
      <c r="AS14" t="inlineStr">
        <is>
          <t>6.2</t>
        </is>
      </c>
      <c r="AY14" t="inlineStr">
        <is>
          <t>15 Years</t>
        </is>
      </c>
      <c r="AZ14" t="inlineStr">
        <is>
          <t>Warranty length varies by part</t>
        </is>
      </c>
      <c r="BB14" t="inlineStr">
        <is>
          <t>Floor</t>
        </is>
      </c>
      <c r="BC14" t="inlineStr">
        <is>
          <t>Marble / Granite</t>
        </is>
      </c>
      <c r="BI14" t="inlineStr">
        <is>
          <t>Double Dowelled</t>
        </is>
      </c>
      <c r="BJ14" t="inlineStr">
        <is>
          <t>Hickory</t>
        </is>
      </c>
      <c r="BR14" t="inlineStr">
        <is>
          <t>Dishwasher safe component</t>
        </is>
      </c>
      <c r="BS14" t="inlineStr">
        <is>
          <t>Melamine</t>
        </is>
      </c>
      <c r="BT14" t="inlineStr">
        <is>
          <t>Satin Nickel</t>
        </is>
      </c>
      <c r="BU14" t="inlineStr">
        <is>
          <t>Undermount Glides</t>
        </is>
      </c>
      <c r="BW14" t="inlineStr">
        <is>
          <t>Ethanol</t>
        </is>
      </c>
      <c r="BX14" t="inlineStr">
        <is>
          <t>Does Not Apply</t>
        </is>
      </c>
      <c r="BY14" t="inlineStr">
        <is>
          <t>TV Anti-Tip Kit</t>
        </is>
      </c>
      <c r="CH14" t="inlineStr">
        <is>
          <t>UN3090</t>
        </is>
      </c>
      <c r="CI14" t="inlineStr">
        <is>
          <t>6.2</t>
        </is>
      </c>
      <c r="CQ14" t="inlineStr">
        <is>
          <t>48"</t>
        </is>
      </c>
      <c r="CS14" t="inlineStr">
        <is>
          <t>Measuring Tape</t>
        </is>
      </c>
      <c r="CT14" t="inlineStr">
        <is>
          <t>15 Years</t>
        </is>
      </c>
      <c r="CV14" t="inlineStr">
        <is>
          <t>Warranty length varies by part</t>
        </is>
      </c>
      <c r="CX14" t="inlineStr">
        <is>
          <t>Nickel</t>
        </is>
      </c>
      <c r="CZ14" t="inlineStr">
        <is>
          <t>Plastic / Resin</t>
        </is>
      </c>
      <c r="DA14" t="inlineStr">
        <is>
          <t>Acrylic</t>
        </is>
      </c>
      <c r="DB14" t="inlineStr">
        <is>
          <t>Aluminum</t>
        </is>
      </c>
      <c r="DC14" t="inlineStr">
        <is>
          <t>Rayon</t>
        </is>
      </c>
      <c r="DH14" t="inlineStr">
        <is>
          <t>Grass</t>
        </is>
      </c>
      <c r="DK14" t="inlineStr">
        <is>
          <t>Double Dowelled</t>
        </is>
      </c>
      <c r="DS14" t="inlineStr">
        <is>
          <t>Dishwasher safe component</t>
        </is>
      </c>
      <c r="DT14" t="inlineStr">
        <is>
          <t>Pink</t>
        </is>
      </c>
      <c r="DU14" t="inlineStr">
        <is>
          <t>Polypropylene</t>
        </is>
      </c>
      <c r="DW14" t="inlineStr">
        <is>
          <t>Brown</t>
        </is>
      </c>
      <c r="DX14" t="inlineStr">
        <is>
          <t>Hickory</t>
        </is>
      </c>
      <c r="DY14" t="inlineStr">
        <is>
          <t>Adjustable Arms</t>
        </is>
      </c>
      <c r="EN14" t="inlineStr">
        <is>
          <t>UN3090</t>
        </is>
      </c>
      <c r="EO14" t="inlineStr">
        <is>
          <t>6.2</t>
        </is>
      </c>
      <c r="EX14" t="inlineStr">
        <is>
          <t>Measuring Tape</t>
        </is>
      </c>
      <c r="EY14" t="inlineStr">
        <is>
          <t>15 Years</t>
        </is>
      </c>
      <c r="FB14" t="inlineStr">
        <is>
          <t>Laminate</t>
        </is>
      </c>
      <c r="FC14" t="inlineStr">
        <is>
          <t>Undermount Glides</t>
        </is>
      </c>
      <c r="FH14" t="inlineStr">
        <is>
          <t>Enameled Cast Iron</t>
        </is>
      </c>
      <c r="FJ14" t="inlineStr">
        <is>
          <t>Double Dowelled</t>
        </is>
      </c>
      <c r="FK14" t="inlineStr">
        <is>
          <t>Hickory</t>
        </is>
      </c>
      <c r="FL14" t="inlineStr">
        <is>
          <t>Dishwasher safe component</t>
        </is>
      </c>
      <c r="FM14" t="inlineStr">
        <is>
          <t>Teal</t>
        </is>
      </c>
      <c r="GD14" t="inlineStr">
        <is>
          <t>Measuring Tape</t>
        </is>
      </c>
      <c r="GE14" t="inlineStr">
        <is>
          <t>15 Years</t>
        </is>
      </c>
      <c r="GG14" t="inlineStr">
        <is>
          <t>Short Full</t>
        </is>
      </c>
      <c r="GH14" t="inlineStr">
        <is>
          <t>Teal</t>
        </is>
      </c>
      <c r="GI14" t="inlineStr">
        <is>
          <t>Slat Headboard Design</t>
        </is>
      </c>
      <c r="GJ14" t="inlineStr">
        <is>
          <t>Solid Wood</t>
        </is>
      </c>
      <c r="GK14" t="inlineStr">
        <is>
          <t>Acrylic</t>
        </is>
      </c>
      <c r="GS14" t="inlineStr">
        <is>
          <t>Double Dowelled</t>
        </is>
      </c>
      <c r="GT14" t="inlineStr">
        <is>
          <t>Hickory</t>
        </is>
      </c>
      <c r="GU14" t="inlineStr">
        <is>
          <t>Houndstooth</t>
        </is>
      </c>
      <c r="HI14" t="inlineStr">
        <is>
          <t>Does Not Apply</t>
        </is>
      </c>
      <c r="HV14" t="inlineStr">
        <is>
          <t>UN3090</t>
        </is>
      </c>
      <c r="HW14" t="inlineStr">
        <is>
          <t>6.2</t>
        </is>
      </c>
      <c r="IH14" t="inlineStr">
        <is>
          <t>Measuring Tape</t>
        </is>
      </c>
      <c r="II14" t="inlineStr">
        <is>
          <t>15 Years</t>
        </is>
      </c>
      <c r="IK14" t="inlineStr">
        <is>
          <t>Warranty length varies by part</t>
        </is>
      </c>
    </row>
    <row r="15">
      <c r="I15" t="inlineStr">
        <is>
          <t>200</t>
        </is>
      </c>
      <c r="J15" t="inlineStr">
        <is>
          <t>600</t>
        </is>
      </c>
      <c r="L15" t="inlineStr">
        <is>
          <t>Aflatoxins</t>
        </is>
      </c>
      <c r="N15" t="inlineStr">
        <is>
          <t>Armenia</t>
        </is>
      </c>
      <c r="O15" t="inlineStr">
        <is>
          <t>Product Information Sheet</t>
        </is>
      </c>
      <c r="P15" t="inlineStr">
        <is>
          <t>ANSI A117.1 Compliant</t>
        </is>
      </c>
      <c r="R15" t="inlineStr">
        <is>
          <t>Icelandic</t>
        </is>
      </c>
      <c r="T15" t="inlineStr">
        <is>
          <t>Manufactured Wood</t>
        </is>
      </c>
      <c r="U15" t="inlineStr">
        <is>
          <t>Mahogany</t>
        </is>
      </c>
      <c r="AE15" t="inlineStr">
        <is>
          <t>Drawers</t>
        </is>
      </c>
      <c r="AG15" t="inlineStr">
        <is>
          <t>Brushed Nickel</t>
        </is>
      </c>
      <c r="AR15" t="inlineStr">
        <is>
          <t>UN1266</t>
        </is>
      </c>
      <c r="AS15" t="inlineStr">
        <is>
          <t>9</t>
        </is>
      </c>
      <c r="AY15" t="inlineStr">
        <is>
          <t>4 Years</t>
        </is>
      </c>
      <c r="AZ15" t="inlineStr">
        <is>
          <t>15 Years</t>
        </is>
      </c>
      <c r="BB15" t="inlineStr">
        <is>
          <t>Corner</t>
        </is>
      </c>
      <c r="BC15" t="inlineStr">
        <is>
          <t>Metal</t>
        </is>
      </c>
      <c r="BI15" t="inlineStr">
        <is>
          <t>Bridle</t>
        </is>
      </c>
      <c r="BJ15" t="inlineStr">
        <is>
          <t>Mahogany</t>
        </is>
      </c>
      <c r="BR15" t="inlineStr">
        <is>
          <t>Lay flat to dry</t>
        </is>
      </c>
      <c r="BS15" t="inlineStr">
        <is>
          <t>Aluminum</t>
        </is>
      </c>
      <c r="BT15" t="inlineStr">
        <is>
          <t>Brushed Nickel</t>
        </is>
      </c>
      <c r="BU15" t="inlineStr">
        <is>
          <t>Euro Glides</t>
        </is>
      </c>
      <c r="BW15" t="inlineStr">
        <is>
          <t>Alcohol</t>
        </is>
      </c>
      <c r="BY15" t="inlineStr">
        <is>
          <t>Wheels / Casters</t>
        </is>
      </c>
      <c r="CH15" t="inlineStr">
        <is>
          <t>UN1266</t>
        </is>
      </c>
      <c r="CI15" t="inlineStr">
        <is>
          <t>9</t>
        </is>
      </c>
      <c r="CQ15" t="inlineStr">
        <is>
          <t>43"</t>
        </is>
      </c>
      <c r="CS15" t="inlineStr">
        <is>
          <t>Mallet</t>
        </is>
      </c>
      <c r="CT15" t="inlineStr">
        <is>
          <t>4 Years</t>
        </is>
      </c>
      <c r="CV15" t="inlineStr">
        <is>
          <t>15 Years</t>
        </is>
      </c>
      <c r="CX15" t="inlineStr">
        <is>
          <t>Glass</t>
        </is>
      </c>
      <c r="CZ15" t="inlineStr">
        <is>
          <t>Nickel</t>
        </is>
      </c>
      <c r="DA15" t="inlineStr">
        <is>
          <t>Faux Fur</t>
        </is>
      </c>
      <c r="DB15" t="inlineStr">
        <is>
          <t>Steel</t>
        </is>
      </c>
      <c r="DC15" t="inlineStr">
        <is>
          <t>Chenille</t>
        </is>
      </c>
      <c r="DH15" t="inlineStr">
        <is>
          <t>Heated Floor</t>
        </is>
      </c>
      <c r="DK15" t="inlineStr">
        <is>
          <t>Bridle</t>
        </is>
      </c>
      <c r="DS15" t="inlineStr">
        <is>
          <t>Lay flat to dry</t>
        </is>
      </c>
      <c r="DT15" t="inlineStr">
        <is>
          <t>Silver</t>
        </is>
      </c>
      <c r="DU15" t="inlineStr">
        <is>
          <t>Solid Wood</t>
        </is>
      </c>
      <c r="DW15" t="inlineStr">
        <is>
          <t>Blue</t>
        </is>
      </c>
      <c r="DX15" t="inlineStr">
        <is>
          <t>Mahogany</t>
        </is>
      </c>
      <c r="DY15" t="inlineStr">
        <is>
          <t>Flared Arms</t>
        </is>
      </c>
      <c r="EN15" t="inlineStr">
        <is>
          <t>UN1266</t>
        </is>
      </c>
      <c r="EO15" t="inlineStr">
        <is>
          <t>9</t>
        </is>
      </c>
      <c r="EX15" t="inlineStr">
        <is>
          <t>Mallet</t>
        </is>
      </c>
      <c r="EY15" t="inlineStr">
        <is>
          <t>4 Years</t>
        </is>
      </c>
      <c r="FB15" t="inlineStr">
        <is>
          <t>Marble / Granite</t>
        </is>
      </c>
      <c r="FC15" t="inlineStr">
        <is>
          <t>Euro Glides</t>
        </is>
      </c>
      <c r="FH15" t="inlineStr">
        <is>
          <t>Cast Iron</t>
        </is>
      </c>
      <c r="FJ15" t="inlineStr">
        <is>
          <t>Bridle</t>
        </is>
      </c>
      <c r="FK15" t="inlineStr">
        <is>
          <t>Mahogany</t>
        </is>
      </c>
      <c r="FL15" t="inlineStr">
        <is>
          <t>Lay flat to dry</t>
        </is>
      </c>
      <c r="FM15" t="inlineStr">
        <is>
          <t>Navy</t>
        </is>
      </c>
      <c r="GD15" t="inlineStr">
        <is>
          <t>Mallet</t>
        </is>
      </c>
      <c r="GE15" t="inlineStr">
        <is>
          <t>4 Years</t>
        </is>
      </c>
      <c r="GG15" t="inlineStr">
        <is>
          <t>Split King</t>
        </is>
      </c>
      <c r="GH15" t="inlineStr">
        <is>
          <t>Navy</t>
        </is>
      </c>
      <c r="GI15" t="inlineStr">
        <is>
          <t>Daybed</t>
        </is>
      </c>
      <c r="GJ15" t="inlineStr">
        <is>
          <t>Unavailable</t>
        </is>
      </c>
      <c r="GK15" t="inlineStr">
        <is>
          <t>Faux Fur</t>
        </is>
      </c>
      <c r="GS15" t="inlineStr">
        <is>
          <t>Bridle</t>
        </is>
      </c>
      <c r="GT15" t="inlineStr">
        <is>
          <t>Mahogany</t>
        </is>
      </c>
      <c r="GU15" t="inlineStr">
        <is>
          <t>Toile</t>
        </is>
      </c>
      <c r="HV15" t="inlineStr">
        <is>
          <t>UN1266</t>
        </is>
      </c>
      <c r="HW15" t="inlineStr">
        <is>
          <t>9</t>
        </is>
      </c>
      <c r="IH15" t="inlineStr">
        <is>
          <t>Mallet</t>
        </is>
      </c>
      <c r="II15" t="inlineStr">
        <is>
          <t>4 Years</t>
        </is>
      </c>
      <c r="IK15" t="inlineStr">
        <is>
          <t>15 Years</t>
        </is>
      </c>
    </row>
    <row r="16">
      <c r="I16" t="inlineStr">
        <is>
          <t>250</t>
        </is>
      </c>
      <c r="J16" t="inlineStr">
        <is>
          <t>720</t>
        </is>
      </c>
      <c r="L16" t="inlineStr">
        <is>
          <t>Alachlor</t>
        </is>
      </c>
      <c r="N16" t="inlineStr">
        <is>
          <t>Aruba</t>
        </is>
      </c>
      <c r="O16" t="inlineStr">
        <is>
          <t>Digital Law Label</t>
        </is>
      </c>
      <c r="P16" t="inlineStr">
        <is>
          <t>ANSI A137.1 Compliant</t>
        </is>
      </c>
      <c r="R16" t="inlineStr">
        <is>
          <t>Italian</t>
        </is>
      </c>
      <c r="T16" t="inlineStr">
        <is>
          <t>Limestone</t>
        </is>
      </c>
      <c r="U16" t="inlineStr">
        <is>
          <t>Mango</t>
        </is>
      </c>
      <c r="AE16" t="inlineStr">
        <is>
          <t>Mirror</t>
        </is>
      </c>
      <c r="AG16" t="inlineStr">
        <is>
          <t>Antique Brass</t>
        </is>
      </c>
      <c r="AR16" t="inlineStr">
        <is>
          <t>UN1993</t>
        </is>
      </c>
      <c r="AS16" t="inlineStr">
        <is>
          <t>8</t>
        </is>
      </c>
      <c r="AY16" t="inlineStr">
        <is>
          <t>18 Months</t>
        </is>
      </c>
      <c r="AZ16" t="inlineStr">
        <is>
          <t>18 Months</t>
        </is>
      </c>
      <c r="BB16" t="inlineStr">
        <is>
          <t>Basket Storage</t>
        </is>
      </c>
      <c r="BC16" t="inlineStr">
        <is>
          <t>Plastic / Acrylic</t>
        </is>
      </c>
      <c r="BI16" t="inlineStr">
        <is>
          <t>Halved</t>
        </is>
      </c>
      <c r="BJ16" t="inlineStr">
        <is>
          <t>Mango</t>
        </is>
      </c>
      <c r="BR16" t="inlineStr">
        <is>
          <t>Dryer safe</t>
        </is>
      </c>
      <c r="BS16" t="inlineStr">
        <is>
          <t>Acrylic</t>
        </is>
      </c>
      <c r="BT16" t="inlineStr">
        <is>
          <t>Antique Brass</t>
        </is>
      </c>
      <c r="BU16" t="inlineStr">
        <is>
          <t>Unavailable</t>
        </is>
      </c>
      <c r="BW16" t="inlineStr">
        <is>
          <t>Does Not Apply</t>
        </is>
      </c>
      <c r="BY16" t="inlineStr">
        <is>
          <t>Cabinets</t>
        </is>
      </c>
      <c r="CH16" t="inlineStr">
        <is>
          <t>UN1993</t>
        </is>
      </c>
      <c r="CI16" t="inlineStr">
        <is>
          <t>8</t>
        </is>
      </c>
      <c r="CQ16" t="inlineStr">
        <is>
          <t>88"</t>
        </is>
      </c>
      <c r="CS16" t="inlineStr">
        <is>
          <t>Level</t>
        </is>
      </c>
      <c r="CT16" t="inlineStr">
        <is>
          <t>18 Months</t>
        </is>
      </c>
      <c r="CV16" t="inlineStr">
        <is>
          <t>18 Months</t>
        </is>
      </c>
      <c r="CX16" t="inlineStr">
        <is>
          <t>Laminate</t>
        </is>
      </c>
      <c r="CZ16" t="inlineStr">
        <is>
          <t>Polyurethane</t>
        </is>
      </c>
      <c r="DA16" t="inlineStr">
        <is>
          <t>Nylon</t>
        </is>
      </c>
      <c r="DB16" t="inlineStr">
        <is>
          <t>Stainless Steel</t>
        </is>
      </c>
      <c r="DC16" t="inlineStr">
        <is>
          <t>Wool</t>
        </is>
      </c>
      <c r="DH16" t="inlineStr">
        <is>
          <t>Onyx</t>
        </is>
      </c>
      <c r="DK16" t="inlineStr">
        <is>
          <t>Halved</t>
        </is>
      </c>
      <c r="DS16" t="inlineStr">
        <is>
          <t>Dryer safe</t>
        </is>
      </c>
      <c r="DT16" t="inlineStr">
        <is>
          <t>Navy</t>
        </is>
      </c>
      <c r="DU16" t="inlineStr">
        <is>
          <t>Faux Leather</t>
        </is>
      </c>
      <c r="DW16" t="inlineStr">
        <is>
          <t>Dark Brown Wood</t>
        </is>
      </c>
      <c r="DX16" t="inlineStr">
        <is>
          <t>Mango</t>
        </is>
      </c>
      <c r="DY16" t="inlineStr">
        <is>
          <t>Unavailable</t>
        </is>
      </c>
      <c r="EN16" t="inlineStr">
        <is>
          <t>UN1993</t>
        </is>
      </c>
      <c r="EO16" t="inlineStr">
        <is>
          <t>8</t>
        </is>
      </c>
      <c r="EX16" t="inlineStr">
        <is>
          <t>Level</t>
        </is>
      </c>
      <c r="EY16" t="inlineStr">
        <is>
          <t>18 Months</t>
        </is>
      </c>
      <c r="FB16" t="inlineStr">
        <is>
          <t>Metal</t>
        </is>
      </c>
      <c r="FC16" t="inlineStr">
        <is>
          <t>Unavailable</t>
        </is>
      </c>
      <c r="FH16" t="inlineStr">
        <is>
          <t>Gold Plated</t>
        </is>
      </c>
      <c r="FJ16" t="inlineStr">
        <is>
          <t>Halved</t>
        </is>
      </c>
      <c r="FK16" t="inlineStr">
        <is>
          <t>Mango</t>
        </is>
      </c>
      <c r="FL16" t="inlineStr">
        <is>
          <t>Dryer safe</t>
        </is>
      </c>
      <c r="FM16" t="inlineStr">
        <is>
          <t>Orange</t>
        </is>
      </c>
      <c r="GD16" t="inlineStr">
        <is>
          <t>Level</t>
        </is>
      </c>
      <c r="GE16" t="inlineStr">
        <is>
          <t>18 Months</t>
        </is>
      </c>
      <c r="GG16" t="inlineStr">
        <is>
          <t>California Queen</t>
        </is>
      </c>
      <c r="GH16" t="inlineStr">
        <is>
          <t>Orange</t>
        </is>
      </c>
      <c r="GI16" t="inlineStr">
        <is>
          <t>Unavailable</t>
        </is>
      </c>
      <c r="GK16" t="inlineStr">
        <is>
          <t>Nylon</t>
        </is>
      </c>
      <c r="GS16" t="inlineStr">
        <is>
          <t>Halved</t>
        </is>
      </c>
      <c r="GT16" t="inlineStr">
        <is>
          <t>Mango</t>
        </is>
      </c>
      <c r="GU16" t="inlineStr">
        <is>
          <t>Patchwork</t>
        </is>
      </c>
      <c r="HV16" t="inlineStr">
        <is>
          <t>UN1993</t>
        </is>
      </c>
      <c r="HW16" t="inlineStr">
        <is>
          <t>8</t>
        </is>
      </c>
      <c r="IH16" t="inlineStr">
        <is>
          <t>Level</t>
        </is>
      </c>
      <c r="II16" t="inlineStr">
        <is>
          <t>18 Months</t>
        </is>
      </c>
      <c r="IK16" t="inlineStr">
        <is>
          <t>18 Months</t>
        </is>
      </c>
    </row>
    <row r="17">
      <c r="I17" t="inlineStr">
        <is>
          <t>300</t>
        </is>
      </c>
      <c r="J17" t="inlineStr">
        <is>
          <t>840</t>
        </is>
      </c>
      <c r="L17" t="inlineStr">
        <is>
          <t>Alcoholic beverages, when associated with alcohol abuse</t>
        </is>
      </c>
      <c r="N17" t="inlineStr">
        <is>
          <t>Australia</t>
        </is>
      </c>
      <c r="P17" t="inlineStr">
        <is>
          <t>ANSI IT9.2 Compliant</t>
        </is>
      </c>
      <c r="R17" t="inlineStr">
        <is>
          <t>Japanese</t>
        </is>
      </c>
      <c r="T17" t="inlineStr">
        <is>
          <t>Artificial Grass</t>
        </is>
      </c>
      <c r="U17" t="inlineStr">
        <is>
          <t>Maple</t>
        </is>
      </c>
      <c r="AE17" t="inlineStr">
        <is>
          <t>Unavailable</t>
        </is>
      </c>
      <c r="AG17" t="inlineStr">
        <is>
          <t>Antique Bronze</t>
        </is>
      </c>
      <c r="AR17" t="inlineStr">
        <is>
          <t>UN1944</t>
        </is>
      </c>
      <c r="AS17" t="inlineStr">
        <is>
          <t>Does Not Apply</t>
        </is>
      </c>
      <c r="AY17" t="inlineStr">
        <is>
          <t>6 Years</t>
        </is>
      </c>
      <c r="AZ17" t="inlineStr">
        <is>
          <t>12 Years</t>
        </is>
      </c>
      <c r="BB17" t="inlineStr">
        <is>
          <t>Tabletop</t>
        </is>
      </c>
      <c r="BC17" t="inlineStr">
        <is>
          <t>Teak</t>
        </is>
      </c>
      <c r="BI17" t="inlineStr">
        <is>
          <t>Corner Block Reinforced</t>
        </is>
      </c>
      <c r="BJ17" t="inlineStr">
        <is>
          <t>Maple</t>
        </is>
      </c>
      <c r="BR17" t="inlineStr">
        <is>
          <t>Warm wash</t>
        </is>
      </c>
      <c r="BS17" t="inlineStr">
        <is>
          <t>Resin</t>
        </is>
      </c>
      <c r="BT17" t="inlineStr">
        <is>
          <t>Antique Bronze</t>
        </is>
      </c>
      <c r="BU17" t="inlineStr">
        <is>
          <t>Does Not Apply</t>
        </is>
      </c>
      <c r="BY17" t="inlineStr">
        <is>
          <t>Unavailable</t>
        </is>
      </c>
      <c r="CH17" t="inlineStr">
        <is>
          <t>UN1944</t>
        </is>
      </c>
      <c r="CI17" t="inlineStr">
        <is>
          <t>Does Not Apply</t>
        </is>
      </c>
      <c r="CQ17" t="inlineStr">
        <is>
          <t>60"</t>
        </is>
      </c>
      <c r="CS17" t="inlineStr">
        <is>
          <t>Box Cutter</t>
        </is>
      </c>
      <c r="CT17" t="inlineStr">
        <is>
          <t>6 Years</t>
        </is>
      </c>
      <c r="CV17" t="inlineStr">
        <is>
          <t>12 Years</t>
        </is>
      </c>
      <c r="CX17" t="inlineStr">
        <is>
          <t>Wicker</t>
        </is>
      </c>
      <c r="CZ17" t="inlineStr">
        <is>
          <t>Solid + Manufactured Wood</t>
        </is>
      </c>
      <c r="DA17" t="inlineStr">
        <is>
          <t>Genuine Fur</t>
        </is>
      </c>
      <c r="DB17" t="inlineStr">
        <is>
          <t>Upholstered</t>
        </is>
      </c>
      <c r="DC17" t="inlineStr">
        <is>
          <t>Cotton</t>
        </is>
      </c>
      <c r="DH17" t="inlineStr">
        <is>
          <t>Thin Carpets and Low Pile Rugs</t>
        </is>
      </c>
      <c r="DK17" t="inlineStr">
        <is>
          <t>Corner Block Reinforced</t>
        </is>
      </c>
      <c r="DS17" t="inlineStr">
        <is>
          <t>Warm wash</t>
        </is>
      </c>
      <c r="DT17" t="inlineStr">
        <is>
          <t>Ivory</t>
        </is>
      </c>
      <c r="DU17" t="inlineStr">
        <is>
          <t>Genuine Leather</t>
        </is>
      </c>
      <c r="DW17" t="inlineStr">
        <is>
          <t>Brown Wood</t>
        </is>
      </c>
      <c r="DX17" t="inlineStr">
        <is>
          <t>Maple</t>
        </is>
      </c>
      <c r="DY17" t="inlineStr">
        <is>
          <t>Does Not Apply</t>
        </is>
      </c>
      <c r="EN17" t="inlineStr">
        <is>
          <t>UN1944</t>
        </is>
      </c>
      <c r="EO17" t="inlineStr">
        <is>
          <t>Does Not Apply</t>
        </is>
      </c>
      <c r="EX17" t="inlineStr">
        <is>
          <t>Box Cutter</t>
        </is>
      </c>
      <c r="EY17" t="inlineStr">
        <is>
          <t>6 Years</t>
        </is>
      </c>
      <c r="FB17" t="inlineStr">
        <is>
          <t>Plastic / Acrylic</t>
        </is>
      </c>
      <c r="FC17" t="inlineStr">
        <is>
          <t>Does Not Apply</t>
        </is>
      </c>
      <c r="FH17" t="inlineStr">
        <is>
          <t>Sterling Silver</t>
        </is>
      </c>
      <c r="FJ17" t="inlineStr">
        <is>
          <t>Corner Block Reinforced</t>
        </is>
      </c>
      <c r="FK17" t="inlineStr">
        <is>
          <t>Maple</t>
        </is>
      </c>
      <c r="FL17" t="inlineStr">
        <is>
          <t>Warm wash</t>
        </is>
      </c>
      <c r="FM17" t="inlineStr">
        <is>
          <t>Silver</t>
        </is>
      </c>
      <c r="GD17" t="inlineStr">
        <is>
          <t>Box Cutter</t>
        </is>
      </c>
      <c r="GE17" t="inlineStr">
        <is>
          <t>6 Years</t>
        </is>
      </c>
      <c r="GG17" t="inlineStr">
        <is>
          <t>Split Queen</t>
        </is>
      </c>
      <c r="GH17" t="inlineStr">
        <is>
          <t>Silver</t>
        </is>
      </c>
      <c r="GK17" t="inlineStr">
        <is>
          <t>Genuine Fur</t>
        </is>
      </c>
      <c r="GS17" t="inlineStr">
        <is>
          <t>Corner Block Reinforced</t>
        </is>
      </c>
      <c r="GT17" t="inlineStr">
        <is>
          <t>Maple</t>
        </is>
      </c>
      <c r="GU17" t="inlineStr">
        <is>
          <t>Ombre</t>
        </is>
      </c>
      <c r="HV17" t="inlineStr">
        <is>
          <t>UN1944</t>
        </is>
      </c>
      <c r="HW17" t="inlineStr">
        <is>
          <t>Does Not Apply</t>
        </is>
      </c>
      <c r="IH17" t="inlineStr">
        <is>
          <t>Box Cutter</t>
        </is>
      </c>
      <c r="II17" t="inlineStr">
        <is>
          <t>6 Years</t>
        </is>
      </c>
      <c r="IK17" t="inlineStr">
        <is>
          <t>12 Years</t>
        </is>
      </c>
    </row>
    <row r="18">
      <c r="I18" t="inlineStr">
        <is>
          <t>400</t>
        </is>
      </c>
      <c r="J18" t="inlineStr">
        <is>
          <t>960</t>
        </is>
      </c>
      <c r="L18" t="inlineStr">
        <is>
          <t>Aldrin</t>
        </is>
      </c>
      <c r="N18" t="inlineStr">
        <is>
          <t>Austria</t>
        </is>
      </c>
      <c r="P18" t="inlineStr">
        <is>
          <t>ANSI Z1.5A/CGA 9.1M Certified</t>
        </is>
      </c>
      <c r="R18" t="inlineStr">
        <is>
          <t>Korean</t>
        </is>
      </c>
      <c r="T18" t="inlineStr">
        <is>
          <t>Antler</t>
        </is>
      </c>
      <c r="U18" t="inlineStr">
        <is>
          <t>Oak</t>
        </is>
      </c>
      <c r="AE18" t="inlineStr">
        <is>
          <t>Does Not Apply</t>
        </is>
      </c>
      <c r="AG18" t="inlineStr">
        <is>
          <t>Copper</t>
        </is>
      </c>
      <c r="AR18" t="inlineStr">
        <is>
          <t>UN1070</t>
        </is>
      </c>
      <c r="AY18" t="inlineStr">
        <is>
          <t>7 Years</t>
        </is>
      </c>
      <c r="AZ18" t="inlineStr">
        <is>
          <t>6 Years</t>
        </is>
      </c>
      <c r="BB18" t="inlineStr">
        <is>
          <t>Hanging</t>
        </is>
      </c>
      <c r="BC18" t="inlineStr">
        <is>
          <t>Solid + Manufactured Wood</t>
        </is>
      </c>
      <c r="BI18" t="inlineStr">
        <is>
          <t>Miter</t>
        </is>
      </c>
      <c r="BJ18" t="inlineStr">
        <is>
          <t>Oak</t>
        </is>
      </c>
      <c r="BR18" t="inlineStr">
        <is>
          <t>Non-Abrasive, Neutral Ph Cleaner</t>
        </is>
      </c>
      <c r="BS18" t="inlineStr">
        <is>
          <t>Tinted Glass</t>
        </is>
      </c>
      <c r="BT18" t="inlineStr">
        <is>
          <t>Copper</t>
        </is>
      </c>
      <c r="BY18" t="inlineStr">
        <is>
          <t>Does Not Apply</t>
        </is>
      </c>
      <c r="CH18" t="inlineStr">
        <is>
          <t>UN1070</t>
        </is>
      </c>
      <c r="CQ18" t="inlineStr">
        <is>
          <t>78"</t>
        </is>
      </c>
      <c r="CS18" t="inlineStr">
        <is>
          <t>Caulk / Adhesive</t>
        </is>
      </c>
      <c r="CT18" t="inlineStr">
        <is>
          <t>7 Years</t>
        </is>
      </c>
      <c r="CV18" t="inlineStr">
        <is>
          <t>6 Years</t>
        </is>
      </c>
      <c r="CX18" t="inlineStr">
        <is>
          <t>Leather</t>
        </is>
      </c>
      <c r="CZ18" t="inlineStr">
        <is>
          <t>Cotton</t>
        </is>
      </c>
      <c r="DA18" t="inlineStr">
        <is>
          <t>Linen</t>
        </is>
      </c>
      <c r="DB18" t="inlineStr">
        <is>
          <t>Microfiber</t>
        </is>
      </c>
      <c r="DC18" t="inlineStr">
        <is>
          <t>Linen</t>
        </is>
      </c>
      <c r="DH18" t="inlineStr">
        <is>
          <t>Engineered Wood</t>
        </is>
      </c>
      <c r="DK18" t="inlineStr">
        <is>
          <t>Miter</t>
        </is>
      </c>
      <c r="DS18" t="inlineStr">
        <is>
          <t>Non-Abrasive, Neutral Ph Cleaner</t>
        </is>
      </c>
      <c r="DT18" t="inlineStr">
        <is>
          <t>Brown</t>
        </is>
      </c>
      <c r="DU18" t="inlineStr">
        <is>
          <t>Polyurethane</t>
        </is>
      </c>
      <c r="DW18" t="inlineStr">
        <is>
          <t>Oak Wood</t>
        </is>
      </c>
      <c r="DX18" t="inlineStr">
        <is>
          <t>Oak</t>
        </is>
      </c>
      <c r="EN18" t="inlineStr">
        <is>
          <t>UN1070</t>
        </is>
      </c>
      <c r="EX18" t="inlineStr">
        <is>
          <t>Caulk / Adhesive</t>
        </is>
      </c>
      <c r="EY18" t="inlineStr">
        <is>
          <t>7 Years</t>
        </is>
      </c>
      <c r="FB18" t="inlineStr">
        <is>
          <t>Teak</t>
        </is>
      </c>
      <c r="FH18" t="inlineStr">
        <is>
          <t>Resin</t>
        </is>
      </c>
      <c r="FJ18" t="inlineStr">
        <is>
          <t>Miter</t>
        </is>
      </c>
      <c r="FK18" t="inlineStr">
        <is>
          <t>Oak</t>
        </is>
      </c>
      <c r="FL18" t="inlineStr">
        <is>
          <t>Non-Abrasive, Neutral Ph Cleaner</t>
        </is>
      </c>
      <c r="FM18" t="inlineStr">
        <is>
          <t>Gray</t>
        </is>
      </c>
      <c r="GD18" t="inlineStr">
        <is>
          <t>Caulk / Adhesive</t>
        </is>
      </c>
      <c r="GE18" t="inlineStr">
        <is>
          <t>7 Years</t>
        </is>
      </c>
      <c r="GG18" t="inlineStr">
        <is>
          <t>Split Top King</t>
        </is>
      </c>
      <c r="GH18" t="inlineStr">
        <is>
          <t>Gray</t>
        </is>
      </c>
      <c r="GK18" t="inlineStr">
        <is>
          <t>Linen</t>
        </is>
      </c>
      <c r="GS18" t="inlineStr">
        <is>
          <t>Miter</t>
        </is>
      </c>
      <c r="GT18" t="inlineStr">
        <is>
          <t>Oak</t>
        </is>
      </c>
      <c r="GU18" t="inlineStr">
        <is>
          <t>Checkered</t>
        </is>
      </c>
      <c r="HV18" t="inlineStr">
        <is>
          <t>UN1070</t>
        </is>
      </c>
      <c r="IH18" t="inlineStr">
        <is>
          <t>Caulk / Adhesive</t>
        </is>
      </c>
      <c r="II18" t="inlineStr">
        <is>
          <t>7 Years</t>
        </is>
      </c>
      <c r="IK18" t="inlineStr">
        <is>
          <t>6 Years</t>
        </is>
      </c>
    </row>
    <row r="19">
      <c r="I19" t="inlineStr">
        <is>
          <t>500</t>
        </is>
      </c>
      <c r="L19" t="inlineStr">
        <is>
          <t>All-trans retinoic acid</t>
        </is>
      </c>
      <c r="N19" t="inlineStr">
        <is>
          <t>Azerbaijan</t>
        </is>
      </c>
      <c r="P19" t="inlineStr">
        <is>
          <t>ANSI Z124.1.2 Compliant</t>
        </is>
      </c>
      <c r="R19" t="inlineStr">
        <is>
          <t>Norwegian (Bokmål)</t>
        </is>
      </c>
      <c r="T19" t="inlineStr">
        <is>
          <t>HDPE</t>
        </is>
      </c>
      <c r="U19" t="inlineStr">
        <is>
          <t>Pine</t>
        </is>
      </c>
      <c r="AG19" t="inlineStr">
        <is>
          <t>Antique Copper</t>
        </is>
      </c>
      <c r="AR19" t="inlineStr">
        <is>
          <t>UN1044</t>
        </is>
      </c>
      <c r="AY19" t="inlineStr">
        <is>
          <t>8 Years</t>
        </is>
      </c>
      <c r="AZ19" t="inlineStr">
        <is>
          <t>4 Years</t>
        </is>
      </c>
      <c r="BB19" t="inlineStr">
        <is>
          <t>Bombe</t>
        </is>
      </c>
      <c r="BC19" t="inlineStr">
        <is>
          <t>Steel</t>
        </is>
      </c>
      <c r="BI19" t="inlineStr">
        <is>
          <t>Unavailable</t>
        </is>
      </c>
      <c r="BJ19" t="inlineStr">
        <is>
          <t>Pine</t>
        </is>
      </c>
      <c r="BR19" t="inlineStr">
        <is>
          <t>Commercial dishwasher safe</t>
        </is>
      </c>
      <c r="BS19" t="inlineStr">
        <is>
          <t>Laminate</t>
        </is>
      </c>
      <c r="BT19" t="inlineStr">
        <is>
          <t>Antique Copper</t>
        </is>
      </c>
      <c r="CH19" t="inlineStr">
        <is>
          <t>UN1044</t>
        </is>
      </c>
      <c r="CQ19" t="inlineStr">
        <is>
          <t>85"</t>
        </is>
      </c>
      <c r="CS19" t="inlineStr">
        <is>
          <t>Anchors / Stakes</t>
        </is>
      </c>
      <c r="CT19" t="inlineStr">
        <is>
          <t>8 Years</t>
        </is>
      </c>
      <c r="CV19" t="inlineStr">
        <is>
          <t>4 Years</t>
        </is>
      </c>
      <c r="CX19" t="inlineStr">
        <is>
          <t>Vinyl</t>
        </is>
      </c>
      <c r="CZ19" t="inlineStr">
        <is>
          <t>Stainless Steel</t>
        </is>
      </c>
      <c r="DA19" t="inlineStr">
        <is>
          <t>Cotton</t>
        </is>
      </c>
      <c r="DB19" t="inlineStr">
        <is>
          <t>Polyester / Polyester Blend</t>
        </is>
      </c>
      <c r="DC19" t="inlineStr">
        <is>
          <t>Microsuede</t>
        </is>
      </c>
      <c r="DH19" t="inlineStr">
        <is>
          <t>Bamboo</t>
        </is>
      </c>
      <c r="DK19" t="inlineStr">
        <is>
          <t>Unavailable</t>
        </is>
      </c>
      <c r="DS19" t="inlineStr">
        <is>
          <t>Commercial dishwasher safe</t>
        </is>
      </c>
      <c r="DT19" t="inlineStr">
        <is>
          <t>White</t>
        </is>
      </c>
      <c r="DU19" t="inlineStr">
        <is>
          <t>Solid + Manufactured Wood</t>
        </is>
      </c>
      <c r="DW19" t="inlineStr">
        <is>
          <t>Medium Yellow Wood</t>
        </is>
      </c>
      <c r="DX19" t="inlineStr">
        <is>
          <t>Pine</t>
        </is>
      </c>
      <c r="EN19" t="inlineStr">
        <is>
          <t>UN1044</t>
        </is>
      </c>
      <c r="EX19" t="inlineStr">
        <is>
          <t>Anchors / Stakes</t>
        </is>
      </c>
      <c r="EY19" t="inlineStr">
        <is>
          <t>8 Years</t>
        </is>
      </c>
      <c r="FB19" t="inlineStr">
        <is>
          <t>Solid + Manufactured Wood</t>
        </is>
      </c>
      <c r="FH19" t="inlineStr">
        <is>
          <t>Silver Plated</t>
        </is>
      </c>
      <c r="FJ19" t="inlineStr">
        <is>
          <t>Unavailable</t>
        </is>
      </c>
      <c r="FK19" t="inlineStr">
        <is>
          <t>Pine</t>
        </is>
      </c>
      <c r="FL19" t="inlineStr">
        <is>
          <t>Commercial dishwasher safe</t>
        </is>
      </c>
      <c r="FM19" t="inlineStr">
        <is>
          <t>Green</t>
        </is>
      </c>
      <c r="GD19" t="inlineStr">
        <is>
          <t>Anchors / Stakes</t>
        </is>
      </c>
      <c r="GE19" t="inlineStr">
        <is>
          <t>8 Years</t>
        </is>
      </c>
      <c r="GG19" t="inlineStr">
        <is>
          <t>Split Top Queen</t>
        </is>
      </c>
      <c r="GH19" t="inlineStr">
        <is>
          <t>Green</t>
        </is>
      </c>
      <c r="GK19" t="inlineStr">
        <is>
          <t>Cotton</t>
        </is>
      </c>
      <c r="GS19" t="inlineStr">
        <is>
          <t>Unavailable</t>
        </is>
      </c>
      <c r="GT19" t="inlineStr">
        <is>
          <t>Pine</t>
        </is>
      </c>
      <c r="GU19" t="inlineStr">
        <is>
          <t>Floral</t>
        </is>
      </c>
      <c r="HV19" t="inlineStr">
        <is>
          <t>UN1044</t>
        </is>
      </c>
      <c r="IH19" t="inlineStr">
        <is>
          <t>Anchors / Stakes</t>
        </is>
      </c>
      <c r="II19" t="inlineStr">
        <is>
          <t>8 Years</t>
        </is>
      </c>
      <c r="IK19" t="inlineStr">
        <is>
          <t>4 Years</t>
        </is>
      </c>
    </row>
    <row r="20">
      <c r="L20" t="inlineStr">
        <is>
          <t>Aloe Vera, non-decolorized whole leaf extract</t>
        </is>
      </c>
      <c r="N20" t="inlineStr">
        <is>
          <t>Bahamas</t>
        </is>
      </c>
      <c r="P20" t="inlineStr">
        <is>
          <t>ANSI Z124.3 Compliant</t>
        </is>
      </c>
      <c r="R20" t="inlineStr">
        <is>
          <t>Dutch</t>
        </is>
      </c>
      <c r="T20" t="inlineStr">
        <is>
          <t>Jersey</t>
        </is>
      </c>
      <c r="U20" t="inlineStr">
        <is>
          <t>Poplar</t>
        </is>
      </c>
      <c r="AG20" t="inlineStr">
        <is>
          <t>Brushed Brass</t>
        </is>
      </c>
      <c r="AR20" t="inlineStr">
        <is>
          <t>UN3163</t>
        </is>
      </c>
      <c r="AY20" t="inlineStr">
        <is>
          <t>9 Years</t>
        </is>
      </c>
      <c r="AZ20" t="inlineStr">
        <is>
          <t>8 Years</t>
        </is>
      </c>
      <c r="BB20" t="inlineStr">
        <is>
          <t>Etagere</t>
        </is>
      </c>
      <c r="BC20" t="inlineStr">
        <is>
          <t>Solid Wood</t>
        </is>
      </c>
      <c r="BI20" t="inlineStr">
        <is>
          <t>Does Not Apply</t>
        </is>
      </c>
      <c r="BJ20" t="inlineStr">
        <is>
          <t>Poplar</t>
        </is>
      </c>
      <c r="BR20" t="inlineStr">
        <is>
          <t>Vacuum with no beater bar/rotating brush</t>
        </is>
      </c>
      <c r="BS20" t="inlineStr">
        <is>
          <t>Metal</t>
        </is>
      </c>
      <c r="BT20" t="inlineStr">
        <is>
          <t>Brushed Brass</t>
        </is>
      </c>
      <c r="CH20" t="inlineStr">
        <is>
          <t>UN3163</t>
        </is>
      </c>
      <c r="CQ20" t="inlineStr">
        <is>
          <t>77"</t>
        </is>
      </c>
      <c r="CS20" t="inlineStr">
        <is>
          <t>Clamps</t>
        </is>
      </c>
      <c r="CT20" t="inlineStr">
        <is>
          <t>9 Years</t>
        </is>
      </c>
      <c r="CV20" t="inlineStr">
        <is>
          <t>8 Years</t>
        </is>
      </c>
      <c r="CX20" t="inlineStr">
        <is>
          <t>Foam</t>
        </is>
      </c>
      <c r="CZ20" t="inlineStr">
        <is>
          <t>Wicker/Rattan</t>
        </is>
      </c>
      <c r="DA20" t="inlineStr">
        <is>
          <t>Mesh</t>
        </is>
      </c>
      <c r="DB20" t="inlineStr">
        <is>
          <t>Iron</t>
        </is>
      </c>
      <c r="DC20" t="inlineStr">
        <is>
          <t>Unavailable</t>
        </is>
      </c>
      <c r="DH20" t="inlineStr">
        <is>
          <t>Cork</t>
        </is>
      </c>
      <c r="DK20" t="inlineStr">
        <is>
          <t>Does Not Apply</t>
        </is>
      </c>
      <c r="DS20" t="inlineStr">
        <is>
          <t>Vacuum with no beater bar/rotating brush</t>
        </is>
      </c>
      <c r="DT20" t="inlineStr">
        <is>
          <t>Platinum</t>
        </is>
      </c>
      <c r="DU20" t="inlineStr">
        <is>
          <t>Unavailable</t>
        </is>
      </c>
      <c r="DW20" t="inlineStr">
        <is>
          <t>Light Yellow Wood</t>
        </is>
      </c>
      <c r="DX20" t="inlineStr">
        <is>
          <t>Poplar</t>
        </is>
      </c>
      <c r="EN20" t="inlineStr">
        <is>
          <t>UN3163</t>
        </is>
      </c>
      <c r="EX20" t="inlineStr">
        <is>
          <t>Clamps</t>
        </is>
      </c>
      <c r="EY20" t="inlineStr">
        <is>
          <t>9 Years</t>
        </is>
      </c>
      <c r="FB20" t="inlineStr">
        <is>
          <t>Steel</t>
        </is>
      </c>
      <c r="FH20" t="inlineStr">
        <is>
          <t>Rubber</t>
        </is>
      </c>
      <c r="FJ20" t="inlineStr">
        <is>
          <t>Does Not Apply</t>
        </is>
      </c>
      <c r="FK20" t="inlineStr">
        <is>
          <t>Poplar</t>
        </is>
      </c>
      <c r="FL20" t="inlineStr">
        <is>
          <t>Vacuum with no beater bar/rotating brush</t>
        </is>
      </c>
      <c r="FM20" t="inlineStr">
        <is>
          <t>Cream</t>
        </is>
      </c>
      <c r="GD20" t="inlineStr">
        <is>
          <t>Clamps</t>
        </is>
      </c>
      <c r="GE20" t="inlineStr">
        <is>
          <t>9 Years</t>
        </is>
      </c>
      <c r="GH20" t="inlineStr">
        <is>
          <t>Cream</t>
        </is>
      </c>
      <c r="GK20" t="inlineStr">
        <is>
          <t>Mesh</t>
        </is>
      </c>
      <c r="GS20" t="inlineStr">
        <is>
          <t>Does Not Apply</t>
        </is>
      </c>
      <c r="GT20" t="inlineStr">
        <is>
          <t>Poplar</t>
        </is>
      </c>
      <c r="GU20" t="inlineStr">
        <is>
          <t>Argyle</t>
        </is>
      </c>
      <c r="HV20" t="inlineStr">
        <is>
          <t>UN3163</t>
        </is>
      </c>
      <c r="IH20" t="inlineStr">
        <is>
          <t>Clamps</t>
        </is>
      </c>
      <c r="II20" t="inlineStr">
        <is>
          <t>9 Years</t>
        </is>
      </c>
      <c r="IK20" t="inlineStr">
        <is>
          <t>8 Years</t>
        </is>
      </c>
    </row>
    <row r="21">
      <c r="L21" t="inlineStr">
        <is>
          <t>Alprazolam</t>
        </is>
      </c>
      <c r="N21" t="inlineStr">
        <is>
          <t>Bahrain</t>
        </is>
      </c>
      <c r="P21" t="inlineStr">
        <is>
          <t>ANSI Z124.6-97 Compliant</t>
        </is>
      </c>
      <c r="R21" t="inlineStr">
        <is>
          <t>Polish</t>
        </is>
      </c>
      <c r="T21" t="inlineStr">
        <is>
          <t>Linen</t>
        </is>
      </c>
      <c r="U21" t="inlineStr">
        <is>
          <t>Rosewood</t>
        </is>
      </c>
      <c r="AG21" t="inlineStr">
        <is>
          <t>Polished Brass</t>
        </is>
      </c>
      <c r="AR21" t="inlineStr">
        <is>
          <t>UN1268</t>
        </is>
      </c>
      <c r="AY21" t="inlineStr">
        <is>
          <t>12 Years</t>
        </is>
      </c>
      <c r="AZ21" t="inlineStr">
        <is>
          <t>7 Years</t>
        </is>
      </c>
      <c r="BB21" t="inlineStr">
        <is>
          <t>Wall Mounted</t>
        </is>
      </c>
      <c r="BC21" t="inlineStr">
        <is>
          <t>Wicker</t>
        </is>
      </c>
      <c r="BJ21" t="inlineStr">
        <is>
          <t>Rosewood</t>
        </is>
      </c>
      <c r="BR21" t="inlineStr">
        <is>
          <t>Air / Line Dry</t>
        </is>
      </c>
      <c r="BS21" t="inlineStr">
        <is>
          <t>Wire</t>
        </is>
      </c>
      <c r="BT21" t="inlineStr">
        <is>
          <t>Polished Brass</t>
        </is>
      </c>
      <c r="CH21" t="inlineStr">
        <is>
          <t>UN1268</t>
        </is>
      </c>
      <c r="CS21" t="inlineStr">
        <is>
          <t>Drill Bit</t>
        </is>
      </c>
      <c r="CT21" t="inlineStr">
        <is>
          <t>12 Years</t>
        </is>
      </c>
      <c r="CV21" t="inlineStr">
        <is>
          <t>7 Years</t>
        </is>
      </c>
      <c r="CX21" t="inlineStr">
        <is>
          <t>Kiln Dried Hardwood</t>
        </is>
      </c>
      <c r="CZ21" t="inlineStr">
        <is>
          <t>Faux Leather</t>
        </is>
      </c>
      <c r="DA21" t="inlineStr">
        <is>
          <t>Wool</t>
        </is>
      </c>
      <c r="DB21" t="inlineStr">
        <is>
          <t>Brass</t>
        </is>
      </c>
      <c r="DC21" t="inlineStr">
        <is>
          <t>Does Not Apply</t>
        </is>
      </c>
      <c r="DH21" t="inlineStr">
        <is>
          <t>Unavailable</t>
        </is>
      </c>
      <c r="DS21" t="inlineStr">
        <is>
          <t>Air / Line Dry</t>
        </is>
      </c>
      <c r="DT21" t="inlineStr">
        <is>
          <t>Yellow</t>
        </is>
      </c>
      <c r="DU21" t="inlineStr">
        <is>
          <t>Does Not Apply</t>
        </is>
      </c>
      <c r="DW21" t="inlineStr">
        <is>
          <t>Rose Gold</t>
        </is>
      </c>
      <c r="DX21" t="inlineStr">
        <is>
          <t>Rosewood</t>
        </is>
      </c>
      <c r="EN21" t="inlineStr">
        <is>
          <t>UN1268</t>
        </is>
      </c>
      <c r="EX21" t="inlineStr">
        <is>
          <t>Drill Bit</t>
        </is>
      </c>
      <c r="EY21" t="inlineStr">
        <is>
          <t>12 Years</t>
        </is>
      </c>
      <c r="FB21" t="inlineStr">
        <is>
          <t>Solid Wood</t>
        </is>
      </c>
      <c r="FH21" t="inlineStr">
        <is>
          <t>Stainless Steel</t>
        </is>
      </c>
      <c r="FK21" t="inlineStr">
        <is>
          <t>Rosewood</t>
        </is>
      </c>
      <c r="FL21" t="inlineStr">
        <is>
          <t>Air / Line Dry</t>
        </is>
      </c>
      <c r="FM21" t="inlineStr">
        <is>
          <t>Clear</t>
        </is>
      </c>
      <c r="GD21" t="inlineStr">
        <is>
          <t>Drill Bit</t>
        </is>
      </c>
      <c r="GE21" t="inlineStr">
        <is>
          <t>12 Years</t>
        </is>
      </c>
      <c r="GH21" t="inlineStr">
        <is>
          <t>Clear</t>
        </is>
      </c>
      <c r="GK21" t="inlineStr">
        <is>
          <t>Wool</t>
        </is>
      </c>
      <c r="GT21" t="inlineStr">
        <is>
          <t>Rosewood</t>
        </is>
      </c>
      <c r="GU21" t="inlineStr">
        <is>
          <t>Solid Color</t>
        </is>
      </c>
      <c r="HV21" t="inlineStr">
        <is>
          <t>UN1268</t>
        </is>
      </c>
      <c r="IH21" t="inlineStr">
        <is>
          <t>Drill Bit</t>
        </is>
      </c>
      <c r="II21" t="inlineStr">
        <is>
          <t>12 Years</t>
        </is>
      </c>
      <c r="IK21" t="inlineStr">
        <is>
          <t>7 Years</t>
        </is>
      </c>
    </row>
    <row r="22">
      <c r="L22" t="inlineStr">
        <is>
          <t>Amantadine hydrochloride</t>
        </is>
      </c>
      <c r="N22" t="inlineStr">
        <is>
          <t>Bangladesh</t>
        </is>
      </c>
      <c r="P22" t="inlineStr">
        <is>
          <t>ANSI Z21.11.2-2016 - Gas-Fired Unvented Room Heaters and Gas-Fired Unvented Decorative Room Heaters</t>
        </is>
      </c>
      <c r="R22" t="inlineStr">
        <is>
          <t>Portuguese</t>
        </is>
      </c>
      <c r="T22" t="inlineStr">
        <is>
          <t>Foam</t>
        </is>
      </c>
      <c r="U22" t="inlineStr">
        <is>
          <t>Rubberwood</t>
        </is>
      </c>
      <c r="AG22" t="inlineStr">
        <is>
          <t>Brass</t>
        </is>
      </c>
      <c r="AR22" t="inlineStr">
        <is>
          <t>UN1760</t>
        </is>
      </c>
      <c r="AY22" t="inlineStr">
        <is>
          <t>11 Years</t>
        </is>
      </c>
      <c r="AZ22" t="inlineStr">
        <is>
          <t>Does Not Apply</t>
        </is>
      </c>
      <c r="BB22" t="inlineStr">
        <is>
          <t>Double Walled</t>
        </is>
      </c>
      <c r="BC22" t="inlineStr">
        <is>
          <t>Reclaimed Wood</t>
        </is>
      </c>
      <c r="BJ22" t="inlineStr">
        <is>
          <t>Rubberwood</t>
        </is>
      </c>
      <c r="BR22" t="inlineStr">
        <is>
          <t>Professional / Dry Clean Recommended</t>
        </is>
      </c>
      <c r="BS22" t="inlineStr">
        <is>
          <t>Mirrored</t>
        </is>
      </c>
      <c r="BT22" t="inlineStr">
        <is>
          <t>Brass</t>
        </is>
      </c>
      <c r="CH22" t="inlineStr">
        <is>
          <t>UN1760</t>
        </is>
      </c>
      <c r="CS22" t="inlineStr">
        <is>
          <t>Gloves</t>
        </is>
      </c>
      <c r="CT22" t="inlineStr">
        <is>
          <t>11 Years</t>
        </is>
      </c>
      <c r="CV22" t="inlineStr">
        <is>
          <t>Does Not Apply</t>
        </is>
      </c>
      <c r="CX22" t="inlineStr">
        <is>
          <t>Stainless Steel</t>
        </is>
      </c>
      <c r="CZ22" t="inlineStr">
        <is>
          <t>Mesh</t>
        </is>
      </c>
      <c r="DA22" t="inlineStr">
        <is>
          <t>Sunbrella®</t>
        </is>
      </c>
      <c r="DB22" t="inlineStr">
        <is>
          <t>Cane</t>
        </is>
      </c>
      <c r="DH22" t="inlineStr">
        <is>
          <t>Does Not Apply</t>
        </is>
      </c>
      <c r="DS22" t="inlineStr">
        <is>
          <t>Professional / Dry Clean Recommended</t>
        </is>
      </c>
      <c r="DT22" t="inlineStr">
        <is>
          <t>Teal</t>
        </is>
      </c>
      <c r="DW22" t="inlineStr">
        <is>
          <t>Antique Brass</t>
        </is>
      </c>
      <c r="DX22" t="inlineStr">
        <is>
          <t>Rubberwood</t>
        </is>
      </c>
      <c r="EN22" t="inlineStr">
        <is>
          <t>UN1760</t>
        </is>
      </c>
      <c r="EX22" t="inlineStr">
        <is>
          <t>Gloves</t>
        </is>
      </c>
      <c r="EY22" t="inlineStr">
        <is>
          <t>11 Years</t>
        </is>
      </c>
      <c r="FB22" t="inlineStr">
        <is>
          <t>Wicker</t>
        </is>
      </c>
      <c r="FH22" t="inlineStr">
        <is>
          <t>Pewter</t>
        </is>
      </c>
      <c r="FK22" t="inlineStr">
        <is>
          <t>Rubberwood</t>
        </is>
      </c>
      <c r="FL22" t="inlineStr">
        <is>
          <t>Professional / Dry Clean Recommended</t>
        </is>
      </c>
      <c r="GD22" t="inlineStr">
        <is>
          <t>Gloves</t>
        </is>
      </c>
      <c r="GE22" t="inlineStr">
        <is>
          <t>11 Years</t>
        </is>
      </c>
      <c r="GK22" t="inlineStr">
        <is>
          <t>Sunbrella®</t>
        </is>
      </c>
      <c r="GT22" t="inlineStr">
        <is>
          <t>Rubberwood</t>
        </is>
      </c>
      <c r="GU22" t="inlineStr">
        <is>
          <t>No Pattern</t>
        </is>
      </c>
      <c r="HV22" t="inlineStr">
        <is>
          <t>UN1760</t>
        </is>
      </c>
      <c r="IH22" t="inlineStr">
        <is>
          <t>Gloves</t>
        </is>
      </c>
      <c r="II22" t="inlineStr">
        <is>
          <t>11 Years</t>
        </is>
      </c>
      <c r="IK22" t="inlineStr">
        <is>
          <t>Does Not Apply</t>
        </is>
      </c>
    </row>
    <row r="23">
      <c r="L23" t="inlineStr">
        <is>
          <t>Amikacin sulfate</t>
        </is>
      </c>
      <c r="N23" t="inlineStr">
        <is>
          <t>Barbados</t>
        </is>
      </c>
      <c r="P23" t="inlineStr">
        <is>
          <t>ANSI Z21.50-2016/CSA 2.22-2016 - Standard for Vented Decorative Gas Appliances</t>
        </is>
      </c>
      <c r="R23" t="inlineStr">
        <is>
          <t>Romanian</t>
        </is>
      </c>
      <c r="T23" t="inlineStr">
        <is>
          <t>Cowhide</t>
        </is>
      </c>
      <c r="U23" t="inlineStr">
        <is>
          <t>Sheesham</t>
        </is>
      </c>
      <c r="AG23" t="inlineStr">
        <is>
          <t>Satin Brass</t>
        </is>
      </c>
      <c r="AR23" t="inlineStr">
        <is>
          <t>UN1011</t>
        </is>
      </c>
      <c r="AY23" t="inlineStr">
        <is>
          <t>13 Years</t>
        </is>
      </c>
      <c r="BB23" t="inlineStr">
        <is>
          <t>Console</t>
        </is>
      </c>
      <c r="BJ23" t="inlineStr">
        <is>
          <t>Sheesham</t>
        </is>
      </c>
      <c r="BR23" t="inlineStr">
        <is>
          <t>Wash With Garden Hose Or Pressure Washer</t>
        </is>
      </c>
      <c r="BS23" t="inlineStr">
        <is>
          <t>Plastic</t>
        </is>
      </c>
      <c r="BT23" t="inlineStr">
        <is>
          <t>Satin Brass</t>
        </is>
      </c>
      <c r="CH23" t="inlineStr">
        <is>
          <t>UN1011</t>
        </is>
      </c>
      <c r="CS23" t="inlineStr">
        <is>
          <t>Hex Key</t>
        </is>
      </c>
      <c r="CT23" t="inlineStr">
        <is>
          <t>13 Years</t>
        </is>
      </c>
      <c r="CX23" t="inlineStr">
        <is>
          <t>Rubber</t>
        </is>
      </c>
      <c r="CZ23" t="inlineStr">
        <is>
          <t>Iron</t>
        </is>
      </c>
      <c r="DA23" t="inlineStr">
        <is>
          <t>Velvet</t>
        </is>
      </c>
      <c r="DB23" t="inlineStr">
        <is>
          <t>Unavailable</t>
        </is>
      </c>
      <c r="DS23" t="inlineStr">
        <is>
          <t>Wash With Garden Hose Or Pressure Washer</t>
        </is>
      </c>
      <c r="DT23" t="inlineStr">
        <is>
          <t>Does Not Apply</t>
        </is>
      </c>
      <c r="DW23" t="inlineStr">
        <is>
          <t>Nickel</t>
        </is>
      </c>
      <c r="DX23" t="inlineStr">
        <is>
          <t>Sheesham</t>
        </is>
      </c>
      <c r="EN23" t="inlineStr">
        <is>
          <t>UN1011</t>
        </is>
      </c>
      <c r="EX23" t="inlineStr">
        <is>
          <t>Hex Key</t>
        </is>
      </c>
      <c r="EY23" t="inlineStr">
        <is>
          <t>13 Years</t>
        </is>
      </c>
      <c r="FB23" t="inlineStr">
        <is>
          <t>Reclaimed Wood</t>
        </is>
      </c>
      <c r="FH23" t="inlineStr">
        <is>
          <t>No Handles</t>
        </is>
      </c>
      <c r="FK23" t="inlineStr">
        <is>
          <t>Sheesham</t>
        </is>
      </c>
      <c r="FL23" t="inlineStr">
        <is>
          <t>Wash With Garden Hose Or Pressure Washer</t>
        </is>
      </c>
      <c r="GD23" t="inlineStr">
        <is>
          <t>Hex Key</t>
        </is>
      </c>
      <c r="GE23" t="inlineStr">
        <is>
          <t>13 Years</t>
        </is>
      </c>
      <c r="GK23" t="inlineStr">
        <is>
          <t>Velvet</t>
        </is>
      </c>
      <c r="GT23" t="inlineStr">
        <is>
          <t>Sheesham</t>
        </is>
      </c>
      <c r="GU23" t="inlineStr">
        <is>
          <t>Trellis</t>
        </is>
      </c>
      <c r="HV23" t="inlineStr">
        <is>
          <t>UN1011</t>
        </is>
      </c>
      <c r="IH23" t="inlineStr">
        <is>
          <t>Hex Key</t>
        </is>
      </c>
      <c r="II23" t="inlineStr">
        <is>
          <t>13 Years</t>
        </is>
      </c>
    </row>
    <row r="24">
      <c r="L24" t="inlineStr">
        <is>
          <t>2-Aminoanthraquinone</t>
        </is>
      </c>
      <c r="N24" t="inlineStr">
        <is>
          <t>Belarus</t>
        </is>
      </c>
      <c r="P24" t="inlineStr">
        <is>
          <t>ANSI Z21.60-2017/CSA 2.26-2017- Standard for Decorative Gas Appliances</t>
        </is>
      </c>
      <c r="R24" t="inlineStr">
        <is>
          <t>Russian</t>
        </is>
      </c>
      <c r="T24" t="inlineStr">
        <is>
          <t>Copper / Copper Plated</t>
        </is>
      </c>
      <c r="U24" t="inlineStr">
        <is>
          <t>Spruce</t>
        </is>
      </c>
      <c r="AG24" t="inlineStr">
        <is>
          <t>Brushed Gold</t>
        </is>
      </c>
      <c r="AR24" t="inlineStr">
        <is>
          <t>UN2794</t>
        </is>
      </c>
      <c r="AY24" t="inlineStr">
        <is>
          <t>14 Years</t>
        </is>
      </c>
      <c r="BB24" t="inlineStr">
        <is>
          <t>Pedestal</t>
        </is>
      </c>
      <c r="BJ24" t="inlineStr">
        <is>
          <t>Spruce</t>
        </is>
      </c>
      <c r="BR24" t="inlineStr">
        <is>
          <t>Machine washable components</t>
        </is>
      </c>
      <c r="BS24" t="inlineStr">
        <is>
          <t>Manufactured Wood</t>
        </is>
      </c>
      <c r="BT24" t="inlineStr">
        <is>
          <t>Brushed Gold</t>
        </is>
      </c>
      <c r="CH24" t="inlineStr">
        <is>
          <t>UN2794</t>
        </is>
      </c>
      <c r="CS24" t="inlineStr">
        <is>
          <t>Glass Cutter</t>
        </is>
      </c>
      <c r="CT24" t="inlineStr">
        <is>
          <t>14 Years</t>
        </is>
      </c>
      <c r="CX24" t="inlineStr">
        <is>
          <t>Plywood</t>
        </is>
      </c>
      <c r="CZ24" t="inlineStr">
        <is>
          <t>Plastic / Acrylic</t>
        </is>
      </c>
      <c r="DA24" t="inlineStr">
        <is>
          <t>Fabric</t>
        </is>
      </c>
      <c r="DS24" t="inlineStr">
        <is>
          <t>Machine washable components</t>
        </is>
      </c>
      <c r="DW24" t="inlineStr">
        <is>
          <t>Pink</t>
        </is>
      </c>
      <c r="DX24" t="inlineStr">
        <is>
          <t>Spruce</t>
        </is>
      </c>
      <c r="EN24" t="inlineStr">
        <is>
          <t>UN2794</t>
        </is>
      </c>
      <c r="EX24" t="inlineStr">
        <is>
          <t>Glass Cutter</t>
        </is>
      </c>
      <c r="EY24" t="inlineStr">
        <is>
          <t>14 Years</t>
        </is>
      </c>
      <c r="FH24" t="inlineStr">
        <is>
          <t>Steel</t>
        </is>
      </c>
      <c r="FK24" t="inlineStr">
        <is>
          <t>Spruce</t>
        </is>
      </c>
      <c r="FL24" t="inlineStr">
        <is>
          <t>Machine washable components</t>
        </is>
      </c>
      <c r="GD24" t="inlineStr">
        <is>
          <t>Glass Cutter</t>
        </is>
      </c>
      <c r="GE24" t="inlineStr">
        <is>
          <t>14 Years</t>
        </is>
      </c>
      <c r="GK24" t="inlineStr">
        <is>
          <t>Fabric</t>
        </is>
      </c>
      <c r="GT24" t="inlineStr">
        <is>
          <t>Spruce</t>
        </is>
      </c>
      <c r="GU24" t="inlineStr">
        <is>
          <t>Dots</t>
        </is>
      </c>
      <c r="HV24" t="inlineStr">
        <is>
          <t>UN2794</t>
        </is>
      </c>
      <c r="IH24" t="inlineStr">
        <is>
          <t>Glass Cutter</t>
        </is>
      </c>
      <c r="II24" t="inlineStr">
        <is>
          <t>14 Years</t>
        </is>
      </c>
    </row>
    <row r="25">
      <c r="L25" t="inlineStr">
        <is>
          <t>p-Aminoazobenzene</t>
        </is>
      </c>
      <c r="N25" t="inlineStr">
        <is>
          <t>Belgium</t>
        </is>
      </c>
      <c r="P25" t="inlineStr">
        <is>
          <t>ANSI Z21.84-2017 - Standard for Manually Lighted/ Natural Gas/ Decorative Gas Appliances</t>
        </is>
      </c>
      <c r="R25" t="inlineStr">
        <is>
          <t>Slovak</t>
        </is>
      </c>
      <c r="T25" t="inlineStr">
        <is>
          <t>Engineered Wood</t>
        </is>
      </c>
      <c r="U25" t="inlineStr">
        <is>
          <t>Teak</t>
        </is>
      </c>
      <c r="AG25" t="inlineStr">
        <is>
          <t>Nickel</t>
        </is>
      </c>
      <c r="AR25" t="inlineStr">
        <is>
          <t>UN1759</t>
        </is>
      </c>
      <c r="AY25" t="inlineStr">
        <is>
          <t>No Commercial Warranty</t>
        </is>
      </c>
      <c r="BB25" t="inlineStr">
        <is>
          <t>Unavailable</t>
        </is>
      </c>
      <c r="BJ25" t="inlineStr">
        <is>
          <t>Teak</t>
        </is>
      </c>
      <c r="BR25" t="inlineStr">
        <is>
          <t>Professional / Dry Clean Only</t>
        </is>
      </c>
      <c r="BS25" t="inlineStr">
        <is>
          <t>Glass / Polycarbonate</t>
        </is>
      </c>
      <c r="BT25" t="inlineStr">
        <is>
          <t>Nickel</t>
        </is>
      </c>
      <c r="CH25" t="inlineStr">
        <is>
          <t>UN1759</t>
        </is>
      </c>
      <c r="CS25" t="inlineStr">
        <is>
          <t>Chop Saw</t>
        </is>
      </c>
      <c r="CT25" t="inlineStr">
        <is>
          <t>No Commercial Warranty</t>
        </is>
      </c>
      <c r="CX25" t="inlineStr">
        <is>
          <t>Ceramic</t>
        </is>
      </c>
      <c r="CZ25" t="inlineStr">
        <is>
          <t>Microfiber</t>
        </is>
      </c>
      <c r="DA25" t="inlineStr">
        <is>
          <t>Twill</t>
        </is>
      </c>
      <c r="DS25" t="inlineStr">
        <is>
          <t>Professional / Dry Clean Only</t>
        </is>
      </c>
      <c r="DW25" t="inlineStr">
        <is>
          <t>Polished Brass</t>
        </is>
      </c>
      <c r="DX25" t="inlineStr">
        <is>
          <t>Teak</t>
        </is>
      </c>
      <c r="EN25" t="inlineStr">
        <is>
          <t>UN1759</t>
        </is>
      </c>
      <c r="EX25" t="inlineStr">
        <is>
          <t>Chop Saw</t>
        </is>
      </c>
      <c r="EY25" t="inlineStr">
        <is>
          <t>No Commercial Warranty</t>
        </is>
      </c>
      <c r="FH25" t="inlineStr">
        <is>
          <t>Unavailable</t>
        </is>
      </c>
      <c r="FK25" t="inlineStr">
        <is>
          <t>Teak</t>
        </is>
      </c>
      <c r="FL25" t="inlineStr">
        <is>
          <t>Professional / Dry Clean Only</t>
        </is>
      </c>
      <c r="GD25" t="inlineStr">
        <is>
          <t>Chop Saw</t>
        </is>
      </c>
      <c r="GE25" t="inlineStr">
        <is>
          <t>No Commercial Warranty</t>
        </is>
      </c>
      <c r="GK25" t="inlineStr">
        <is>
          <t>Twill</t>
        </is>
      </c>
      <c r="GT25" t="inlineStr">
        <is>
          <t>Teak</t>
        </is>
      </c>
      <c r="GU25" t="inlineStr">
        <is>
          <t>Starburst</t>
        </is>
      </c>
      <c r="HV25" t="inlineStr">
        <is>
          <t>UN1759</t>
        </is>
      </c>
      <c r="IH25" t="inlineStr">
        <is>
          <t>Chop Saw</t>
        </is>
      </c>
      <c r="II25" t="inlineStr">
        <is>
          <t>No Commercial Warranty</t>
        </is>
      </c>
    </row>
    <row r="26">
      <c r="L26" t="inlineStr">
        <is>
          <t>o-Aminoazotoluene</t>
        </is>
      </c>
      <c r="N26" t="inlineStr">
        <is>
          <t>Belize</t>
        </is>
      </c>
      <c r="P26" t="inlineStr">
        <is>
          <t>ANSI Z21.88-2017/CSA 2.33-2017- Standard for Vented Gas Fireplace Heaters</t>
        </is>
      </c>
      <c r="R26" t="inlineStr">
        <is>
          <t>Swedish</t>
        </is>
      </c>
      <c r="T26" t="inlineStr">
        <is>
          <t>Cast Aluminum</t>
        </is>
      </c>
      <c r="U26" t="inlineStr">
        <is>
          <t>Walnut</t>
        </is>
      </c>
      <c r="AG26" t="inlineStr">
        <is>
          <t>Ivory</t>
        </is>
      </c>
      <c r="AR26" t="inlineStr">
        <is>
          <t>UN3171</t>
        </is>
      </c>
      <c r="AY26" t="inlineStr">
        <is>
          <t>Does Not Apply</t>
        </is>
      </c>
      <c r="BB26" t="inlineStr">
        <is>
          <t>Does Not Apply</t>
        </is>
      </c>
      <c r="BJ26" t="inlineStr">
        <is>
          <t>Walnut</t>
        </is>
      </c>
      <c r="BR26" t="inlineStr">
        <is>
          <t>Vacuum with upholstery attachment</t>
        </is>
      </c>
      <c r="BS26" t="inlineStr">
        <is>
          <t>Wicker</t>
        </is>
      </c>
      <c r="BT26" t="inlineStr">
        <is>
          <t>Ivory</t>
        </is>
      </c>
      <c r="CH26" t="inlineStr">
        <is>
          <t>UN3171</t>
        </is>
      </c>
      <c r="CS26" t="inlineStr">
        <is>
          <t>Circular Saw</t>
        </is>
      </c>
      <c r="CT26" t="inlineStr">
        <is>
          <t>Does Not Apply</t>
        </is>
      </c>
      <c r="CX26" t="inlineStr">
        <is>
          <t>Brass</t>
        </is>
      </c>
      <c r="CZ26" t="inlineStr">
        <is>
          <t>Polyester/Polyester blend</t>
        </is>
      </c>
      <c r="DA26" t="inlineStr">
        <is>
          <t>Suede</t>
        </is>
      </c>
      <c r="DS26" t="inlineStr">
        <is>
          <t>Vacuum with upholstery attachment</t>
        </is>
      </c>
      <c r="DW26" t="inlineStr">
        <is>
          <t>Satin Brass</t>
        </is>
      </c>
      <c r="DX26" t="inlineStr">
        <is>
          <t>Walnut</t>
        </is>
      </c>
      <c r="EN26" t="inlineStr">
        <is>
          <t>UN3171</t>
        </is>
      </c>
      <c r="EX26" t="inlineStr">
        <is>
          <t>Circular Saw</t>
        </is>
      </c>
      <c r="EY26" t="inlineStr">
        <is>
          <t>Does Not Apply</t>
        </is>
      </c>
      <c r="FH26" t="inlineStr">
        <is>
          <t>Does Not Apply</t>
        </is>
      </c>
      <c r="FK26" t="inlineStr">
        <is>
          <t>Walnut</t>
        </is>
      </c>
      <c r="FL26" t="inlineStr">
        <is>
          <t>Vacuum with upholstery attachment</t>
        </is>
      </c>
      <c r="GD26" t="inlineStr">
        <is>
          <t>Circular Saw</t>
        </is>
      </c>
      <c r="GE26" t="inlineStr">
        <is>
          <t>Does Not Apply</t>
        </is>
      </c>
      <c r="GK26" t="inlineStr">
        <is>
          <t>Suede</t>
        </is>
      </c>
      <c r="GT26" t="inlineStr">
        <is>
          <t>Walnut</t>
        </is>
      </c>
      <c r="GU26" t="inlineStr">
        <is>
          <t>Geometric Shapes</t>
        </is>
      </c>
      <c r="HV26" t="inlineStr">
        <is>
          <t>UN3171</t>
        </is>
      </c>
      <c r="IH26" t="inlineStr">
        <is>
          <t>Circular Saw</t>
        </is>
      </c>
      <c r="II26" t="inlineStr">
        <is>
          <t>Does Not Apply</t>
        </is>
      </c>
    </row>
    <row r="27">
      <c r="L27" t="inlineStr">
        <is>
          <t>4-Aminobiphenyl (4-aminodiphenyl)</t>
        </is>
      </c>
      <c r="N27" t="inlineStr">
        <is>
          <t>Benin</t>
        </is>
      </c>
      <c r="P27" t="inlineStr">
        <is>
          <t>ANSI Z358 Compliant</t>
        </is>
      </c>
      <c r="R27" t="inlineStr">
        <is>
          <t>Ukrainian</t>
        </is>
      </c>
      <c r="T27" t="inlineStr">
        <is>
          <t>Flat Wire</t>
        </is>
      </c>
      <c r="U27" t="inlineStr">
        <is>
          <t>Wenge</t>
        </is>
      </c>
      <c r="AG27" t="inlineStr">
        <is>
          <t>Green</t>
        </is>
      </c>
      <c r="AR27" t="inlineStr">
        <is>
          <t>UN1987</t>
        </is>
      </c>
      <c r="BJ27" t="inlineStr">
        <is>
          <t>Wenge</t>
        </is>
      </c>
      <c r="BR27" t="inlineStr">
        <is>
          <t>Vacuum with beater bar/rotating brush</t>
        </is>
      </c>
      <c r="BS27" t="inlineStr">
        <is>
          <t>Iron</t>
        </is>
      </c>
      <c r="BT27" t="inlineStr">
        <is>
          <t>Green</t>
        </is>
      </c>
      <c r="CH27" t="inlineStr">
        <is>
          <t>UN1987</t>
        </is>
      </c>
      <c r="CS27" t="inlineStr">
        <is>
          <t>Phillips Head Screwdriver</t>
        </is>
      </c>
      <c r="CX27" t="inlineStr">
        <is>
          <t>Fabric</t>
        </is>
      </c>
      <c r="CZ27" t="inlineStr">
        <is>
          <t>Porcelain</t>
        </is>
      </c>
      <c r="DA27" t="inlineStr">
        <is>
          <t>Chenille</t>
        </is>
      </c>
      <c r="DS27" t="inlineStr">
        <is>
          <t>Vacuum with beater bar/rotating brush</t>
        </is>
      </c>
      <c r="DW27" t="inlineStr">
        <is>
          <t>Oil Rubbed Bronze</t>
        </is>
      </c>
      <c r="DX27" t="inlineStr">
        <is>
          <t>Wenge</t>
        </is>
      </c>
      <c r="EN27" t="inlineStr">
        <is>
          <t>UN1987</t>
        </is>
      </c>
      <c r="EX27" t="inlineStr">
        <is>
          <t>Phillips Head Screwdriver</t>
        </is>
      </c>
      <c r="FK27" t="inlineStr">
        <is>
          <t>Wenge</t>
        </is>
      </c>
      <c r="FL27" t="inlineStr">
        <is>
          <t>Vacuum with beater bar/rotating brush</t>
        </is>
      </c>
      <c r="GD27" t="inlineStr">
        <is>
          <t>Phillips Head Screwdriver</t>
        </is>
      </c>
      <c r="GK27" t="inlineStr">
        <is>
          <t>Chenille</t>
        </is>
      </c>
      <c r="GT27" t="inlineStr">
        <is>
          <t>Wenge</t>
        </is>
      </c>
      <c r="GU27" t="inlineStr">
        <is>
          <t>Marble</t>
        </is>
      </c>
      <c r="HV27" t="inlineStr">
        <is>
          <t>UN1987</t>
        </is>
      </c>
      <c r="IH27" t="inlineStr">
        <is>
          <t>Phillips Head Screwdriver</t>
        </is>
      </c>
    </row>
    <row r="28">
      <c r="L28" t="inlineStr">
        <is>
          <t>1-Amino-2,4-dibromoanthraquinone</t>
        </is>
      </c>
      <c r="N28" t="inlineStr">
        <is>
          <t>Bermuda</t>
        </is>
      </c>
      <c r="P28" t="inlineStr">
        <is>
          <t>ANSI/BHMA A156 Certified</t>
        </is>
      </c>
      <c r="R28" t="inlineStr">
        <is>
          <t>Vietnamese</t>
        </is>
      </c>
      <c r="T28" t="inlineStr">
        <is>
          <t>Crystal</t>
        </is>
      </c>
      <c r="U28" t="inlineStr">
        <is>
          <t>Pecan</t>
        </is>
      </c>
      <c r="AG28" t="inlineStr">
        <is>
          <t>Orange</t>
        </is>
      </c>
      <c r="AR28" t="inlineStr">
        <is>
          <t>UN1263</t>
        </is>
      </c>
      <c r="BJ28" t="inlineStr">
        <is>
          <t>Pecan</t>
        </is>
      </c>
      <c r="BR28" t="inlineStr">
        <is>
          <t>Clean with bleach and water</t>
        </is>
      </c>
      <c r="BS28" t="inlineStr">
        <is>
          <t>Solid Wood</t>
        </is>
      </c>
      <c r="BT28" t="inlineStr">
        <is>
          <t>Orange</t>
        </is>
      </c>
      <c r="CH28" t="inlineStr">
        <is>
          <t>UN1263</t>
        </is>
      </c>
      <c r="CS28" t="inlineStr">
        <is>
          <t>Crescent Wrench</t>
        </is>
      </c>
      <c r="CX28" t="inlineStr">
        <is>
          <t>Concrete</t>
        </is>
      </c>
      <c r="CZ28" t="inlineStr">
        <is>
          <t>Sling</t>
        </is>
      </c>
      <c r="DA28" t="inlineStr">
        <is>
          <t>Microfiber / Microsuede</t>
        </is>
      </c>
      <c r="DS28" t="inlineStr">
        <is>
          <t>Clean with bleach and water</t>
        </is>
      </c>
      <c r="DW28" t="inlineStr">
        <is>
          <t>Polished Nickel</t>
        </is>
      </c>
      <c r="DX28" t="inlineStr">
        <is>
          <t>Pecan</t>
        </is>
      </c>
      <c r="EN28" t="inlineStr">
        <is>
          <t>UN1263</t>
        </is>
      </c>
      <c r="EX28" t="inlineStr">
        <is>
          <t>Crescent Wrench</t>
        </is>
      </c>
      <c r="FK28" t="inlineStr">
        <is>
          <t>Pecan</t>
        </is>
      </c>
      <c r="FL28" t="inlineStr">
        <is>
          <t>Clean with bleach and water</t>
        </is>
      </c>
      <c r="GD28" t="inlineStr">
        <is>
          <t>Crescent Wrench</t>
        </is>
      </c>
      <c r="GK28" t="inlineStr">
        <is>
          <t>Microfiber / Microsuede</t>
        </is>
      </c>
      <c r="GT28" t="inlineStr">
        <is>
          <t>Pecan</t>
        </is>
      </c>
      <c r="GU28" t="inlineStr">
        <is>
          <t>Brick</t>
        </is>
      </c>
      <c r="HV28" t="inlineStr">
        <is>
          <t>UN1263</t>
        </is>
      </c>
      <c r="IH28" t="inlineStr">
        <is>
          <t>Crescent Wrench</t>
        </is>
      </c>
    </row>
    <row r="29">
      <c r="L29" t="inlineStr">
        <is>
          <t>3-Amino-9-ethylcarbazole hydrochloride</t>
        </is>
      </c>
      <c r="N29" t="inlineStr">
        <is>
          <t>Bhutan</t>
        </is>
      </c>
      <c r="P29" t="inlineStr">
        <is>
          <t>ANSI/BIFMA M7.1 Standard Test Method for Determining VOC Emissions</t>
        </is>
      </c>
      <c r="R29" t="inlineStr">
        <is>
          <t>Chinese (S)</t>
        </is>
      </c>
      <c r="T29" t="inlineStr">
        <is>
          <t>Fleece / Microfiber</t>
        </is>
      </c>
      <c r="U29" t="inlineStr">
        <is>
          <t>Shorea</t>
        </is>
      </c>
      <c r="AG29" t="inlineStr">
        <is>
          <t>Beige</t>
        </is>
      </c>
      <c r="AR29" t="inlineStr">
        <is>
          <t>UN1170</t>
        </is>
      </c>
      <c r="BJ29" t="inlineStr">
        <is>
          <t>Shorea</t>
        </is>
      </c>
      <c r="BR29" t="inlineStr">
        <is>
          <t>Use product specific cleaner</t>
        </is>
      </c>
      <c r="BS29" t="inlineStr">
        <is>
          <t>Granite</t>
        </is>
      </c>
      <c r="BT29" t="inlineStr">
        <is>
          <t>Beige</t>
        </is>
      </c>
      <c r="CH29" t="inlineStr">
        <is>
          <t>UN1170</t>
        </is>
      </c>
      <c r="CS29" t="inlineStr">
        <is>
          <t>Flat Screwdriver</t>
        </is>
      </c>
      <c r="CX29" t="inlineStr">
        <is>
          <t>Particle Board</t>
        </is>
      </c>
      <c r="CZ29" t="inlineStr">
        <is>
          <t>Solid Wood</t>
        </is>
      </c>
      <c r="DA29" t="inlineStr">
        <is>
          <t>Revolution Performance Fabrics®</t>
        </is>
      </c>
      <c r="DS29" t="inlineStr">
        <is>
          <t>Use product specific cleaner</t>
        </is>
      </c>
      <c r="DW29" t="inlineStr">
        <is>
          <t>Red</t>
        </is>
      </c>
      <c r="DX29" t="inlineStr">
        <is>
          <t>Shorea</t>
        </is>
      </c>
      <c r="EN29" t="inlineStr">
        <is>
          <t>UN1170</t>
        </is>
      </c>
      <c r="EX29" t="inlineStr">
        <is>
          <t>Flat Screwdriver</t>
        </is>
      </c>
      <c r="FK29" t="inlineStr">
        <is>
          <t>Shorea</t>
        </is>
      </c>
      <c r="FL29" t="inlineStr">
        <is>
          <t>Use product specific cleaner</t>
        </is>
      </c>
      <c r="GD29" t="inlineStr">
        <is>
          <t>Flat Screwdriver</t>
        </is>
      </c>
      <c r="GK29" t="inlineStr">
        <is>
          <t>Revolution Performance Fabrics®</t>
        </is>
      </c>
      <c r="GT29" t="inlineStr">
        <is>
          <t>Shorea</t>
        </is>
      </c>
      <c r="GU29" t="inlineStr">
        <is>
          <t>Irish Chain</t>
        </is>
      </c>
      <c r="HV29" t="inlineStr">
        <is>
          <t>UN1170</t>
        </is>
      </c>
      <c r="IH29" t="inlineStr">
        <is>
          <t>Flat Screwdriver</t>
        </is>
      </c>
    </row>
    <row r="30">
      <c r="L30" t="inlineStr">
        <is>
          <t>2-Aminofluorene</t>
        </is>
      </c>
      <c r="N30" t="inlineStr">
        <is>
          <t>Bolivia</t>
        </is>
      </c>
      <c r="P30" t="inlineStr">
        <is>
          <t>ANSI/BIFMA X5.1 Office Seating</t>
        </is>
      </c>
      <c r="R30" t="inlineStr">
        <is>
          <t>Chinese (T)</t>
        </is>
      </c>
      <c r="T30" t="inlineStr">
        <is>
          <t>Cardboard / Paper</t>
        </is>
      </c>
      <c r="U30" t="inlineStr">
        <is>
          <t>Paulownia</t>
        </is>
      </c>
      <c r="AG30" t="inlineStr">
        <is>
          <t>Teal</t>
        </is>
      </c>
      <c r="AR30" t="inlineStr">
        <is>
          <t>UN3265</t>
        </is>
      </c>
      <c r="BJ30" t="inlineStr">
        <is>
          <t>Paulownia</t>
        </is>
      </c>
      <c r="BR30" t="inlineStr">
        <is>
          <t>Oil / seal / treat regularly</t>
        </is>
      </c>
      <c r="BS30" t="inlineStr">
        <is>
          <t>Unavailable</t>
        </is>
      </c>
      <c r="BT30" t="inlineStr">
        <is>
          <t>Teal</t>
        </is>
      </c>
      <c r="CH30" t="inlineStr">
        <is>
          <t>UN3265</t>
        </is>
      </c>
      <c r="CS30" t="inlineStr">
        <is>
          <t>Adhesive Roller / Tray</t>
        </is>
      </c>
      <c r="CX30" t="inlineStr">
        <is>
          <t>Fiberglass</t>
        </is>
      </c>
      <c r="CZ30" t="inlineStr">
        <is>
          <t>Velvet</t>
        </is>
      </c>
      <c r="DA30" t="inlineStr">
        <is>
          <t>Leather</t>
        </is>
      </c>
      <c r="DS30" t="inlineStr">
        <is>
          <t>Oil / seal / treat regularly</t>
        </is>
      </c>
      <c r="DW30" t="inlineStr">
        <is>
          <t>Purple</t>
        </is>
      </c>
      <c r="DX30" t="inlineStr">
        <is>
          <t>Paulownia</t>
        </is>
      </c>
      <c r="EN30" t="inlineStr">
        <is>
          <t>UN3265</t>
        </is>
      </c>
      <c r="EX30" t="inlineStr">
        <is>
          <t>Adhesive Roller / Tray</t>
        </is>
      </c>
      <c r="FK30" t="inlineStr">
        <is>
          <t>Paulownia</t>
        </is>
      </c>
      <c r="FL30" t="inlineStr">
        <is>
          <t>Oil / seal / treat regularly</t>
        </is>
      </c>
      <c r="GD30" t="inlineStr">
        <is>
          <t>Adhesive Roller / Tray</t>
        </is>
      </c>
      <c r="GK30" t="inlineStr">
        <is>
          <t>Leather</t>
        </is>
      </c>
      <c r="GT30" t="inlineStr">
        <is>
          <t>Paulownia</t>
        </is>
      </c>
      <c r="GU30" t="inlineStr">
        <is>
          <t>Wood &amp; Shiplap</t>
        </is>
      </c>
      <c r="HV30" t="inlineStr">
        <is>
          <t>UN3265</t>
        </is>
      </c>
      <c r="IH30" t="inlineStr">
        <is>
          <t>Adhesive Roller / Tray</t>
        </is>
      </c>
    </row>
    <row r="31">
      <c r="L31" t="inlineStr">
        <is>
          <t>Aminoglutethimide</t>
        </is>
      </c>
      <c r="N31" t="inlineStr">
        <is>
          <t>Bosnia and Herzegovina</t>
        </is>
      </c>
      <c r="P31" t="inlineStr">
        <is>
          <t>ANSI/BIFMA X5.11 Large Occupant Office Seating</t>
        </is>
      </c>
      <c r="T31" t="inlineStr">
        <is>
          <t>Chenille</t>
        </is>
      </c>
      <c r="U31" t="inlineStr">
        <is>
          <t>Chestnut</t>
        </is>
      </c>
      <c r="AG31" t="inlineStr">
        <is>
          <t>Red</t>
        </is>
      </c>
      <c r="AR31" t="inlineStr">
        <is>
          <t>UN3260</t>
        </is>
      </c>
      <c r="BJ31" t="inlineStr">
        <is>
          <t>Chestnut</t>
        </is>
      </c>
      <c r="BR31" t="inlineStr">
        <is>
          <t>Shake to remove dust</t>
        </is>
      </c>
      <c r="BS31" t="inlineStr">
        <is>
          <t>Does Not Apply</t>
        </is>
      </c>
      <c r="BT31" t="inlineStr">
        <is>
          <t>Red</t>
        </is>
      </c>
      <c r="CH31" t="inlineStr">
        <is>
          <t>UN3260</t>
        </is>
      </c>
      <c r="CS31" t="inlineStr">
        <is>
          <t>Shovel</t>
        </is>
      </c>
      <c r="CX31" t="inlineStr">
        <is>
          <t>Resin</t>
        </is>
      </c>
      <c r="CZ31" t="inlineStr">
        <is>
          <t>Wicker</t>
        </is>
      </c>
      <c r="DA31" t="inlineStr">
        <is>
          <t>InsideOut®</t>
        </is>
      </c>
      <c r="DS31" t="inlineStr">
        <is>
          <t>Shake to remove dust</t>
        </is>
      </c>
      <c r="DW31" t="inlineStr">
        <is>
          <t>Espresso Wood</t>
        </is>
      </c>
      <c r="DX31" t="inlineStr">
        <is>
          <t>Chestnut</t>
        </is>
      </c>
      <c r="EN31" t="inlineStr">
        <is>
          <t>UN3260</t>
        </is>
      </c>
      <c r="EX31" t="inlineStr">
        <is>
          <t>Shovel</t>
        </is>
      </c>
      <c r="FK31" t="inlineStr">
        <is>
          <t>Chestnut</t>
        </is>
      </c>
      <c r="FL31" t="inlineStr">
        <is>
          <t>Shake to remove dust</t>
        </is>
      </c>
      <c r="GD31" t="inlineStr">
        <is>
          <t>Shovel</t>
        </is>
      </c>
      <c r="GK31" t="inlineStr">
        <is>
          <t>InsideOut®</t>
        </is>
      </c>
      <c r="GT31" t="inlineStr">
        <is>
          <t>Chestnut</t>
        </is>
      </c>
      <c r="GU31" t="inlineStr">
        <is>
          <t>Chevron / Zig Zag</t>
        </is>
      </c>
      <c r="HV31" t="inlineStr">
        <is>
          <t>UN3260</t>
        </is>
      </c>
      <c r="IH31" t="inlineStr">
        <is>
          <t>Shovel</t>
        </is>
      </c>
    </row>
    <row r="32">
      <c r="L32" t="inlineStr">
        <is>
          <t>Aminoglycosides</t>
        </is>
      </c>
      <c r="N32" t="inlineStr">
        <is>
          <t>Botswana</t>
        </is>
      </c>
      <c r="P32" t="inlineStr">
        <is>
          <t>ANSI/BIFMA X5.3 Vertical Files</t>
        </is>
      </c>
      <c r="T32" t="inlineStr">
        <is>
          <t>Cherry Wood</t>
        </is>
      </c>
      <c r="U32" t="inlineStr">
        <is>
          <t>Hemlock</t>
        </is>
      </c>
      <c r="AG32" t="inlineStr">
        <is>
          <t>Satin</t>
        </is>
      </c>
      <c r="AR32" t="inlineStr">
        <is>
          <t>UN3215</t>
        </is>
      </c>
      <c r="BJ32" t="inlineStr">
        <is>
          <t>Hemlock</t>
        </is>
      </c>
      <c r="BR32" t="inlineStr">
        <is>
          <t>Tumble dry</t>
        </is>
      </c>
      <c r="BT32" t="inlineStr">
        <is>
          <t>Satin</t>
        </is>
      </c>
      <c r="CH32" t="inlineStr">
        <is>
          <t>UN3215</t>
        </is>
      </c>
      <c r="CS32" t="inlineStr">
        <is>
          <t>Drill</t>
        </is>
      </c>
      <c r="CX32" t="inlineStr">
        <is>
          <t>Faux Leather</t>
        </is>
      </c>
      <c r="CZ32" t="inlineStr">
        <is>
          <t>Steel</t>
        </is>
      </c>
      <c r="DA32" t="inlineStr">
        <is>
          <t>Outdura®</t>
        </is>
      </c>
      <c r="DS32" t="inlineStr">
        <is>
          <t>Tumble dry</t>
        </is>
      </c>
      <c r="DW32" t="inlineStr">
        <is>
          <t>Ivory</t>
        </is>
      </c>
      <c r="DX32" t="inlineStr">
        <is>
          <t>Hemlock</t>
        </is>
      </c>
      <c r="EN32" t="inlineStr">
        <is>
          <t>UN3215</t>
        </is>
      </c>
      <c r="EX32" t="inlineStr">
        <is>
          <t>Drill</t>
        </is>
      </c>
      <c r="FK32" t="inlineStr">
        <is>
          <t>Hemlock</t>
        </is>
      </c>
      <c r="FL32" t="inlineStr">
        <is>
          <t>Tumble dry</t>
        </is>
      </c>
      <c r="GD32" t="inlineStr">
        <is>
          <t>Drill</t>
        </is>
      </c>
      <c r="GK32" t="inlineStr">
        <is>
          <t>Outdura®</t>
        </is>
      </c>
      <c r="GT32" t="inlineStr">
        <is>
          <t>Hemlock</t>
        </is>
      </c>
      <c r="GU32" t="inlineStr">
        <is>
          <t>Clear</t>
        </is>
      </c>
      <c r="HV32" t="inlineStr">
        <is>
          <t>UN3215</t>
        </is>
      </c>
      <c r="IH32" t="inlineStr">
        <is>
          <t>Drill</t>
        </is>
      </c>
    </row>
    <row r="33">
      <c r="L33" t="inlineStr">
        <is>
          <t>1-Amino-2-methylanthraquinone</t>
        </is>
      </c>
      <c r="N33" t="inlineStr">
        <is>
          <t>Bouvet Island</t>
        </is>
      </c>
      <c r="P33" t="inlineStr">
        <is>
          <t>ANSI/BIFMA X5.4 Lounge &amp; Public Seating</t>
        </is>
      </c>
      <c r="T33" t="inlineStr">
        <is>
          <t>Handblown Glass</t>
        </is>
      </c>
      <c r="U33" t="inlineStr">
        <is>
          <t>Aspen</t>
        </is>
      </c>
      <c r="AG33" t="inlineStr">
        <is>
          <t>Yellow</t>
        </is>
      </c>
      <c r="AR33" t="inlineStr">
        <is>
          <t>UN1006</t>
        </is>
      </c>
      <c r="BJ33" t="inlineStr">
        <is>
          <t>Aspen</t>
        </is>
      </c>
      <c r="BR33" t="inlineStr">
        <is>
          <t>Iron safe</t>
        </is>
      </c>
      <c r="BT33" t="inlineStr">
        <is>
          <t>Yellow</t>
        </is>
      </c>
      <c r="CH33" t="inlineStr">
        <is>
          <t>UN1006</t>
        </is>
      </c>
      <c r="CS33" t="inlineStr">
        <is>
          <t>Smoother / Squeegee</t>
        </is>
      </c>
      <c r="CX33" t="inlineStr">
        <is>
          <t>Cardboard</t>
        </is>
      </c>
      <c r="CZ33" t="inlineStr">
        <is>
          <t>Twill</t>
        </is>
      </c>
      <c r="DA33" t="inlineStr">
        <is>
          <t>Jute</t>
        </is>
      </c>
      <c r="DS33" t="inlineStr">
        <is>
          <t>Iron safe</t>
        </is>
      </c>
      <c r="DW33" t="inlineStr">
        <is>
          <t>Orange</t>
        </is>
      </c>
      <c r="DX33" t="inlineStr">
        <is>
          <t>Aspen</t>
        </is>
      </c>
      <c r="EN33" t="inlineStr">
        <is>
          <t>UN1006</t>
        </is>
      </c>
      <c r="EX33" t="inlineStr">
        <is>
          <t>Smoother / Squeegee</t>
        </is>
      </c>
      <c r="FK33" t="inlineStr">
        <is>
          <t>Aspen</t>
        </is>
      </c>
      <c r="FL33" t="inlineStr">
        <is>
          <t>Iron safe</t>
        </is>
      </c>
      <c r="GD33" t="inlineStr">
        <is>
          <t>Smoother / Squeegee</t>
        </is>
      </c>
      <c r="GK33" t="inlineStr">
        <is>
          <t>Jute</t>
        </is>
      </c>
      <c r="GT33" t="inlineStr">
        <is>
          <t>Aspen</t>
        </is>
      </c>
      <c r="GU33" t="inlineStr">
        <is>
          <t>Stone</t>
        </is>
      </c>
      <c r="HV33" t="inlineStr">
        <is>
          <t>UN1006</t>
        </is>
      </c>
      <c r="IH33" t="inlineStr">
        <is>
          <t>Smoother / Squeegee</t>
        </is>
      </c>
    </row>
    <row r="34">
      <c r="L34" t="inlineStr">
        <is>
          <t>2-Amino-5-(5-nitro-2-furyl)-1,3,4-thiadiazole</t>
        </is>
      </c>
      <c r="N34" t="inlineStr">
        <is>
          <t>Brazil</t>
        </is>
      </c>
      <c r="P34" t="inlineStr">
        <is>
          <t>ANSI/BIFMA X5.5 Desk Products</t>
        </is>
      </c>
      <c r="T34" t="inlineStr">
        <is>
          <t>Cement</t>
        </is>
      </c>
      <c r="U34" t="inlineStr">
        <is>
          <t>Mindi</t>
        </is>
      </c>
      <c r="AG34" t="inlineStr">
        <is>
          <t>Pink</t>
        </is>
      </c>
      <c r="AR34" t="inlineStr">
        <is>
          <t>UN3175</t>
        </is>
      </c>
      <c r="BJ34" t="inlineStr">
        <is>
          <t>Mindi</t>
        </is>
      </c>
      <c r="BR34" t="inlineStr">
        <is>
          <t>Wipe clean with a dry cloth</t>
        </is>
      </c>
      <c r="BT34" t="inlineStr">
        <is>
          <t>Pink</t>
        </is>
      </c>
      <c r="CH34" t="inlineStr">
        <is>
          <t>UN3175</t>
        </is>
      </c>
      <c r="CS34" t="inlineStr">
        <is>
          <t>Ladder</t>
        </is>
      </c>
      <c r="CX34" t="inlineStr">
        <is>
          <t>Genuine Marble</t>
        </is>
      </c>
      <c r="CZ34" t="inlineStr">
        <is>
          <t>Aluminum</t>
        </is>
      </c>
      <c r="DA34" t="inlineStr">
        <is>
          <t>Foam Padding</t>
        </is>
      </c>
      <c r="DS34" t="inlineStr">
        <is>
          <t>Wipe clean with a dry cloth</t>
        </is>
      </c>
      <c r="DW34" t="inlineStr">
        <is>
          <t>Beige</t>
        </is>
      </c>
      <c r="DX34" t="inlineStr">
        <is>
          <t>Mindi</t>
        </is>
      </c>
      <c r="EN34" t="inlineStr">
        <is>
          <t>UN3175</t>
        </is>
      </c>
      <c r="EX34" t="inlineStr">
        <is>
          <t>Ladder</t>
        </is>
      </c>
      <c r="FK34" t="inlineStr">
        <is>
          <t>Mindi</t>
        </is>
      </c>
      <c r="FL34" t="inlineStr">
        <is>
          <t>Wipe clean with a dry cloth</t>
        </is>
      </c>
      <c r="GD34" t="inlineStr">
        <is>
          <t>Ladder</t>
        </is>
      </c>
      <c r="GK34" t="inlineStr">
        <is>
          <t>Foam Padding</t>
        </is>
      </c>
      <c r="GT34" t="inlineStr">
        <is>
          <t>Mindi</t>
        </is>
      </c>
      <c r="GU34" t="inlineStr">
        <is>
          <t>Drunkard's Path</t>
        </is>
      </c>
      <c r="HV34" t="inlineStr">
        <is>
          <t>UN3175</t>
        </is>
      </c>
      <c r="IH34" t="inlineStr">
        <is>
          <t>Ladder</t>
        </is>
      </c>
    </row>
    <row r="35">
      <c r="L35" t="inlineStr">
        <is>
          <t>4-Amino-2-nitrophenol</t>
        </is>
      </c>
      <c r="N35" t="inlineStr">
        <is>
          <t>British Indian Ocean Territory</t>
        </is>
      </c>
      <c r="P35" t="inlineStr">
        <is>
          <t>ANSI/BIFMA X5.6 Panel Systems</t>
        </is>
      </c>
      <c r="T35" t="inlineStr">
        <is>
          <t>Flannel</t>
        </is>
      </c>
      <c r="U35" t="inlineStr">
        <is>
          <t>Ipe</t>
        </is>
      </c>
      <c r="AG35" t="inlineStr">
        <is>
          <t>White</t>
        </is>
      </c>
      <c r="AR35" t="inlineStr">
        <is>
          <t>Does Not Apply</t>
        </is>
      </c>
      <c r="BJ35" t="inlineStr">
        <is>
          <t>Ipe</t>
        </is>
      </c>
      <c r="BR35" t="inlineStr">
        <is>
          <t>Cover when not in use</t>
        </is>
      </c>
      <c r="BT35" t="inlineStr">
        <is>
          <t>White</t>
        </is>
      </c>
      <c r="CH35" t="inlineStr">
        <is>
          <t>Does Not Apply</t>
        </is>
      </c>
      <c r="CS35" t="inlineStr">
        <is>
          <t>Wire Stripper</t>
        </is>
      </c>
      <c r="CX35" t="inlineStr">
        <is>
          <t>High-Density Polyethylene (HDPE)</t>
        </is>
      </c>
      <c r="CZ35" t="inlineStr">
        <is>
          <t>Resin</t>
        </is>
      </c>
      <c r="DA35" t="inlineStr">
        <is>
          <t>Canvas</t>
        </is>
      </c>
      <c r="DS35" t="inlineStr">
        <is>
          <t>Cover when not in use</t>
        </is>
      </c>
      <c r="DW35" t="inlineStr">
        <is>
          <t>Teal</t>
        </is>
      </c>
      <c r="DX35" t="inlineStr">
        <is>
          <t>Ipe</t>
        </is>
      </c>
      <c r="EN35" t="inlineStr">
        <is>
          <t>Does Not Apply</t>
        </is>
      </c>
      <c r="EX35" t="inlineStr">
        <is>
          <t>Wire Stripper</t>
        </is>
      </c>
      <c r="FK35" t="inlineStr">
        <is>
          <t>Ipe</t>
        </is>
      </c>
      <c r="FL35" t="inlineStr">
        <is>
          <t>Cover when not in use</t>
        </is>
      </c>
      <c r="GD35" t="inlineStr">
        <is>
          <t>Wire Stripper</t>
        </is>
      </c>
      <c r="GK35" t="inlineStr">
        <is>
          <t>Canvas</t>
        </is>
      </c>
      <c r="GT35" t="inlineStr">
        <is>
          <t>Ipe</t>
        </is>
      </c>
      <c r="GU35" t="inlineStr">
        <is>
          <t>Moroccan</t>
        </is>
      </c>
      <c r="HV35" t="inlineStr">
        <is>
          <t>Does Not Apply</t>
        </is>
      </c>
      <c r="IH35" t="inlineStr">
        <is>
          <t>Wire Stripper</t>
        </is>
      </c>
    </row>
    <row r="36">
      <c r="L36" t="inlineStr">
        <is>
          <t>Aminopterin</t>
        </is>
      </c>
      <c r="N36" t="inlineStr">
        <is>
          <t>Brunei Darussalam</t>
        </is>
      </c>
      <c r="P36" t="inlineStr">
        <is>
          <t>ANSI/BIFMA X5.9 Storage</t>
        </is>
      </c>
      <c r="T36" t="inlineStr">
        <is>
          <t>Chrome</t>
        </is>
      </c>
      <c r="U36" t="inlineStr">
        <is>
          <t>Olive</t>
        </is>
      </c>
      <c r="AG36" t="inlineStr">
        <is>
          <t>Brown</t>
        </is>
      </c>
      <c r="BJ36" t="inlineStr">
        <is>
          <t>Olive</t>
        </is>
      </c>
      <c r="BR36" t="inlineStr">
        <is>
          <t>Avoid use of abrasive cleaners</t>
        </is>
      </c>
      <c r="BT36" t="inlineStr">
        <is>
          <t>Brown</t>
        </is>
      </c>
      <c r="CS36" t="inlineStr">
        <is>
          <t>Razor Knife</t>
        </is>
      </c>
      <c r="CX36" t="inlineStr">
        <is>
          <t>Stone</t>
        </is>
      </c>
      <c r="CZ36" t="inlineStr">
        <is>
          <t>Leather</t>
        </is>
      </c>
      <c r="DA36" t="inlineStr">
        <is>
          <t>Denim</t>
        </is>
      </c>
      <c r="DS36" t="inlineStr">
        <is>
          <t>Avoid use of abrasive cleaners</t>
        </is>
      </c>
      <c r="DW36" t="inlineStr">
        <is>
          <t>Green</t>
        </is>
      </c>
      <c r="DX36" t="inlineStr">
        <is>
          <t>Olive</t>
        </is>
      </c>
      <c r="EX36" t="inlineStr">
        <is>
          <t>Razor Knife</t>
        </is>
      </c>
      <c r="FK36" t="inlineStr">
        <is>
          <t>Olive</t>
        </is>
      </c>
      <c r="FL36" t="inlineStr">
        <is>
          <t>Avoid use of abrasive cleaners</t>
        </is>
      </c>
      <c r="GD36" t="inlineStr">
        <is>
          <t>Razor Knife</t>
        </is>
      </c>
      <c r="GK36" t="inlineStr">
        <is>
          <t>Denim</t>
        </is>
      </c>
      <c r="GT36" t="inlineStr">
        <is>
          <t>Olive</t>
        </is>
      </c>
      <c r="GU36" t="inlineStr">
        <is>
          <t>Oriental</t>
        </is>
      </c>
      <c r="IH36" t="inlineStr">
        <is>
          <t>Razor Knife</t>
        </is>
      </c>
    </row>
    <row r="37">
      <c r="L37" t="inlineStr">
        <is>
          <t>Amiodarone hydrochloride</t>
        </is>
      </c>
      <c r="N37" t="inlineStr">
        <is>
          <t>Bulgaria</t>
        </is>
      </c>
      <c r="P37" t="inlineStr">
        <is>
          <t>ANSI/BIFMA X6.1 Educational Seating</t>
        </is>
      </c>
      <c r="T37" t="inlineStr">
        <is>
          <t>Enamelware</t>
        </is>
      </c>
      <c r="U37" t="inlineStr">
        <is>
          <t>Ajo</t>
        </is>
      </c>
      <c r="AG37" t="inlineStr">
        <is>
          <t>Blue</t>
        </is>
      </c>
      <c r="BJ37" t="inlineStr">
        <is>
          <t>Ajo</t>
        </is>
      </c>
      <c r="BR37" t="inlineStr">
        <is>
          <t>Tile specific cleaner</t>
        </is>
      </c>
      <c r="BT37" t="inlineStr">
        <is>
          <t>Blue</t>
        </is>
      </c>
      <c r="CS37" t="inlineStr">
        <is>
          <t>Pencil</t>
        </is>
      </c>
      <c r="CX37" t="inlineStr">
        <is>
          <t>Rope</t>
        </is>
      </c>
      <c r="CZ37" t="inlineStr">
        <is>
          <t>Vinyl</t>
        </is>
      </c>
      <c r="DA37" t="inlineStr">
        <is>
          <t>Corduroy</t>
        </is>
      </c>
      <c r="DS37" t="inlineStr">
        <is>
          <t>Tile specific cleaner</t>
        </is>
      </c>
      <c r="DW37" t="inlineStr">
        <is>
          <t>Bronze</t>
        </is>
      </c>
      <c r="DX37" t="inlineStr">
        <is>
          <t>Ajo</t>
        </is>
      </c>
      <c r="EX37" t="inlineStr">
        <is>
          <t>Pencil</t>
        </is>
      </c>
      <c r="FK37" t="inlineStr">
        <is>
          <t>Ajo</t>
        </is>
      </c>
      <c r="FL37" t="inlineStr">
        <is>
          <t>Tile specific cleaner</t>
        </is>
      </c>
      <c r="GD37" t="inlineStr">
        <is>
          <t>Pencil</t>
        </is>
      </c>
      <c r="GK37" t="inlineStr">
        <is>
          <t>Corduroy</t>
        </is>
      </c>
      <c r="GT37" t="inlineStr">
        <is>
          <t>Ajo</t>
        </is>
      </c>
      <c r="GU37" t="inlineStr">
        <is>
          <t>Block Print</t>
        </is>
      </c>
      <c r="IH37" t="inlineStr">
        <is>
          <t>Pencil</t>
        </is>
      </c>
    </row>
    <row r="38">
      <c r="L38" t="inlineStr">
        <is>
          <t>Amitraz</t>
        </is>
      </c>
      <c r="N38" t="inlineStr">
        <is>
          <t>Burkina Faso</t>
        </is>
      </c>
      <c r="P38" t="inlineStr">
        <is>
          <t>ANSI/BIFMA X7.1 Standard for Formaldehyde &amp; TVOC Emissions</t>
        </is>
      </c>
      <c r="T38" t="inlineStr">
        <is>
          <t>Enameled Cast Iron</t>
        </is>
      </c>
      <c r="U38" t="inlineStr">
        <is>
          <t>Agarwood</t>
        </is>
      </c>
      <c r="AG38" t="inlineStr">
        <is>
          <t>Satin Black</t>
        </is>
      </c>
      <c r="BJ38" t="inlineStr">
        <is>
          <t>Agarwood</t>
        </is>
      </c>
      <c r="BR38" t="inlineStr">
        <is>
          <t>Do not wash</t>
        </is>
      </c>
      <c r="BT38" t="inlineStr">
        <is>
          <t>Satin Black</t>
        </is>
      </c>
      <c r="CS38" t="inlineStr">
        <is>
          <t>Electric Drill</t>
        </is>
      </c>
      <c r="CX38" t="inlineStr">
        <is>
          <t>Bamboo / Rattan</t>
        </is>
      </c>
      <c r="CZ38" t="inlineStr">
        <is>
          <t>Suede</t>
        </is>
      </c>
      <c r="DA38" t="inlineStr">
        <is>
          <t>Crypton®</t>
        </is>
      </c>
      <c r="DS38" t="inlineStr">
        <is>
          <t>Do not wash</t>
        </is>
      </c>
      <c r="DW38" t="inlineStr">
        <is>
          <t>Brushed Gold</t>
        </is>
      </c>
      <c r="DX38" t="inlineStr">
        <is>
          <t>Agarwood</t>
        </is>
      </c>
      <c r="EX38" t="inlineStr">
        <is>
          <t>Electric Drill</t>
        </is>
      </c>
      <c r="FK38" t="inlineStr">
        <is>
          <t>Agarwood</t>
        </is>
      </c>
      <c r="FL38" t="inlineStr">
        <is>
          <t>Do not wash</t>
        </is>
      </c>
      <c r="GD38" t="inlineStr">
        <is>
          <t>Electric Drill</t>
        </is>
      </c>
      <c r="GK38" t="inlineStr">
        <is>
          <t>Crypton®</t>
        </is>
      </c>
      <c r="GT38" t="inlineStr">
        <is>
          <t>Agarwood</t>
        </is>
      </c>
      <c r="GU38" t="inlineStr">
        <is>
          <t>Arc</t>
        </is>
      </c>
      <c r="IH38" t="inlineStr">
        <is>
          <t>Electric Drill</t>
        </is>
      </c>
    </row>
    <row r="39">
      <c r="L39" t="inlineStr">
        <is>
          <t>Amitrole</t>
        </is>
      </c>
      <c r="N39" t="inlineStr">
        <is>
          <t>Burundi</t>
        </is>
      </c>
      <c r="P39" t="inlineStr">
        <is>
          <t>ANSI/ESD S20.20 Certified</t>
        </is>
      </c>
      <c r="T39" t="inlineStr">
        <is>
          <t>Agate / Geode</t>
        </is>
      </c>
      <c r="U39" t="inlineStr">
        <is>
          <t>Afzelia</t>
        </is>
      </c>
      <c r="AG39" t="inlineStr">
        <is>
          <t>Rose Gold</t>
        </is>
      </c>
      <c r="BJ39" t="inlineStr">
        <is>
          <t>Afzelia</t>
        </is>
      </c>
      <c r="BR39" t="inlineStr">
        <is>
          <t>Dust mop</t>
        </is>
      </c>
      <c r="BT39" t="inlineStr">
        <is>
          <t>Rose Gold</t>
        </is>
      </c>
      <c r="CS39" t="inlineStr">
        <is>
          <t>Screw Gun</t>
        </is>
      </c>
      <c r="CX39" t="inlineStr">
        <is>
          <t>Woven Palm</t>
        </is>
      </c>
      <c r="CZ39" t="inlineStr">
        <is>
          <t>Upholstered</t>
        </is>
      </c>
      <c r="DA39" t="inlineStr">
        <is>
          <t>Teddy</t>
        </is>
      </c>
      <c r="DS39" t="inlineStr">
        <is>
          <t>Dust mop</t>
        </is>
      </c>
      <c r="DW39" t="inlineStr">
        <is>
          <t>Brass</t>
        </is>
      </c>
      <c r="DX39" t="inlineStr">
        <is>
          <t>Afzelia</t>
        </is>
      </c>
      <c r="EX39" t="inlineStr">
        <is>
          <t>Screw Gun</t>
        </is>
      </c>
      <c r="FK39" t="inlineStr">
        <is>
          <t>Afzelia</t>
        </is>
      </c>
      <c r="FL39" t="inlineStr">
        <is>
          <t>Dust mop</t>
        </is>
      </c>
      <c r="GD39" t="inlineStr">
        <is>
          <t>Screw Gun</t>
        </is>
      </c>
      <c r="GK39" t="inlineStr">
        <is>
          <t>Teddy</t>
        </is>
      </c>
      <c r="GT39" t="inlineStr">
        <is>
          <t>Afzelia</t>
        </is>
      </c>
      <c r="GU39" t="inlineStr">
        <is>
          <t>Vintage Look</t>
        </is>
      </c>
      <c r="IH39" t="inlineStr">
        <is>
          <t>Screw Gun</t>
        </is>
      </c>
    </row>
    <row r="40">
      <c r="L40" t="inlineStr">
        <is>
          <t>Amoxapine</t>
        </is>
      </c>
      <c r="N40" t="inlineStr">
        <is>
          <t>Cambodia</t>
        </is>
      </c>
      <c r="P40" t="inlineStr">
        <is>
          <t>ANSI/NISO Z39.48 Compliant</t>
        </is>
      </c>
      <c r="T40" t="inlineStr">
        <is>
          <t>Fiberglass</t>
        </is>
      </c>
      <c r="U40" t="inlineStr">
        <is>
          <t>Afrormosia</t>
        </is>
      </c>
      <c r="AG40" t="inlineStr">
        <is>
          <t>Navy</t>
        </is>
      </c>
      <c r="BJ40" t="inlineStr">
        <is>
          <t>Afrormosia</t>
        </is>
      </c>
      <c r="BR40" t="inlineStr">
        <is>
          <t>Hose down</t>
        </is>
      </c>
      <c r="BT40" t="inlineStr">
        <is>
          <t>Navy</t>
        </is>
      </c>
      <c r="CS40" t="inlineStr">
        <is>
          <t>Scissors</t>
        </is>
      </c>
      <c r="CX40" t="inlineStr">
        <is>
          <t>Zinc</t>
        </is>
      </c>
      <c r="CZ40" t="inlineStr">
        <is>
          <t>Polyester</t>
        </is>
      </c>
      <c r="DA40" t="inlineStr">
        <is>
          <t>Boucle</t>
        </is>
      </c>
      <c r="DS40" t="inlineStr">
        <is>
          <t>Hose down</t>
        </is>
      </c>
      <c r="DW40" t="inlineStr">
        <is>
          <t>Red Wood</t>
        </is>
      </c>
      <c r="DX40" t="inlineStr">
        <is>
          <t>Afrormosia</t>
        </is>
      </c>
      <c r="EX40" t="inlineStr">
        <is>
          <t>Scissors</t>
        </is>
      </c>
      <c r="FK40" t="inlineStr">
        <is>
          <t>Afrormosia</t>
        </is>
      </c>
      <c r="FL40" t="inlineStr">
        <is>
          <t>Hose down</t>
        </is>
      </c>
      <c r="GD40" t="inlineStr">
        <is>
          <t>Scissors</t>
        </is>
      </c>
      <c r="GK40" t="inlineStr">
        <is>
          <t>Boucle</t>
        </is>
      </c>
      <c r="GT40" t="inlineStr">
        <is>
          <t>Afrormosia</t>
        </is>
      </c>
      <c r="GU40" t="inlineStr">
        <is>
          <t>Does Not Apply</t>
        </is>
      </c>
      <c r="IH40" t="inlineStr">
        <is>
          <t>Scissors</t>
        </is>
      </c>
    </row>
    <row r="41">
      <c r="L41" t="inlineStr">
        <is>
          <t>Amsacrine</t>
        </is>
      </c>
      <c r="N41" t="inlineStr">
        <is>
          <t>Cameroon</t>
        </is>
      </c>
      <c r="P41" t="inlineStr">
        <is>
          <t>ANSI/SOHO S6.5 Small Office/Home Office</t>
        </is>
      </c>
      <c r="T41" t="inlineStr">
        <is>
          <t>Bronze</t>
        </is>
      </c>
      <c r="U41" t="inlineStr">
        <is>
          <t>Bubinga</t>
        </is>
      </c>
      <c r="AG41" t="inlineStr">
        <is>
          <t>Black</t>
        </is>
      </c>
      <c r="BJ41" t="inlineStr">
        <is>
          <t>Bubinga</t>
        </is>
      </c>
      <c r="BR41" t="inlineStr">
        <is>
          <t>Towel dry immediately</t>
        </is>
      </c>
      <c r="BT41" t="inlineStr">
        <is>
          <t>Black</t>
        </is>
      </c>
      <c r="CS41" t="inlineStr">
        <is>
          <t>Ruler</t>
        </is>
      </c>
      <c r="CX41" t="inlineStr">
        <is>
          <t>Wrought Iron</t>
        </is>
      </c>
      <c r="CZ41" t="inlineStr">
        <is>
          <t>Sunbrella®</t>
        </is>
      </c>
      <c r="DA41" t="inlineStr">
        <is>
          <t>Tibetan Lambskin</t>
        </is>
      </c>
      <c r="DS41" t="inlineStr">
        <is>
          <t>Towel dry immediately</t>
        </is>
      </c>
      <c r="DW41" t="inlineStr">
        <is>
          <t>Tan</t>
        </is>
      </c>
      <c r="DX41" t="inlineStr">
        <is>
          <t>Bubinga</t>
        </is>
      </c>
      <c r="EX41" t="inlineStr">
        <is>
          <t>Ruler</t>
        </is>
      </c>
      <c r="FK41" t="inlineStr">
        <is>
          <t>Bubinga</t>
        </is>
      </c>
      <c r="FL41" t="inlineStr">
        <is>
          <t>Towel dry immediately</t>
        </is>
      </c>
      <c r="GD41" t="inlineStr">
        <is>
          <t>Ruler</t>
        </is>
      </c>
      <c r="GK41" t="inlineStr">
        <is>
          <t>Tibetan Lambskin</t>
        </is>
      </c>
      <c r="GT41" t="inlineStr">
        <is>
          <t>Bubinga</t>
        </is>
      </c>
      <c r="IH41" t="inlineStr">
        <is>
          <t>Ruler</t>
        </is>
      </c>
    </row>
    <row r="42">
      <c r="L42" t="inlineStr">
        <is>
          <t>Analgesic mixtures containing Phenacetin</t>
        </is>
      </c>
      <c r="N42" t="inlineStr">
        <is>
          <t>Cape Verde</t>
        </is>
      </c>
      <c r="P42" t="inlineStr">
        <is>
          <t>APMA Certified</t>
        </is>
      </c>
      <c r="T42" t="inlineStr">
        <is>
          <t>Cast Iron</t>
        </is>
      </c>
      <c r="U42" t="inlineStr">
        <is>
          <t>Brazilwood</t>
        </is>
      </c>
      <c r="AG42" t="inlineStr">
        <is>
          <t>Tan</t>
        </is>
      </c>
      <c r="BJ42" t="inlineStr">
        <is>
          <t>Brazilwood</t>
        </is>
      </c>
      <c r="BR42" t="inlineStr">
        <is>
          <t>Household floor cleaner</t>
        </is>
      </c>
      <c r="BT42" t="inlineStr">
        <is>
          <t>Tan</t>
        </is>
      </c>
      <c r="CS42" t="inlineStr">
        <is>
          <t>Safety Glasses</t>
        </is>
      </c>
      <c r="CX42" t="inlineStr">
        <is>
          <t>Powder Coated Steel</t>
        </is>
      </c>
      <c r="CZ42" t="inlineStr">
        <is>
          <t>Canvas</t>
        </is>
      </c>
      <c r="DA42" t="inlineStr">
        <is>
          <t>Unavailable</t>
        </is>
      </c>
      <c r="DS42" t="inlineStr">
        <is>
          <t>Household floor cleaner</t>
        </is>
      </c>
      <c r="DW42" t="inlineStr">
        <is>
          <t>Navy</t>
        </is>
      </c>
      <c r="DX42" t="inlineStr">
        <is>
          <t>Brazilwood</t>
        </is>
      </c>
      <c r="EX42" t="inlineStr">
        <is>
          <t>Safety Glasses</t>
        </is>
      </c>
      <c r="FK42" t="inlineStr">
        <is>
          <t>Brazilwood</t>
        </is>
      </c>
      <c r="FL42" t="inlineStr">
        <is>
          <t>Household floor cleaner</t>
        </is>
      </c>
      <c r="GD42" t="inlineStr">
        <is>
          <t>Safety Glasses</t>
        </is>
      </c>
      <c r="GK42" t="inlineStr">
        <is>
          <t>Unavailable</t>
        </is>
      </c>
      <c r="GT42" t="inlineStr">
        <is>
          <t>Brazilwood</t>
        </is>
      </c>
      <c r="IH42" t="inlineStr">
        <is>
          <t>Safety Glasses</t>
        </is>
      </c>
    </row>
    <row r="43">
      <c r="L43" t="inlineStr">
        <is>
          <t>Androstenedione</t>
        </is>
      </c>
      <c r="N43" t="inlineStr">
        <is>
          <t>Cayman Islands</t>
        </is>
      </c>
      <c r="P43" t="inlineStr">
        <is>
          <t>ASHRAE 62.2 Standard Compliant</t>
        </is>
      </c>
      <c r="T43" t="inlineStr">
        <is>
          <t>Bamboo Slat / Seagrass</t>
        </is>
      </c>
      <c r="U43" t="inlineStr">
        <is>
          <t>Cumaru</t>
        </is>
      </c>
      <c r="AG43" t="inlineStr">
        <is>
          <t>Gray</t>
        </is>
      </c>
      <c r="BJ43" t="inlineStr">
        <is>
          <t>Cumaru</t>
        </is>
      </c>
      <c r="BR43" t="inlineStr">
        <is>
          <t>Spot clean</t>
        </is>
      </c>
      <c r="BT43" t="inlineStr">
        <is>
          <t>Gray</t>
        </is>
      </c>
      <c r="CS43" t="inlineStr">
        <is>
          <t>Utility Knife</t>
        </is>
      </c>
      <c r="CX43" t="inlineStr">
        <is>
          <t>Carpet</t>
        </is>
      </c>
      <c r="CZ43" t="inlineStr">
        <is>
          <t>Does Not Apply</t>
        </is>
      </c>
      <c r="DA43" t="inlineStr">
        <is>
          <t>Does Not Apply</t>
        </is>
      </c>
      <c r="DS43" t="inlineStr">
        <is>
          <t>Spot clean</t>
        </is>
      </c>
      <c r="DW43" t="inlineStr">
        <is>
          <t>Brushed Nickel</t>
        </is>
      </c>
      <c r="DX43" t="inlineStr">
        <is>
          <t>Cumaru</t>
        </is>
      </c>
      <c r="EX43" t="inlineStr">
        <is>
          <t>Utility Knife</t>
        </is>
      </c>
      <c r="FK43" t="inlineStr">
        <is>
          <t>Cumaru</t>
        </is>
      </c>
      <c r="FL43" t="inlineStr">
        <is>
          <t>Spot clean</t>
        </is>
      </c>
      <c r="GD43" t="inlineStr">
        <is>
          <t>Utility Knife</t>
        </is>
      </c>
      <c r="GK43" t="inlineStr">
        <is>
          <t>Does Not Apply</t>
        </is>
      </c>
      <c r="GT43" t="inlineStr">
        <is>
          <t>Cumaru</t>
        </is>
      </c>
      <c r="IH43" t="inlineStr">
        <is>
          <t>Utility Knife</t>
        </is>
      </c>
    </row>
    <row r="44">
      <c r="L44" t="inlineStr">
        <is>
          <t>Angiotensin converting enzyme  (ACE) inhibitors</t>
        </is>
      </c>
      <c r="N44" t="inlineStr">
        <is>
          <t>Central African Republic</t>
        </is>
      </c>
      <c r="P44" t="inlineStr">
        <is>
          <t>ASME A112.18.1 Compliant</t>
        </is>
      </c>
      <c r="T44" t="inlineStr">
        <is>
          <t>Beaded</t>
        </is>
      </c>
      <c r="U44" t="inlineStr">
        <is>
          <t>Cedar, Mulanje</t>
        </is>
      </c>
      <c r="AG44" t="inlineStr">
        <is>
          <t>Brown Wood</t>
        </is>
      </c>
      <c r="BJ44" t="inlineStr">
        <is>
          <t>Cedar, Mulanje</t>
        </is>
      </c>
      <c r="BR44" t="inlineStr">
        <is>
          <t>Wipe with wet cloth</t>
        </is>
      </c>
      <c r="BT44" t="inlineStr">
        <is>
          <t>Brown Wood</t>
        </is>
      </c>
      <c r="CS44" t="inlineStr">
        <is>
          <t>Rope</t>
        </is>
      </c>
      <c r="CX44" t="inlineStr">
        <is>
          <t>Chrome</t>
        </is>
      </c>
      <c r="DS44" t="inlineStr">
        <is>
          <t>Wipe with wet cloth</t>
        </is>
      </c>
      <c r="DW44" t="inlineStr">
        <is>
          <t>Cream</t>
        </is>
      </c>
      <c r="DX44" t="inlineStr">
        <is>
          <t>Cedar, Mulanje</t>
        </is>
      </c>
      <c r="EX44" t="inlineStr">
        <is>
          <t>Rope</t>
        </is>
      </c>
      <c r="FK44" t="inlineStr">
        <is>
          <t>Cedar, Mulanje</t>
        </is>
      </c>
      <c r="FL44" t="inlineStr">
        <is>
          <t>Wipe with wet cloth</t>
        </is>
      </c>
      <c r="GD44" t="inlineStr">
        <is>
          <t>Rope</t>
        </is>
      </c>
      <c r="GT44" t="inlineStr">
        <is>
          <t>Cedar, Mulanje</t>
        </is>
      </c>
      <c r="IH44" t="inlineStr">
        <is>
          <t>Rope</t>
        </is>
      </c>
    </row>
    <row r="45">
      <c r="L45" t="inlineStr">
        <is>
          <t>Aniline</t>
        </is>
      </c>
      <c r="N45" t="inlineStr">
        <is>
          <t>Chad</t>
        </is>
      </c>
      <c r="P45" t="inlineStr">
        <is>
          <t>ASME A112.18.2 Compliant</t>
        </is>
      </c>
      <c r="T45" t="inlineStr">
        <is>
          <t>Alpaca</t>
        </is>
      </c>
      <c r="U45" t="inlineStr">
        <is>
          <t>Cedar, Spanish</t>
        </is>
      </c>
      <c r="AG45" t="inlineStr">
        <is>
          <t>Dark Brown Wood</t>
        </is>
      </c>
      <c r="BJ45" t="inlineStr">
        <is>
          <t>Cedar, Spanish</t>
        </is>
      </c>
      <c r="BR45" t="inlineStr">
        <is>
          <t>Spot clean with water</t>
        </is>
      </c>
      <c r="BT45" t="inlineStr">
        <is>
          <t>Dark Brown Wood</t>
        </is>
      </c>
      <c r="CS45" t="inlineStr">
        <is>
          <t>Ear Protection</t>
        </is>
      </c>
      <c r="CX45" t="inlineStr">
        <is>
          <t>Powder Coated Aluminum</t>
        </is>
      </c>
      <c r="DS45" t="inlineStr">
        <is>
          <t>Spot clean with water</t>
        </is>
      </c>
      <c r="DW45" t="inlineStr">
        <is>
          <t>Chrome</t>
        </is>
      </c>
      <c r="DX45" t="inlineStr">
        <is>
          <t>Cedar, Spanish</t>
        </is>
      </c>
      <c r="EX45" t="inlineStr">
        <is>
          <t>Ear Protection</t>
        </is>
      </c>
      <c r="FK45" t="inlineStr">
        <is>
          <t>Cedar, Spanish</t>
        </is>
      </c>
      <c r="FL45" t="inlineStr">
        <is>
          <t>Spot clean with water</t>
        </is>
      </c>
      <c r="GD45" t="inlineStr">
        <is>
          <t>Ear Protection</t>
        </is>
      </c>
      <c r="GT45" t="inlineStr">
        <is>
          <t>Cedar, Spanish</t>
        </is>
      </c>
      <c r="IH45" t="inlineStr">
        <is>
          <t>Ear Protection</t>
        </is>
      </c>
    </row>
    <row r="46">
      <c r="L46" t="inlineStr">
        <is>
          <t>Aniline hydrochloride</t>
        </is>
      </c>
      <c r="N46" t="inlineStr">
        <is>
          <t>Chile</t>
        </is>
      </c>
      <c r="P46" t="inlineStr">
        <is>
          <t>ASME A112.19.1 Compliant</t>
        </is>
      </c>
      <c r="T46" t="inlineStr">
        <is>
          <t>Felt</t>
        </is>
      </c>
      <c r="U46" t="inlineStr">
        <is>
          <t>Aloewood</t>
        </is>
      </c>
      <c r="AG46" t="inlineStr">
        <is>
          <t>Medium Yellow Wood</t>
        </is>
      </c>
      <c r="BJ46" t="inlineStr">
        <is>
          <t>Aloewood</t>
        </is>
      </c>
      <c r="BR46" t="inlineStr">
        <is>
          <t>When cushions are wet, open cushion zippers and prop up to dry in order to maintain quality</t>
        </is>
      </c>
      <c r="BT46" t="inlineStr">
        <is>
          <t>Medium Yellow Wood</t>
        </is>
      </c>
      <c r="CS46" t="inlineStr">
        <is>
          <t>Stud Finder</t>
        </is>
      </c>
      <c r="CX46" t="inlineStr">
        <is>
          <t>Copper</t>
        </is>
      </c>
      <c r="DS46" t="inlineStr">
        <is>
          <t>When cushions are wet, open cushion zippers and prop up to dry in order to maintain quality</t>
        </is>
      </c>
      <c r="DW46" t="inlineStr">
        <is>
          <t>Brushed Brass</t>
        </is>
      </c>
      <c r="DX46" t="inlineStr">
        <is>
          <t>Aloewood</t>
        </is>
      </c>
      <c r="EX46" t="inlineStr">
        <is>
          <t>Stud Finder</t>
        </is>
      </c>
      <c r="FK46" t="inlineStr">
        <is>
          <t>Aloewood</t>
        </is>
      </c>
      <c r="FL46" t="inlineStr">
        <is>
          <t>When cushions are wet, open cushion zippers and prop up to dry in order to maintain quality</t>
        </is>
      </c>
      <c r="GD46" t="inlineStr">
        <is>
          <t>Stud Finder</t>
        </is>
      </c>
      <c r="GT46" t="inlineStr">
        <is>
          <t>Aloewood</t>
        </is>
      </c>
      <c r="IH46" t="inlineStr">
        <is>
          <t>Stud Finder</t>
        </is>
      </c>
    </row>
    <row r="47">
      <c r="L47" t="inlineStr">
        <is>
          <t>o-Anisidine</t>
        </is>
      </c>
      <c r="N47" t="inlineStr">
        <is>
          <t>China</t>
        </is>
      </c>
      <c r="P47" t="inlineStr">
        <is>
          <t>ASME A112.19.2 Compliant</t>
        </is>
      </c>
      <c r="T47" t="inlineStr">
        <is>
          <t>Denim</t>
        </is>
      </c>
      <c r="U47" t="inlineStr">
        <is>
          <t>Lignum vitae</t>
        </is>
      </c>
      <c r="AG47" t="inlineStr">
        <is>
          <t>Espresso Wood</t>
        </is>
      </c>
      <c r="BJ47" t="inlineStr">
        <is>
          <t>Lignum vitae</t>
        </is>
      </c>
      <c r="BR47" t="inlineStr">
        <is>
          <t>Oil 1-2 times per year</t>
        </is>
      </c>
      <c r="BT47" t="inlineStr">
        <is>
          <t>Espresso Wood</t>
        </is>
      </c>
      <c r="CS47" t="inlineStr">
        <is>
          <t>Wrench</t>
        </is>
      </c>
      <c r="CX47" t="inlineStr">
        <is>
          <t>Canvas</t>
        </is>
      </c>
      <c r="DS47" t="inlineStr">
        <is>
          <t>Oil 1-2 times per year</t>
        </is>
      </c>
      <c r="DW47" t="inlineStr">
        <is>
          <t>Polished Chrome</t>
        </is>
      </c>
      <c r="DX47" t="inlineStr">
        <is>
          <t>Lignum vitae</t>
        </is>
      </c>
      <c r="EX47" t="inlineStr">
        <is>
          <t>Wrench</t>
        </is>
      </c>
      <c r="FK47" t="inlineStr">
        <is>
          <t>Lignum vitae</t>
        </is>
      </c>
      <c r="FL47" t="inlineStr">
        <is>
          <t>Oil 1-2 times per year</t>
        </is>
      </c>
      <c r="GD47" t="inlineStr">
        <is>
          <t>Wrench</t>
        </is>
      </c>
      <c r="GT47" t="inlineStr">
        <is>
          <t>Lignum vitae</t>
        </is>
      </c>
      <c r="IH47" t="inlineStr">
        <is>
          <t>Wrench</t>
        </is>
      </c>
    </row>
    <row r="48">
      <c r="L48" t="inlineStr">
        <is>
          <t>o-Anisidine hydrochloride</t>
        </is>
      </c>
      <c r="N48" t="inlineStr">
        <is>
          <t>Christmas Island</t>
        </is>
      </c>
      <c r="P48" t="inlineStr">
        <is>
          <t>ASME A112.19.3 Compliant</t>
        </is>
      </c>
      <c r="T48" t="inlineStr">
        <is>
          <t>Clay</t>
        </is>
      </c>
      <c r="U48" t="inlineStr">
        <is>
          <t>Mahogany, African</t>
        </is>
      </c>
      <c r="AG48" t="inlineStr">
        <is>
          <t>Medium Wood</t>
        </is>
      </c>
      <c r="BJ48" t="inlineStr">
        <is>
          <t>Mahogany, African</t>
        </is>
      </c>
      <c r="BR48" t="inlineStr">
        <is>
          <t>No washing / drying care</t>
        </is>
      </c>
      <c r="BT48" t="inlineStr">
        <is>
          <t>Medium Wood</t>
        </is>
      </c>
      <c r="CS48" t="inlineStr">
        <is>
          <t>Tape Measure</t>
        </is>
      </c>
      <c r="CX48" t="inlineStr">
        <is>
          <t>Wicker / Rattan</t>
        </is>
      </c>
      <c r="DS48" t="inlineStr">
        <is>
          <t>No washing / drying care</t>
        </is>
      </c>
      <c r="DW48" t="inlineStr">
        <is>
          <t>Gray</t>
        </is>
      </c>
      <c r="DX48" t="inlineStr">
        <is>
          <t>Mahogany, African</t>
        </is>
      </c>
      <c r="EX48" t="inlineStr">
        <is>
          <t>Tape Measure</t>
        </is>
      </c>
      <c r="FK48" t="inlineStr">
        <is>
          <t>Mahogany, African</t>
        </is>
      </c>
      <c r="FL48" t="inlineStr">
        <is>
          <t>No washing / drying care</t>
        </is>
      </c>
      <c r="GD48" t="inlineStr">
        <is>
          <t>Tape Measure</t>
        </is>
      </c>
      <c r="GT48" t="inlineStr">
        <is>
          <t>Mahogany, African</t>
        </is>
      </c>
      <c r="IH48" t="inlineStr">
        <is>
          <t>Tape Measure</t>
        </is>
      </c>
    </row>
    <row r="49">
      <c r="L49" t="inlineStr">
        <is>
          <t>Anisindione</t>
        </is>
      </c>
      <c r="N49" t="inlineStr">
        <is>
          <t>Cocos (Keeling) Islands</t>
        </is>
      </c>
      <c r="P49" t="inlineStr">
        <is>
          <t>ASP:02:01 Certification</t>
        </is>
      </c>
      <c r="T49" t="inlineStr">
        <is>
          <t>Gel</t>
        </is>
      </c>
      <c r="U49" t="inlineStr">
        <is>
          <t>Mahogany, Mexican</t>
        </is>
      </c>
      <c r="AG49" t="inlineStr">
        <is>
          <t>Red Wood</t>
        </is>
      </c>
      <c r="BJ49" t="inlineStr">
        <is>
          <t>Mahogany, Mexican</t>
        </is>
      </c>
      <c r="BR49" t="inlineStr">
        <is>
          <t>Do not bleach</t>
        </is>
      </c>
      <c r="BT49" t="inlineStr">
        <is>
          <t>Red Wood</t>
        </is>
      </c>
      <c r="CS49" t="inlineStr">
        <is>
          <t>Screws</t>
        </is>
      </c>
      <c r="CX49" t="inlineStr">
        <is>
          <t>Cork</t>
        </is>
      </c>
      <c r="DS49" t="inlineStr">
        <is>
          <t>Do not bleach</t>
        </is>
      </c>
      <c r="DW49" t="inlineStr">
        <is>
          <t>Gray Wood</t>
        </is>
      </c>
      <c r="DX49" t="inlineStr">
        <is>
          <t>Mahogany, Mexican</t>
        </is>
      </c>
      <c r="EX49" t="inlineStr">
        <is>
          <t>Screws</t>
        </is>
      </c>
      <c r="FK49" t="inlineStr">
        <is>
          <t>Mahogany, Mexican</t>
        </is>
      </c>
      <c r="FL49" t="inlineStr">
        <is>
          <t>Do not bleach</t>
        </is>
      </c>
      <c r="GD49" t="inlineStr">
        <is>
          <t>Screws</t>
        </is>
      </c>
      <c r="GT49" t="inlineStr">
        <is>
          <t>Mahogany, Mexican</t>
        </is>
      </c>
      <c r="IH49" t="inlineStr">
        <is>
          <t>Screws</t>
        </is>
      </c>
    </row>
    <row r="50">
      <c r="L50" t="inlineStr">
        <is>
          <t>Anthraquinone</t>
        </is>
      </c>
      <c r="N50" t="inlineStr">
        <is>
          <t>Colombia</t>
        </is>
      </c>
      <c r="P50" t="inlineStr">
        <is>
          <t>ASSE 1001 Certified</t>
        </is>
      </c>
      <c r="T50" t="inlineStr">
        <is>
          <t>Coir</t>
        </is>
      </c>
      <c r="U50" t="inlineStr">
        <is>
          <t>Padauk, African</t>
        </is>
      </c>
      <c r="AG50" t="inlineStr">
        <is>
          <t>Beige Wood</t>
        </is>
      </c>
      <c r="BJ50" t="inlineStr">
        <is>
          <t>Padauk, African</t>
        </is>
      </c>
      <c r="BR50" t="inlineStr">
        <is>
          <t>Treat with wood protector</t>
        </is>
      </c>
      <c r="BT50" t="inlineStr">
        <is>
          <t>Beige Wood</t>
        </is>
      </c>
      <c r="CS50" t="inlineStr">
        <is>
          <t>Wire Cap</t>
        </is>
      </c>
      <c r="CX50" t="inlineStr">
        <is>
          <t>Bone</t>
        </is>
      </c>
      <c r="DS50" t="inlineStr">
        <is>
          <t>Treat with wood protector</t>
        </is>
      </c>
      <c r="DW50" t="inlineStr">
        <is>
          <t>Satin Nickel</t>
        </is>
      </c>
      <c r="DX50" t="inlineStr">
        <is>
          <t>Padauk, African</t>
        </is>
      </c>
      <c r="EX50" t="inlineStr">
        <is>
          <t>Wire Cap</t>
        </is>
      </c>
      <c r="FK50" t="inlineStr">
        <is>
          <t>Padauk, African</t>
        </is>
      </c>
      <c r="FL50" t="inlineStr">
        <is>
          <t>Treat with wood protector</t>
        </is>
      </c>
      <c r="GD50" t="inlineStr">
        <is>
          <t>Wire Cap</t>
        </is>
      </c>
      <c r="GT50" t="inlineStr">
        <is>
          <t>Padauk, African</t>
        </is>
      </c>
      <c r="IH50" t="inlineStr">
        <is>
          <t>Wire Cap</t>
        </is>
      </c>
    </row>
    <row r="51">
      <c r="L51" t="inlineStr">
        <is>
          <t>Antimony oxide (Antimony trioxide)</t>
        </is>
      </c>
      <c r="N51" t="inlineStr">
        <is>
          <t>Comoros</t>
        </is>
      </c>
      <c r="P51" t="inlineStr">
        <is>
          <t>ASSE 1006 Certified</t>
        </is>
      </c>
      <c r="T51" t="inlineStr">
        <is>
          <t>Cardboard</t>
        </is>
      </c>
      <c r="U51" t="inlineStr">
        <is>
          <t>Macacauba</t>
        </is>
      </c>
      <c r="AG51" t="inlineStr">
        <is>
          <t>Natural Wood</t>
        </is>
      </c>
      <c r="BJ51" t="inlineStr">
        <is>
          <t>Macacauba</t>
        </is>
      </c>
      <c r="BR51" t="inlineStr">
        <is>
          <t>Do not dry clean</t>
        </is>
      </c>
      <c r="BT51" t="inlineStr">
        <is>
          <t>Natural Wood</t>
        </is>
      </c>
      <c r="CS51" t="inlineStr">
        <is>
          <t>Hammer / Mallet</t>
        </is>
      </c>
      <c r="CX51" t="inlineStr">
        <is>
          <t>Seagrass</t>
        </is>
      </c>
      <c r="DS51" t="inlineStr">
        <is>
          <t>Do not dry clean</t>
        </is>
      </c>
      <c r="DW51" t="inlineStr">
        <is>
          <t>Beige Wood</t>
        </is>
      </c>
      <c r="DX51" t="inlineStr">
        <is>
          <t>Macacauba</t>
        </is>
      </c>
      <c r="EX51" t="inlineStr">
        <is>
          <t>Hammer / Mallet</t>
        </is>
      </c>
      <c r="FK51" t="inlineStr">
        <is>
          <t>Macacauba</t>
        </is>
      </c>
      <c r="FL51" t="inlineStr">
        <is>
          <t>Do not dry clean</t>
        </is>
      </c>
      <c r="GD51" t="inlineStr">
        <is>
          <t>Hammer / Mallet</t>
        </is>
      </c>
      <c r="GT51" t="inlineStr">
        <is>
          <t>Macacauba</t>
        </is>
      </c>
      <c r="IH51" t="inlineStr">
        <is>
          <t>Hammer / Mallet</t>
        </is>
      </c>
    </row>
    <row r="52">
      <c r="L52" t="inlineStr">
        <is>
          <t>Aramite</t>
        </is>
      </c>
      <c r="N52" t="inlineStr">
        <is>
          <t>Congo</t>
        </is>
      </c>
      <c r="P52" t="inlineStr">
        <is>
          <t>ASSE 1016 Certified</t>
        </is>
      </c>
      <c r="T52" t="inlineStr">
        <is>
          <t>Leather</t>
        </is>
      </c>
      <c r="U52" t="inlineStr">
        <is>
          <t>Ebony, Madagascar</t>
        </is>
      </c>
      <c r="AG52" t="inlineStr">
        <is>
          <t>Gray Wood</t>
        </is>
      </c>
      <c r="BJ52" t="inlineStr">
        <is>
          <t>Ebony, Madagascar</t>
        </is>
      </c>
      <c r="BR52" t="inlineStr">
        <is>
          <t>Clean with diluted vinegar and water</t>
        </is>
      </c>
      <c r="BT52" t="inlineStr">
        <is>
          <t>Gray Wood</t>
        </is>
      </c>
      <c r="CS52" t="inlineStr">
        <is>
          <t>Chalk Line</t>
        </is>
      </c>
      <c r="CX52" t="inlineStr">
        <is>
          <t>Rattan</t>
        </is>
      </c>
      <c r="DS52" t="inlineStr">
        <is>
          <t>Clean with diluted vinegar and water</t>
        </is>
      </c>
      <c r="DW52" t="inlineStr">
        <is>
          <t>Natural Wood</t>
        </is>
      </c>
      <c r="DX52" t="inlineStr">
        <is>
          <t>Ebony, Madagascar</t>
        </is>
      </c>
      <c r="EX52" t="inlineStr">
        <is>
          <t>Chalk Line</t>
        </is>
      </c>
      <c r="FK52" t="inlineStr">
        <is>
          <t>Ebony, Madagascar</t>
        </is>
      </c>
      <c r="FL52" t="inlineStr">
        <is>
          <t>Clean with diluted vinegar and water</t>
        </is>
      </c>
      <c r="GD52" t="inlineStr">
        <is>
          <t>Chalk Line</t>
        </is>
      </c>
      <c r="GT52" t="inlineStr">
        <is>
          <t>Ebony, Madagascar</t>
        </is>
      </c>
      <c r="IH52" t="inlineStr">
        <is>
          <t>Chalk Line</t>
        </is>
      </c>
    </row>
    <row r="53">
      <c r="L53" t="inlineStr">
        <is>
          <t>Areca nut</t>
        </is>
      </c>
      <c r="N53" t="inlineStr">
        <is>
          <t>Congo, The Democratic Republic of the</t>
        </is>
      </c>
      <c r="P53" t="inlineStr">
        <is>
          <t>ASTM 1821-19</t>
        </is>
      </c>
      <c r="T53" t="inlineStr">
        <is>
          <t>Cashmere</t>
        </is>
      </c>
      <c r="U53" t="inlineStr">
        <is>
          <t>Lignum vitae, Argentine</t>
        </is>
      </c>
      <c r="AG53" t="inlineStr">
        <is>
          <t>Light Yellow Wood</t>
        </is>
      </c>
      <c r="BJ53" t="inlineStr">
        <is>
          <t>Lignum vitae, Argentine</t>
        </is>
      </c>
      <c r="BR53" t="inlineStr">
        <is>
          <t>Store indoors or cover when not in use</t>
        </is>
      </c>
      <c r="BT53" t="inlineStr">
        <is>
          <t>Light Yellow Wood</t>
        </is>
      </c>
      <c r="CS53" t="inlineStr">
        <is>
          <t>Landscaping Fabric</t>
        </is>
      </c>
      <c r="CX53" t="inlineStr">
        <is>
          <t>Galvanized Steel</t>
        </is>
      </c>
      <c r="DS53" t="inlineStr">
        <is>
          <t>Store indoors or cover when not in use</t>
        </is>
      </c>
      <c r="DW53" t="inlineStr">
        <is>
          <t>Copper</t>
        </is>
      </c>
      <c r="DX53" t="inlineStr">
        <is>
          <t>Lignum vitae, Argentine</t>
        </is>
      </c>
      <c r="EX53" t="inlineStr">
        <is>
          <t>Landscaping Fabric</t>
        </is>
      </c>
      <c r="FK53" t="inlineStr">
        <is>
          <t>Lignum vitae, Argentine</t>
        </is>
      </c>
      <c r="FL53" t="inlineStr">
        <is>
          <t>Store indoors or cover when not in use</t>
        </is>
      </c>
      <c r="GD53" t="inlineStr">
        <is>
          <t>Landscaping Fabric</t>
        </is>
      </c>
      <c r="GT53" t="inlineStr">
        <is>
          <t>Lignum vitae, Argentine</t>
        </is>
      </c>
      <c r="IH53" t="inlineStr">
        <is>
          <t>Landscaping Fabric</t>
        </is>
      </c>
    </row>
    <row r="54">
      <c r="L54" t="inlineStr">
        <is>
          <t>Aristolochic acids</t>
        </is>
      </c>
      <c r="N54" t="inlineStr">
        <is>
          <t>Cook Islands</t>
        </is>
      </c>
      <c r="P54" t="inlineStr">
        <is>
          <t>ASTM E1590-07 Compliant</t>
        </is>
      </c>
      <c r="T54" t="inlineStr">
        <is>
          <t>Galvanized Steel</t>
        </is>
      </c>
      <c r="U54" t="inlineStr">
        <is>
          <t>Gavilan</t>
        </is>
      </c>
      <c r="AG54" t="inlineStr">
        <is>
          <t>White Wood</t>
        </is>
      </c>
      <c r="BJ54" t="inlineStr">
        <is>
          <t>Gavilan</t>
        </is>
      </c>
      <c r="BR54" t="inlineStr">
        <is>
          <t>Use carpet cleaner</t>
        </is>
      </c>
      <c r="BT54" t="inlineStr">
        <is>
          <t>White Wood</t>
        </is>
      </c>
      <c r="CS54" t="inlineStr">
        <is>
          <t>No Tools Needed</t>
        </is>
      </c>
      <c r="CX54" t="inlineStr">
        <is>
          <t>Reclaimed Wood</t>
        </is>
      </c>
      <c r="DS54" t="inlineStr">
        <is>
          <t>Use carpet cleaner</t>
        </is>
      </c>
      <c r="DW54" t="inlineStr">
        <is>
          <t>Antique Copper</t>
        </is>
      </c>
      <c r="DX54" t="inlineStr">
        <is>
          <t>Gavilan</t>
        </is>
      </c>
      <c r="EX54" t="inlineStr">
        <is>
          <t>No Tools Needed</t>
        </is>
      </c>
      <c r="FK54" t="inlineStr">
        <is>
          <t>Gavilan</t>
        </is>
      </c>
      <c r="FL54" t="inlineStr">
        <is>
          <t>Use carpet cleaner</t>
        </is>
      </c>
      <c r="GD54" t="inlineStr">
        <is>
          <t>No Tools Needed</t>
        </is>
      </c>
      <c r="GT54" t="inlineStr">
        <is>
          <t>Gavilan</t>
        </is>
      </c>
      <c r="IH54" t="inlineStr">
        <is>
          <t>No Tools Needed</t>
        </is>
      </c>
    </row>
    <row r="55">
      <c r="L55" t="inlineStr">
        <is>
          <t>Arsenic (inorganic arsenic compounds)</t>
        </is>
      </c>
      <c r="N55" t="inlineStr">
        <is>
          <t>Costa Rica</t>
        </is>
      </c>
      <c r="P55" t="inlineStr">
        <is>
          <t>ASTM F1004-19 Certified</t>
        </is>
      </c>
      <c r="T55" t="inlineStr">
        <is>
          <t>Hemp</t>
        </is>
      </c>
      <c r="U55" t="inlineStr">
        <is>
          <t>Mahogany, Honduran</t>
        </is>
      </c>
      <c r="AG55" t="inlineStr">
        <is>
          <t>Oak Wood</t>
        </is>
      </c>
      <c r="BJ55" t="inlineStr">
        <is>
          <t>Mahogany, Honduran</t>
        </is>
      </c>
      <c r="BR55" t="inlineStr">
        <is>
          <t>Air dry cushions covers</t>
        </is>
      </c>
      <c r="BT55" t="inlineStr">
        <is>
          <t>Oak Wood</t>
        </is>
      </c>
      <c r="CS55" t="inlineStr">
        <is>
          <t>Tile Cutter</t>
        </is>
      </c>
      <c r="CX55" t="inlineStr">
        <is>
          <t>Unavailable</t>
        </is>
      </c>
      <c r="DS55" t="inlineStr">
        <is>
          <t>Air dry cushions covers</t>
        </is>
      </c>
      <c r="DW55" t="inlineStr">
        <is>
          <t>Antique Bronze</t>
        </is>
      </c>
      <c r="DX55" t="inlineStr">
        <is>
          <t>Mahogany, Honduran</t>
        </is>
      </c>
      <c r="EX55" t="inlineStr">
        <is>
          <t>Tile Cutter</t>
        </is>
      </c>
      <c r="FK55" t="inlineStr">
        <is>
          <t>Mahogany, Honduran</t>
        </is>
      </c>
      <c r="FL55" t="inlineStr">
        <is>
          <t>Air dry cushions covers</t>
        </is>
      </c>
      <c r="GD55" t="inlineStr">
        <is>
          <t>Tile Cutter</t>
        </is>
      </c>
      <c r="GT55" t="inlineStr">
        <is>
          <t>Mahogany, Honduran</t>
        </is>
      </c>
      <c r="IH55" t="inlineStr">
        <is>
          <t>Tile Cutter</t>
        </is>
      </c>
    </row>
    <row r="56">
      <c r="L56" t="inlineStr">
        <is>
          <t>Arsenic (inorganic oxides)</t>
        </is>
      </c>
      <c r="N56" t="inlineStr">
        <is>
          <t>Côte D'Ivoire</t>
        </is>
      </c>
      <c r="P56" t="inlineStr">
        <is>
          <t>ASTM F1148-17 Compliant</t>
        </is>
      </c>
      <c r="T56" t="inlineStr">
        <is>
          <t>Fireclay</t>
        </is>
      </c>
      <c r="U56" t="inlineStr">
        <is>
          <t>Mahogany, Cuban</t>
        </is>
      </c>
      <c r="BJ56" t="inlineStr">
        <is>
          <t>Mahogany, Cuban</t>
        </is>
      </c>
      <c r="BR56" t="inlineStr">
        <is>
          <t>Do not use bleach or bleach solutions</t>
        </is>
      </c>
      <c r="CS56" t="inlineStr">
        <is>
          <t>Straight Edge</t>
        </is>
      </c>
      <c r="CX56" t="inlineStr">
        <is>
          <t>Does Not Apply</t>
        </is>
      </c>
      <c r="DS56" t="inlineStr">
        <is>
          <t>Do not use bleach or bleach solutions</t>
        </is>
      </c>
      <c r="DX56" t="inlineStr">
        <is>
          <t>Mahogany, Cuban</t>
        </is>
      </c>
      <c r="EX56" t="inlineStr">
        <is>
          <t>Straight Edge</t>
        </is>
      </c>
      <c r="FK56" t="inlineStr">
        <is>
          <t>Mahogany, Cuban</t>
        </is>
      </c>
      <c r="FL56" t="inlineStr">
        <is>
          <t>Do not use bleach or bleach solutions</t>
        </is>
      </c>
      <c r="GD56" t="inlineStr">
        <is>
          <t>Straight Edge</t>
        </is>
      </c>
      <c r="GT56" t="inlineStr">
        <is>
          <t>Mahogany, Cuban</t>
        </is>
      </c>
      <c r="IH56" t="inlineStr">
        <is>
          <t>Straight Edge</t>
        </is>
      </c>
    </row>
    <row r="57">
      <c r="L57" t="inlineStr">
        <is>
          <t>Asbestos</t>
        </is>
      </c>
      <c r="N57" t="inlineStr">
        <is>
          <t>Croatia</t>
        </is>
      </c>
      <c r="P57" t="inlineStr">
        <is>
          <t>ASTM F1148-18 Compliant</t>
        </is>
      </c>
      <c r="T57" t="inlineStr">
        <is>
          <t>Anodized Aluminum</t>
        </is>
      </c>
      <c r="U57" t="inlineStr">
        <is>
          <t>Stinkwood, red</t>
        </is>
      </c>
      <c r="BJ57" t="inlineStr">
        <is>
          <t>Stinkwood, red</t>
        </is>
      </c>
      <c r="BR57" t="inlineStr">
        <is>
          <t>Rinse with water only</t>
        </is>
      </c>
      <c r="CS57" t="inlineStr">
        <is>
          <t>Silicone</t>
        </is>
      </c>
      <c r="DS57" t="inlineStr">
        <is>
          <t>Rinse with water only</t>
        </is>
      </c>
      <c r="DX57" t="inlineStr">
        <is>
          <t>Stinkwood, red</t>
        </is>
      </c>
      <c r="EX57" t="inlineStr">
        <is>
          <t>Silicone</t>
        </is>
      </c>
      <c r="FK57" t="inlineStr">
        <is>
          <t>Stinkwood, red</t>
        </is>
      </c>
      <c r="FL57" t="inlineStr">
        <is>
          <t>Rinse with water only</t>
        </is>
      </c>
      <c r="GD57" t="inlineStr">
        <is>
          <t>Silicone</t>
        </is>
      </c>
      <c r="GT57" t="inlineStr">
        <is>
          <t>Stinkwood, red</t>
        </is>
      </c>
      <c r="IH57" t="inlineStr">
        <is>
          <t>Silicone</t>
        </is>
      </c>
    </row>
    <row r="58">
      <c r="L58" t="inlineStr">
        <is>
          <t>Aspirin (NOTE: It is especially important not to use aspirin during the last three months of pregnancy, unless specifically directed to do so by a physician because it may cause problems in the unborn child or complications during delivery.)</t>
        </is>
      </c>
      <c r="N58" t="inlineStr">
        <is>
          <t>Cuba</t>
        </is>
      </c>
      <c r="P58" t="inlineStr">
        <is>
          <t>ASTM F1148-18 Certified</t>
        </is>
      </c>
      <c r="T58" t="inlineStr">
        <is>
          <t>Blended Fabric</t>
        </is>
      </c>
      <c r="U58" t="inlineStr">
        <is>
          <t>Yew, Chinese</t>
        </is>
      </c>
      <c r="BJ58" t="inlineStr">
        <is>
          <t>Yew, Chinese</t>
        </is>
      </c>
      <c r="BR58" t="inlineStr">
        <is>
          <t>Dishwasher safe removable parts</t>
        </is>
      </c>
      <c r="CS58" t="inlineStr">
        <is>
          <t>Wet Saw</t>
        </is>
      </c>
      <c r="DS58" t="inlineStr">
        <is>
          <t>Dishwasher safe removable parts</t>
        </is>
      </c>
      <c r="DX58" t="inlineStr">
        <is>
          <t>Yew, Chinese</t>
        </is>
      </c>
      <c r="EX58" t="inlineStr">
        <is>
          <t>Wet Saw</t>
        </is>
      </c>
      <c r="FK58" t="inlineStr">
        <is>
          <t>Yew, Chinese</t>
        </is>
      </c>
      <c r="FL58" t="inlineStr">
        <is>
          <t>Dishwasher safe removable parts</t>
        </is>
      </c>
      <c r="GD58" t="inlineStr">
        <is>
          <t>Wet Saw</t>
        </is>
      </c>
      <c r="GT58" t="inlineStr">
        <is>
          <t>Yew, Chinese</t>
        </is>
      </c>
      <c r="IH58" t="inlineStr">
        <is>
          <t>Wet Saw</t>
        </is>
      </c>
    </row>
    <row r="59">
      <c r="L59" t="inlineStr">
        <is>
          <t>Atenolol</t>
        </is>
      </c>
      <c r="N59" t="inlineStr">
        <is>
          <t>Cyprus</t>
        </is>
      </c>
      <c r="P59" t="inlineStr">
        <is>
          <t>ASTM F1169 - 13 Compliant</t>
        </is>
      </c>
      <c r="T59" t="inlineStr">
        <is>
          <t>Bamboo</t>
        </is>
      </c>
      <c r="U59" t="inlineStr">
        <is>
          <t>Pau rosa, Brazilian</t>
        </is>
      </c>
      <c r="BJ59" t="inlineStr">
        <is>
          <t>Pau rosa, Brazilian</t>
        </is>
      </c>
      <c r="BR59" t="inlineStr">
        <is>
          <t>Clean and re-seal with natural stone sealant</t>
        </is>
      </c>
      <c r="CS59" t="inlineStr">
        <is>
          <t>Torx Bit</t>
        </is>
      </c>
      <c r="DS59" t="inlineStr">
        <is>
          <t>Clean and re-seal with natural stone sealant</t>
        </is>
      </c>
      <c r="DX59" t="inlineStr">
        <is>
          <t>Pau rosa, Brazilian</t>
        </is>
      </c>
      <c r="EX59" t="inlineStr">
        <is>
          <t>Torx Bit</t>
        </is>
      </c>
      <c r="FK59" t="inlineStr">
        <is>
          <t>Pau rosa, Brazilian</t>
        </is>
      </c>
      <c r="FL59" t="inlineStr">
        <is>
          <t>Clean and re-seal with natural stone sealant</t>
        </is>
      </c>
      <c r="GD59" t="inlineStr">
        <is>
          <t>Torx Bit</t>
        </is>
      </c>
      <c r="GT59" t="inlineStr">
        <is>
          <t>Pau rosa, Brazilian</t>
        </is>
      </c>
      <c r="IH59" t="inlineStr">
        <is>
          <t>Torx Bit</t>
        </is>
      </c>
    </row>
    <row r="60">
      <c r="L60" t="inlineStr">
        <is>
          <t>Atrazine</t>
        </is>
      </c>
      <c r="N60" t="inlineStr">
        <is>
          <t>Czech Republic</t>
        </is>
      </c>
      <c r="P60" t="inlineStr">
        <is>
          <t>ASTM F1487-17 Compliant</t>
        </is>
      </c>
      <c r="T60" t="inlineStr">
        <is>
          <t>Brass</t>
        </is>
      </c>
      <c r="U60" t="inlineStr">
        <is>
          <t>Sandalwood, East African</t>
        </is>
      </c>
      <c r="BJ60" t="inlineStr">
        <is>
          <t>Sandalwood, East African</t>
        </is>
      </c>
      <c r="BR60" t="inlineStr">
        <is>
          <t>To prevent oil stains wipe with a damp cloth before using</t>
        </is>
      </c>
      <c r="CS60" t="inlineStr">
        <is>
          <t>Unavailable</t>
        </is>
      </c>
      <c r="DS60" t="inlineStr">
        <is>
          <t>To prevent oil stains wipe with a damp cloth before using</t>
        </is>
      </c>
      <c r="DX60" t="inlineStr">
        <is>
          <t>Sandalwood, East African</t>
        </is>
      </c>
      <c r="EX60" t="inlineStr">
        <is>
          <t>Unavailable</t>
        </is>
      </c>
      <c r="FK60" t="inlineStr">
        <is>
          <t>Sandalwood, East African</t>
        </is>
      </c>
      <c r="FL60" t="inlineStr">
        <is>
          <t>To prevent oil stains wipe with a damp cloth before using</t>
        </is>
      </c>
      <c r="GD60" t="inlineStr">
        <is>
          <t>Unavailable</t>
        </is>
      </c>
      <c r="GT60" t="inlineStr">
        <is>
          <t>Sandalwood, East African</t>
        </is>
      </c>
      <c r="IH60" t="inlineStr">
        <is>
          <t>Unavailable</t>
        </is>
      </c>
    </row>
    <row r="61">
      <c r="L61" t="inlineStr">
        <is>
          <t>Auramine</t>
        </is>
      </c>
      <c r="N61" t="inlineStr">
        <is>
          <t>Denmark</t>
        </is>
      </c>
      <c r="P61" t="inlineStr">
        <is>
          <t>ASTM F1821 - 16 Compliant</t>
        </is>
      </c>
      <c r="T61" t="inlineStr">
        <is>
          <t>Burlap</t>
        </is>
      </c>
      <c r="U61" t="inlineStr">
        <is>
          <t>Ramin</t>
        </is>
      </c>
      <c r="BJ61" t="inlineStr">
        <is>
          <t>Ramin</t>
        </is>
      </c>
      <c r="BR61" t="inlineStr">
        <is>
          <t>After cleaning, use sealant</t>
        </is>
      </c>
      <c r="CS61" t="inlineStr">
        <is>
          <t>Does Not Apply</t>
        </is>
      </c>
      <c r="DS61" t="inlineStr">
        <is>
          <t>After cleaning, use sealant</t>
        </is>
      </c>
      <c r="DX61" t="inlineStr">
        <is>
          <t>Ramin</t>
        </is>
      </c>
      <c r="EX61" t="inlineStr">
        <is>
          <t>Does Not Apply</t>
        </is>
      </c>
      <c r="FK61" t="inlineStr">
        <is>
          <t>Ramin</t>
        </is>
      </c>
      <c r="FL61" t="inlineStr">
        <is>
          <t>After cleaning, use sealant</t>
        </is>
      </c>
      <c r="GD61" t="inlineStr">
        <is>
          <t>Does Not Apply</t>
        </is>
      </c>
      <c r="GT61" t="inlineStr">
        <is>
          <t>Ramin</t>
        </is>
      </c>
      <c r="IH61" t="inlineStr">
        <is>
          <t>Does Not Apply</t>
        </is>
      </c>
    </row>
    <row r="62">
      <c r="L62" t="inlineStr">
        <is>
          <t>Auranofin</t>
        </is>
      </c>
      <c r="N62" t="inlineStr">
        <is>
          <t>Djibouti</t>
        </is>
      </c>
      <c r="P62" t="inlineStr">
        <is>
          <t>ASTM F1912-17 Compliant</t>
        </is>
      </c>
      <c r="T62" t="inlineStr">
        <is>
          <t>Ceramic</t>
        </is>
      </c>
      <c r="U62" t="inlineStr">
        <is>
          <t>Zitan</t>
        </is>
      </c>
      <c r="BJ62" t="inlineStr">
        <is>
          <t>Zitan</t>
        </is>
      </c>
      <c r="BR62" t="inlineStr">
        <is>
          <t>Apply oil to maintain color and prolong durability</t>
        </is>
      </c>
      <c r="DS62" t="inlineStr">
        <is>
          <t>Apply oil to maintain color and prolong durability</t>
        </is>
      </c>
      <c r="DX62" t="inlineStr">
        <is>
          <t>Zitan</t>
        </is>
      </c>
      <c r="FK62" t="inlineStr">
        <is>
          <t>Zitan</t>
        </is>
      </c>
      <c r="FL62" t="inlineStr">
        <is>
          <t>Apply oil to maintain color and prolong durability</t>
        </is>
      </c>
      <c r="GT62" t="inlineStr">
        <is>
          <t>Zitan</t>
        </is>
      </c>
    </row>
    <row r="63">
      <c r="L63" t="inlineStr">
        <is>
          <t>Avermectin B1 (Abamectin)</t>
        </is>
      </c>
      <c r="N63" t="inlineStr">
        <is>
          <t>Dominica</t>
        </is>
      </c>
      <c r="P63" t="inlineStr">
        <is>
          <t>ASTM F1917 - 12 Compliant</t>
        </is>
      </c>
      <c r="T63" t="inlineStr">
        <is>
          <t>Canvas</t>
        </is>
      </c>
      <c r="U63" t="inlineStr">
        <is>
          <t>Yew, Himalayan</t>
        </is>
      </c>
      <c r="BJ63" t="inlineStr">
        <is>
          <t>Yew, Himalayan</t>
        </is>
      </c>
      <c r="BR63" t="inlineStr">
        <is>
          <t>Vacuum</t>
        </is>
      </c>
      <c r="DS63" t="inlineStr">
        <is>
          <t>Vacuum</t>
        </is>
      </c>
      <c r="DX63" t="inlineStr">
        <is>
          <t>Yew, Himalayan</t>
        </is>
      </c>
      <c r="FK63" t="inlineStr">
        <is>
          <t>Yew, Himalayan</t>
        </is>
      </c>
      <c r="FL63" t="inlineStr">
        <is>
          <t>Vacuum</t>
        </is>
      </c>
      <c r="GT63" t="inlineStr">
        <is>
          <t>Yew, Himalayan</t>
        </is>
      </c>
    </row>
    <row r="64">
      <c r="L64" t="inlineStr">
        <is>
          <t>Azacitidine</t>
        </is>
      </c>
      <c r="N64" t="inlineStr">
        <is>
          <t>Dominican Republic</t>
        </is>
      </c>
      <c r="P64" t="inlineStr">
        <is>
          <t>ASTM F2057 - 14</t>
        </is>
      </c>
      <c r="T64" t="inlineStr">
        <is>
          <t>Composite</t>
        </is>
      </c>
      <c r="U64" t="inlineStr">
        <is>
          <t>Yew, Japanese</t>
        </is>
      </c>
      <c r="BJ64" t="inlineStr">
        <is>
          <t>Yew, Japanese</t>
        </is>
      </c>
      <c r="BR64" t="inlineStr">
        <is>
          <t>Avoid direct sunlight</t>
        </is>
      </c>
      <c r="DS64" t="inlineStr">
        <is>
          <t>Avoid direct sunlight</t>
        </is>
      </c>
      <c r="DX64" t="inlineStr">
        <is>
          <t>Yew, Japanese</t>
        </is>
      </c>
      <c r="FK64" t="inlineStr">
        <is>
          <t>Yew, Japanese</t>
        </is>
      </c>
      <c r="FL64" t="inlineStr">
        <is>
          <t>Avoid direct sunlight</t>
        </is>
      </c>
      <c r="GT64" t="inlineStr">
        <is>
          <t>Yew, Japanese</t>
        </is>
      </c>
    </row>
    <row r="65">
      <c r="L65" t="inlineStr">
        <is>
          <t>Azaserine</t>
        </is>
      </c>
      <c r="N65" t="inlineStr">
        <is>
          <t>Ecuador</t>
        </is>
      </c>
      <c r="P65" t="inlineStr">
        <is>
          <t>ASTM F2057 - 17</t>
        </is>
      </c>
      <c r="T65" t="inlineStr">
        <is>
          <t>Carbon Steel</t>
        </is>
      </c>
      <c r="U65" t="inlineStr">
        <is>
          <t>Rosewood, Siamese</t>
        </is>
      </c>
      <c r="BJ65" t="inlineStr">
        <is>
          <t>Rosewood, Siamese</t>
        </is>
      </c>
      <c r="BR65" t="inlineStr">
        <is>
          <t>Dry after use</t>
        </is>
      </c>
      <c r="DS65" t="inlineStr">
        <is>
          <t>Dry after use</t>
        </is>
      </c>
      <c r="DX65" t="inlineStr">
        <is>
          <t>Rosewood, Siamese</t>
        </is>
      </c>
      <c r="FK65" t="inlineStr">
        <is>
          <t>Rosewood, Siamese</t>
        </is>
      </c>
      <c r="FL65" t="inlineStr">
        <is>
          <t>Dry after use</t>
        </is>
      </c>
      <c r="GT65" t="inlineStr">
        <is>
          <t>Rosewood, Siamese</t>
        </is>
      </c>
    </row>
    <row r="66">
      <c r="L66" t="inlineStr">
        <is>
          <t>Azathioprine</t>
        </is>
      </c>
      <c r="N66" t="inlineStr">
        <is>
          <t>Egypt</t>
        </is>
      </c>
      <c r="P66" t="inlineStr">
        <is>
          <t>ASTM F2057 - 19 Certified</t>
        </is>
      </c>
      <c r="T66" t="inlineStr">
        <is>
          <t>Compressed Polyester</t>
        </is>
      </c>
      <c r="U66" t="inlineStr">
        <is>
          <t>Yew, Taiwan</t>
        </is>
      </c>
      <c r="BJ66" t="inlineStr">
        <is>
          <t>Yew, Taiwan</t>
        </is>
      </c>
      <c r="BR66" t="inlineStr">
        <is>
          <t>Use furniture pads</t>
        </is>
      </c>
      <c r="DS66" t="inlineStr">
        <is>
          <t>Use furniture pads</t>
        </is>
      </c>
      <c r="DX66" t="inlineStr">
        <is>
          <t>Yew, Taiwan</t>
        </is>
      </c>
      <c r="FK66" t="inlineStr">
        <is>
          <t>Yew, Taiwan</t>
        </is>
      </c>
      <c r="FL66" t="inlineStr">
        <is>
          <t>Use furniture pads</t>
        </is>
      </c>
      <c r="GT66" t="inlineStr">
        <is>
          <t>Yew, Taiwan</t>
        </is>
      </c>
    </row>
    <row r="67">
      <c r="L67" t="inlineStr">
        <is>
          <t>Azobenzene</t>
        </is>
      </c>
      <c r="N67" t="inlineStr">
        <is>
          <t>El Salvador</t>
        </is>
      </c>
      <c r="P67" t="inlineStr">
        <is>
          <t>ASTM F2085 - 12 Compliant</t>
        </is>
      </c>
      <c r="T67" t="inlineStr">
        <is>
          <t>Ceramic / Porcelain</t>
        </is>
      </c>
      <c r="U67" t="inlineStr">
        <is>
          <t>Burlwood</t>
        </is>
      </c>
      <c r="BJ67" t="inlineStr">
        <is>
          <t>Burlwood</t>
        </is>
      </c>
      <c r="BR67" t="inlineStr">
        <is>
          <t>Apply epoxy clear coat once per year</t>
        </is>
      </c>
      <c r="DS67" t="inlineStr">
        <is>
          <t>Apply epoxy clear coat once per year</t>
        </is>
      </c>
      <c r="DX67" t="inlineStr">
        <is>
          <t>Burlwood</t>
        </is>
      </c>
      <c r="FK67" t="inlineStr">
        <is>
          <t>Burlwood</t>
        </is>
      </c>
      <c r="FL67" t="inlineStr">
        <is>
          <t>Apply epoxy clear coat once per year</t>
        </is>
      </c>
      <c r="GT67" t="inlineStr">
        <is>
          <t>Burlwood</t>
        </is>
      </c>
    </row>
    <row r="68">
      <c r="L68" t="inlineStr">
        <is>
          <t>Barbiturates</t>
        </is>
      </c>
      <c r="N68" t="inlineStr">
        <is>
          <t>Equatorial Guinea</t>
        </is>
      </c>
      <c r="P68" t="inlineStr">
        <is>
          <t>ASTM F2088-15 Compliant</t>
        </is>
      </c>
      <c r="T68" t="inlineStr">
        <is>
          <t>Bone China</t>
        </is>
      </c>
      <c r="U68" t="inlineStr">
        <is>
          <t>Platane Wood</t>
        </is>
      </c>
      <c r="BJ68" t="inlineStr">
        <is>
          <t>Platane Wood</t>
        </is>
      </c>
      <c r="BR68" t="inlineStr">
        <is>
          <t>Clean with cloth, mild soap, and warm water</t>
        </is>
      </c>
      <c r="DS68" t="inlineStr">
        <is>
          <t>Clean with cloth, mild soap, and warm water</t>
        </is>
      </c>
      <c r="DX68" t="inlineStr">
        <is>
          <t>Platane Wood</t>
        </is>
      </c>
      <c r="FK68" t="inlineStr">
        <is>
          <t>Platane Wood</t>
        </is>
      </c>
      <c r="FL68" t="inlineStr">
        <is>
          <t>Clean with cloth, mild soap, and warm water</t>
        </is>
      </c>
      <c r="GT68" t="inlineStr">
        <is>
          <t>Platane Wood</t>
        </is>
      </c>
    </row>
    <row r="69">
      <c r="L69" t="inlineStr">
        <is>
          <t>Beclomethasone dipropionate</t>
        </is>
      </c>
      <c r="N69" t="inlineStr">
        <is>
          <t>Eritrea</t>
        </is>
      </c>
      <c r="P69" t="inlineStr">
        <is>
          <t>ASTM F2194 Compliant</t>
        </is>
      </c>
      <c r="T69" t="inlineStr">
        <is>
          <t>Cedar</t>
        </is>
      </c>
      <c r="U69" t="inlineStr">
        <is>
          <t>Sungkai</t>
        </is>
      </c>
      <c r="BJ69" t="inlineStr">
        <is>
          <t>Sungkai</t>
        </is>
      </c>
      <c r="BR69" t="inlineStr">
        <is>
          <t>Spot clean with mild detergent</t>
        </is>
      </c>
      <c r="DS69" t="inlineStr">
        <is>
          <t>Spot clean with mild detergent</t>
        </is>
      </c>
      <c r="DX69" t="inlineStr">
        <is>
          <t>Sungkai</t>
        </is>
      </c>
      <c r="FK69" t="inlineStr">
        <is>
          <t>Larch</t>
        </is>
      </c>
      <c r="FL69" t="inlineStr">
        <is>
          <t>Spot clean with mild detergent</t>
        </is>
      </c>
      <c r="GT69" t="inlineStr">
        <is>
          <t>Sungkai</t>
        </is>
      </c>
    </row>
    <row r="70">
      <c r="L70" t="inlineStr">
        <is>
          <t>Benomyl</t>
        </is>
      </c>
      <c r="N70" t="inlineStr">
        <is>
          <t>Estonia</t>
        </is>
      </c>
      <c r="P70" t="inlineStr">
        <is>
          <t>ASTM F2225-15 Compliant</t>
        </is>
      </c>
      <c r="T70" t="inlineStr">
        <is>
          <t>Concrete</t>
        </is>
      </c>
      <c r="U70" t="inlineStr">
        <is>
          <t>Does Not Apply</t>
        </is>
      </c>
      <c r="BJ70" t="inlineStr">
        <is>
          <t>Does Not Apply</t>
        </is>
      </c>
      <c r="BR70" t="inlineStr">
        <is>
          <t>Spot clean as needed</t>
        </is>
      </c>
      <c r="DS70" t="inlineStr">
        <is>
          <t>Spot clean as needed</t>
        </is>
      </c>
      <c r="DX70" t="inlineStr">
        <is>
          <t>Does Not Apply</t>
        </is>
      </c>
      <c r="FK70" t="inlineStr">
        <is>
          <t>Sungkai</t>
        </is>
      </c>
      <c r="FL70" t="inlineStr">
        <is>
          <t>Spot clean as needed</t>
        </is>
      </c>
      <c r="GT70" t="inlineStr">
        <is>
          <t>Does Not Apply</t>
        </is>
      </c>
    </row>
    <row r="71">
      <c r="L71" t="inlineStr">
        <is>
          <t>Benthiavalicarb-isopropyl</t>
        </is>
      </c>
      <c r="N71" t="inlineStr">
        <is>
          <t>Ethiopia</t>
        </is>
      </c>
      <c r="P71" t="inlineStr">
        <is>
          <t>ASTM F2388 - 18 Certified</t>
        </is>
      </c>
      <c r="T71" t="inlineStr">
        <is>
          <t>Cotton</t>
        </is>
      </c>
      <c r="BR71" t="inlineStr">
        <is>
          <t>Automatic</t>
        </is>
      </c>
      <c r="DS71" t="inlineStr">
        <is>
          <t>Automatic</t>
        </is>
      </c>
      <c r="FK71" t="inlineStr">
        <is>
          <t>Does Not Apply</t>
        </is>
      </c>
      <c r="FL71" t="inlineStr">
        <is>
          <t>Automatic</t>
        </is>
      </c>
    </row>
    <row r="72">
      <c r="L72" t="inlineStr">
        <is>
          <t>Benz[a]anthracene</t>
        </is>
      </c>
      <c r="N72" t="inlineStr">
        <is>
          <t>Falkland Islands (Malvinas)</t>
        </is>
      </c>
      <c r="P72" t="inlineStr">
        <is>
          <t>ASTM F2613 - 17 Compliant</t>
        </is>
      </c>
      <c r="T72" t="inlineStr">
        <is>
          <t>Earthenware</t>
        </is>
      </c>
      <c r="BR72" t="inlineStr">
        <is>
          <t>Hot water extraction</t>
        </is>
      </c>
      <c r="DS72" t="inlineStr">
        <is>
          <t>Hot water extraction</t>
        </is>
      </c>
      <c r="FL72" t="inlineStr">
        <is>
          <t>Hot water extraction</t>
        </is>
      </c>
    </row>
    <row r="73">
      <c r="L73" t="inlineStr">
        <is>
          <t>Benzene</t>
        </is>
      </c>
      <c r="N73" t="inlineStr">
        <is>
          <t>Faroe Islands</t>
        </is>
      </c>
      <c r="P73" t="inlineStr">
        <is>
          <t>ASTM F2729 - 18 Compliant</t>
        </is>
      </c>
      <c r="T73" t="inlineStr">
        <is>
          <t>Engineered Stone</t>
        </is>
      </c>
      <c r="BR73" t="inlineStr">
        <is>
          <t>Spot clean with dry cloth</t>
        </is>
      </c>
      <c r="DS73" t="inlineStr">
        <is>
          <t>Spot clean with dry cloth</t>
        </is>
      </c>
      <c r="FL73" t="inlineStr">
        <is>
          <t>Spot clean with dry cloth</t>
        </is>
      </c>
    </row>
    <row r="74">
      <c r="L74" t="inlineStr">
        <is>
          <t>Benzidine [and its salts]</t>
        </is>
      </c>
      <c r="N74" t="inlineStr">
        <is>
          <t>Fiji</t>
        </is>
      </c>
      <c r="P74" t="inlineStr">
        <is>
          <t>ASTM F2933-18 Compliant</t>
        </is>
      </c>
      <c r="T74" t="inlineStr">
        <is>
          <t>Concrete / Cement</t>
        </is>
      </c>
      <c r="BR74" t="inlineStr">
        <is>
          <t>Clean the product at least one time per month. We suggest the use of Rejuvenate by Watco</t>
        </is>
      </c>
      <c r="DS74" t="inlineStr">
        <is>
          <t>Clean the product at least one time per month. We suggest the use of Rejuvenate by Watco</t>
        </is>
      </c>
      <c r="FL74" t="inlineStr">
        <is>
          <t>Clean the product at least one time per month. We suggest the use of Rejuvenate by Watco</t>
        </is>
      </c>
    </row>
    <row r="75">
      <c r="L75" t="inlineStr">
        <is>
          <t>Benzidine-based dyes</t>
        </is>
      </c>
      <c r="N75" t="inlineStr">
        <is>
          <t>Finland</t>
        </is>
      </c>
      <c r="P75" t="inlineStr">
        <is>
          <t>ASTM F3084 - 16 Compliant</t>
        </is>
      </c>
      <c r="T75" t="inlineStr">
        <is>
          <t>Corrugated</t>
        </is>
      </c>
      <c r="BR75" t="inlineStr">
        <is>
          <t>Wash with warm water and soap</t>
        </is>
      </c>
      <c r="DS75" t="inlineStr">
        <is>
          <t>Wash with warm water and soap</t>
        </is>
      </c>
      <c r="FL75" t="inlineStr">
        <is>
          <t>Wash with warm water and soap</t>
        </is>
      </c>
    </row>
    <row r="76">
      <c r="L76" t="inlineStr">
        <is>
          <t>Benzodiazepines</t>
        </is>
      </c>
      <c r="N76" t="inlineStr">
        <is>
          <t>France</t>
        </is>
      </c>
      <c r="P76" t="inlineStr">
        <is>
          <t>ASTM F3096 - 14 Compliant</t>
        </is>
      </c>
      <c r="T76" t="inlineStr">
        <is>
          <t>Enamel / Lacquer</t>
        </is>
      </c>
      <c r="BR76" t="inlineStr">
        <is>
          <t>Regularly apply Teak oil</t>
        </is>
      </c>
      <c r="DS76" t="inlineStr">
        <is>
          <t>Regularly apply Teak oil</t>
        </is>
      </c>
      <c r="FL76" t="inlineStr">
        <is>
          <t>Regularly apply Teak oil</t>
        </is>
      </c>
    </row>
    <row r="77">
      <c r="L77" t="inlineStr">
        <is>
          <t>Benzo[b]fluoranthene</t>
        </is>
      </c>
      <c r="N77" t="inlineStr">
        <is>
          <t>French Guiana</t>
        </is>
      </c>
      <c r="P77" t="inlineStr">
        <is>
          <t>ASTM F3363-19 Compliant</t>
        </is>
      </c>
      <c r="T77" t="inlineStr">
        <is>
          <t>Cotton Blend</t>
        </is>
      </c>
      <c r="BR77" t="inlineStr">
        <is>
          <t>Do not microwave</t>
        </is>
      </c>
      <c r="DS77" t="inlineStr">
        <is>
          <t>Do not microwave</t>
        </is>
      </c>
      <c r="FL77" t="inlineStr">
        <is>
          <t>Do not microwave</t>
        </is>
      </c>
    </row>
    <row r="78">
      <c r="L78" t="inlineStr">
        <is>
          <t>Benzo[j]fluoranthene</t>
        </is>
      </c>
      <c r="N78" t="inlineStr">
        <is>
          <t>French Polynesia</t>
        </is>
      </c>
      <c r="P78" t="inlineStr">
        <is>
          <t>ASTM F381-16 Compliant</t>
        </is>
      </c>
      <c r="T78" t="inlineStr">
        <is>
          <t>Compressed Stone</t>
        </is>
      </c>
      <c r="BR78" t="inlineStr">
        <is>
          <t>Do not put in dishwasher</t>
        </is>
      </c>
      <c r="DS78" t="inlineStr">
        <is>
          <t>Do not put in dishwasher</t>
        </is>
      </c>
      <c r="FL78" t="inlineStr">
        <is>
          <t>Do not put in dishwasher</t>
        </is>
      </c>
    </row>
    <row r="79">
      <c r="L79" t="inlineStr">
        <is>
          <t>Benzo[k]fluoranthene</t>
        </is>
      </c>
      <c r="N79" t="inlineStr">
        <is>
          <t>French Southern Territories</t>
        </is>
      </c>
      <c r="P79" t="inlineStr">
        <is>
          <t>ASTM F406 - 10a Compliant</t>
        </is>
      </c>
      <c r="T79" t="inlineStr">
        <is>
          <t>Copper</t>
        </is>
      </c>
      <c r="BR79" t="inlineStr">
        <is>
          <t>Do not use harsh chemicals or cleaners</t>
        </is>
      </c>
      <c r="DS79" t="inlineStr">
        <is>
          <t>Do not use harsh chemicals or cleaners</t>
        </is>
      </c>
      <c r="FL79" t="inlineStr">
        <is>
          <t>Do not use harsh chemicals or cleaners</t>
        </is>
      </c>
    </row>
    <row r="80">
      <c r="L80" t="inlineStr">
        <is>
          <t>Benzofuran</t>
        </is>
      </c>
      <c r="N80" t="inlineStr">
        <is>
          <t>Gabon</t>
        </is>
      </c>
      <c r="P80" t="inlineStr">
        <is>
          <t>ASTM F406 - 15 Compliant</t>
        </is>
      </c>
      <c r="T80" t="inlineStr">
        <is>
          <t>Faux Leather</t>
        </is>
      </c>
      <c r="BR80" t="inlineStr">
        <is>
          <t>Do not use any cleaning agents</t>
        </is>
      </c>
      <c r="DS80" t="inlineStr">
        <is>
          <t>Do not use any cleaning agents</t>
        </is>
      </c>
      <c r="FL80" t="inlineStr">
        <is>
          <t>Do not use any cleaning agents</t>
        </is>
      </c>
    </row>
    <row r="81">
      <c r="L81" t="inlineStr">
        <is>
          <t>Benzophenone</t>
        </is>
      </c>
      <c r="N81" t="inlineStr">
        <is>
          <t>Gambia</t>
        </is>
      </c>
      <c r="P81" t="inlineStr">
        <is>
          <t>ASTM F406 - 17 Certified</t>
        </is>
      </c>
      <c r="T81" t="inlineStr">
        <is>
          <t>Fabric</t>
        </is>
      </c>
      <c r="BR81" t="inlineStr">
        <is>
          <t>Do not put removable parts in dishwasher</t>
        </is>
      </c>
      <c r="DS81" t="inlineStr">
        <is>
          <t>Do not put removable parts in dishwasher</t>
        </is>
      </c>
      <c r="FL81" t="inlineStr">
        <is>
          <t>Do not put removable parts in dishwasher</t>
        </is>
      </c>
    </row>
    <row r="82">
      <c r="L82" t="inlineStr">
        <is>
          <t>Benzo[a]pyrene</t>
        </is>
      </c>
      <c r="N82" t="inlineStr">
        <is>
          <t>Georgia</t>
        </is>
      </c>
      <c r="P82" t="inlineStr">
        <is>
          <t>ASTM F963 - 17 Certified</t>
        </is>
      </c>
      <c r="T82" t="inlineStr">
        <is>
          <t>Faux Sheepskin</t>
        </is>
      </c>
      <c r="BR82" t="inlineStr">
        <is>
          <t>Machine wash</t>
        </is>
      </c>
      <c r="DS82" t="inlineStr">
        <is>
          <t>Machine wash</t>
        </is>
      </c>
      <c r="FL82" t="inlineStr">
        <is>
          <t>Machine wash</t>
        </is>
      </c>
    </row>
    <row r="83">
      <c r="L83" t="inlineStr">
        <is>
          <t>Benzotrichloride</t>
        </is>
      </c>
      <c r="N83" t="inlineStr">
        <is>
          <t>Germany</t>
        </is>
      </c>
      <c r="P83" t="inlineStr">
        <is>
          <t>ASTM F963-11 Compliant</t>
        </is>
      </c>
      <c r="T83" t="inlineStr">
        <is>
          <t>Fiberstone</t>
        </is>
      </c>
      <c r="BR83" t="inlineStr">
        <is>
          <t>Hand dry</t>
        </is>
      </c>
      <c r="DS83" t="inlineStr">
        <is>
          <t>Hand dry</t>
        </is>
      </c>
      <c r="FL83" t="inlineStr">
        <is>
          <t>Hand dry</t>
        </is>
      </c>
    </row>
    <row r="84">
      <c r="L84" t="inlineStr">
        <is>
          <t>Benzphetamine hydrochloride</t>
        </is>
      </c>
      <c r="N84" t="inlineStr">
        <is>
          <t>Ghana</t>
        </is>
      </c>
      <c r="P84" t="inlineStr">
        <is>
          <t>ATA Rated</t>
        </is>
      </c>
      <c r="T84" t="inlineStr">
        <is>
          <t>Fine Silver</t>
        </is>
      </c>
      <c r="BR84" t="inlineStr">
        <is>
          <t>Dry clean recommended</t>
        </is>
      </c>
      <c r="DS84" t="inlineStr">
        <is>
          <t>Dry clean recommended</t>
        </is>
      </c>
      <c r="FL84" t="inlineStr">
        <is>
          <t>Dry clean recommended</t>
        </is>
      </c>
    </row>
    <row r="85">
      <c r="L85" t="inlineStr">
        <is>
          <t>Benzyl chloride</t>
        </is>
      </c>
      <c r="N85" t="inlineStr">
        <is>
          <t>Gibraltar</t>
        </is>
      </c>
      <c r="P85" t="inlineStr">
        <is>
          <t>BHFTI Upholstered Furniture Flammability Compliant</t>
        </is>
      </c>
      <c r="T85" t="inlineStr">
        <is>
          <t>Hard-Anodized Aluminum</t>
        </is>
      </c>
      <c r="BR85" t="inlineStr">
        <is>
          <t>Microwave safe</t>
        </is>
      </c>
      <c r="DS85" t="inlineStr">
        <is>
          <t>Microwave safe</t>
        </is>
      </c>
      <c r="FL85" t="inlineStr">
        <is>
          <t>Microwave safe</t>
        </is>
      </c>
    </row>
    <row r="86">
      <c r="L86" t="inlineStr">
        <is>
          <t>Benzyl violet 4B</t>
        </is>
      </c>
      <c r="N86" t="inlineStr">
        <is>
          <t>Greece</t>
        </is>
      </c>
      <c r="P86" t="inlineStr">
        <is>
          <t>BIFMA G1 Ergonomics Guideline for Furniture</t>
        </is>
      </c>
      <c r="T86" t="inlineStr">
        <is>
          <t>Granite</t>
        </is>
      </c>
      <c r="BR86" t="inlineStr">
        <is>
          <t>Spot clean insert</t>
        </is>
      </c>
      <c r="DS86" t="inlineStr">
        <is>
          <t>Spot clean insert</t>
        </is>
      </c>
      <c r="FL86" t="inlineStr">
        <is>
          <t>Spot clean insert</t>
        </is>
      </c>
    </row>
    <row r="87">
      <c r="L87" t="inlineStr">
        <is>
          <t>Beryllium and beryllium compounds</t>
        </is>
      </c>
      <c r="N87" t="inlineStr">
        <is>
          <t>Greenland</t>
        </is>
      </c>
      <c r="P87" t="inlineStr">
        <is>
          <t>BIFMA HCF 8.1 - Healthcare Furniture Design</t>
        </is>
      </c>
      <c r="T87" t="inlineStr">
        <is>
          <t>Heavy Gauge Wire</t>
        </is>
      </c>
      <c r="BR87" t="inlineStr">
        <is>
          <t>Spot clean only with water-based shampoo or foam upholstery cleaner</t>
        </is>
      </c>
      <c r="DS87" t="inlineStr">
        <is>
          <t>Spot clean only with water-based shampoo or foam upholstery cleaner</t>
        </is>
      </c>
      <c r="FL87" t="inlineStr">
        <is>
          <t>Spot clean only with water-based shampoo or foam upholstery cleaner</t>
        </is>
      </c>
    </row>
    <row r="88">
      <c r="L88" t="inlineStr">
        <is>
          <t>Betel quid with tobacco</t>
        </is>
      </c>
      <c r="N88" t="inlineStr">
        <is>
          <t>Grenada</t>
        </is>
      </c>
      <c r="P88" t="inlineStr">
        <is>
          <t>Blauer Engel</t>
        </is>
      </c>
      <c r="T88" t="inlineStr">
        <is>
          <t>Faux Fur</t>
        </is>
      </c>
      <c r="BR88" t="inlineStr">
        <is>
          <t>Run at least once a week to let water circulate</t>
        </is>
      </c>
      <c r="DS88" t="inlineStr">
        <is>
          <t>Run at least once a week to let water circulate</t>
        </is>
      </c>
      <c r="FL88" t="inlineStr">
        <is>
          <t>Run at least once a week to let water circulate</t>
        </is>
      </c>
    </row>
    <row r="89">
      <c r="L89" t="inlineStr">
        <is>
          <t>Betel quid without tobacco</t>
        </is>
      </c>
      <c r="N89" t="inlineStr">
        <is>
          <t>Guadeloupe</t>
        </is>
      </c>
      <c r="P89" t="inlineStr">
        <is>
          <t>BS 5287: 1988 Certified</t>
        </is>
      </c>
      <c r="T89" t="inlineStr">
        <is>
          <t>Faux Mohair</t>
        </is>
      </c>
      <c r="BR89" t="inlineStr">
        <is>
          <t>Use dry, solvent-based cleaner</t>
        </is>
      </c>
      <c r="DS89" t="inlineStr">
        <is>
          <t>Use dry, solvent-based cleaner</t>
        </is>
      </c>
      <c r="FL89" t="inlineStr">
        <is>
          <t>Use dry, solvent-based cleaner</t>
        </is>
      </c>
    </row>
    <row r="90">
      <c r="L90" t="inlineStr">
        <is>
          <t>2,2-Bis(bromomethyl)-1,3-propanediol</t>
        </is>
      </c>
      <c r="N90" t="inlineStr">
        <is>
          <t>Guam</t>
        </is>
      </c>
      <c r="P90" t="inlineStr">
        <is>
          <t>BS 5852 Certified</t>
        </is>
      </c>
      <c r="T90" t="inlineStr">
        <is>
          <t>Faux Cowhide</t>
        </is>
      </c>
      <c r="BR90" t="inlineStr">
        <is>
          <t>Steam clean</t>
        </is>
      </c>
      <c r="DS90" t="inlineStr">
        <is>
          <t>Steam clean</t>
        </is>
      </c>
      <c r="FL90" t="inlineStr">
        <is>
          <t>Steam clean</t>
        </is>
      </c>
    </row>
    <row r="91">
      <c r="L91" t="inlineStr">
        <is>
          <t>Bis(2-chloroethyl)ether</t>
        </is>
      </c>
      <c r="N91" t="inlineStr">
        <is>
          <t>Guatemala</t>
        </is>
      </c>
      <c r="P91" t="inlineStr">
        <is>
          <t>BS 5867-2:2008 Certified</t>
        </is>
      </c>
      <c r="T91" t="inlineStr">
        <is>
          <t>Iron</t>
        </is>
      </c>
      <c r="BR91" t="inlineStr">
        <is>
          <t>Wipe down with mild soap and water</t>
        </is>
      </c>
      <c r="DS91" t="inlineStr">
        <is>
          <t>Wipe down with mild soap and water</t>
        </is>
      </c>
      <c r="FL91" t="inlineStr">
        <is>
          <t>Wipe down with mild soap and water</t>
        </is>
      </c>
    </row>
    <row r="92">
      <c r="L92" t="inlineStr">
        <is>
          <t>N,N-Bis(2-chloroethyl)-2-naphthylamine  (Chlornapazine)</t>
        </is>
      </c>
      <c r="N92" t="inlineStr">
        <is>
          <t>Guernsey</t>
        </is>
      </c>
      <c r="P92" t="inlineStr">
        <is>
          <t>BS 7176: 2007 Certified</t>
        </is>
      </c>
      <c r="T92" t="inlineStr">
        <is>
          <t>High Leaded Crystal</t>
        </is>
      </c>
      <c r="BR92" t="inlineStr">
        <is>
          <t>Wipe with glass cleaner</t>
        </is>
      </c>
      <c r="DS92" t="inlineStr">
        <is>
          <t>Wipe with glass cleaner</t>
        </is>
      </c>
      <c r="FL92" t="inlineStr">
        <is>
          <t>Wipe with glass cleaner</t>
        </is>
      </c>
    </row>
    <row r="93">
      <c r="L93" t="inlineStr">
        <is>
          <t>Bischloroethyl nitrosourea (BCNU) (Carmustine)</t>
        </is>
      </c>
      <c r="N93" t="inlineStr">
        <is>
          <t>Guinea</t>
        </is>
      </c>
      <c r="P93" t="inlineStr">
        <is>
          <t>BS 7177:2008+A1:2011 Certified</t>
        </is>
      </c>
      <c r="T93" t="inlineStr">
        <is>
          <t>Marble</t>
        </is>
      </c>
      <c r="BR93" t="inlineStr">
        <is>
          <t>Wipe with cloth</t>
        </is>
      </c>
      <c r="DS93" t="inlineStr">
        <is>
          <t>Wipe with cloth</t>
        </is>
      </c>
      <c r="FL93" t="inlineStr">
        <is>
          <t>Wipe with cloth</t>
        </is>
      </c>
    </row>
    <row r="94">
      <c r="L94" t="inlineStr">
        <is>
          <t>Bis(chloromethyl)ether</t>
        </is>
      </c>
      <c r="N94" t="inlineStr">
        <is>
          <t>Guinea-Bissau</t>
        </is>
      </c>
      <c r="P94" t="inlineStr">
        <is>
          <t>BS EN 13120: 2009 + A1: 2014 (Requirements for Window Blinds or Drapery Cords) - EU ONLY</t>
        </is>
      </c>
      <c r="T94" t="inlineStr">
        <is>
          <t>Lead Crystal</t>
        </is>
      </c>
      <c r="BR94" t="inlineStr">
        <is>
          <t>Wipe with a lemon oil-based furniture polish</t>
        </is>
      </c>
      <c r="DS94" t="inlineStr">
        <is>
          <t>Wipe with a lemon oil-based furniture polish</t>
        </is>
      </c>
      <c r="FL94" t="inlineStr">
        <is>
          <t>Wipe with a lemon oil-based furniture polish</t>
        </is>
      </c>
    </row>
    <row r="95">
      <c r="L95" t="inlineStr">
        <is>
          <t>Bis(2-chloro-1-methylethyl)ether,  technical grade</t>
        </is>
      </c>
      <c r="N95" t="inlineStr">
        <is>
          <t>Guyana</t>
        </is>
      </c>
      <c r="P95" t="inlineStr">
        <is>
          <t>BS EN 716-1 Compliant - EU ONLY</t>
        </is>
      </c>
      <c r="T95" t="inlineStr">
        <is>
          <t>Ironstone</t>
        </is>
      </c>
      <c r="BR95" t="inlineStr">
        <is>
          <t>Wipe Clean Only</t>
        </is>
      </c>
      <c r="DS95" t="inlineStr">
        <is>
          <t>Wipe Clean Only</t>
        </is>
      </c>
      <c r="FL95" t="inlineStr">
        <is>
          <t>Wipe Clean Only</t>
        </is>
      </c>
    </row>
    <row r="96">
      <c r="L96" t="inlineStr">
        <is>
          <t>Bisphenol A (BPA)</t>
        </is>
      </c>
      <c r="N96" t="inlineStr">
        <is>
          <t>Haiti</t>
        </is>
      </c>
      <c r="P96" t="inlineStr">
        <is>
          <t>BS EN12790 Certified</t>
        </is>
      </c>
      <c r="T96" t="inlineStr">
        <is>
          <t>Leather / Faux Leather</t>
        </is>
      </c>
      <c r="BR96" t="inlineStr">
        <is>
          <t>Hand Wash Only - Towel Dry Immediately</t>
        </is>
      </c>
      <c r="DS96" t="inlineStr">
        <is>
          <t>Hand Wash Only - Towel Dry Immediately</t>
        </is>
      </c>
      <c r="FL96" t="inlineStr">
        <is>
          <t>Hand Wash Only - Towel Dry Immediately</t>
        </is>
      </c>
    </row>
    <row r="97">
      <c r="L97" t="inlineStr">
        <is>
          <t>Bitumens, extracts of steam-refined and air refined</t>
        </is>
      </c>
      <c r="N97" t="inlineStr">
        <is>
          <t>Heard Island and McDonald Islands</t>
        </is>
      </c>
      <c r="P97" t="inlineStr">
        <is>
          <t>CAL TB 116 Compliant</t>
        </is>
      </c>
      <c r="T97" t="inlineStr">
        <is>
          <t>Latex</t>
        </is>
      </c>
      <c r="BR97" t="inlineStr">
        <is>
          <t>Store flat when not in use to avoid warping</t>
        </is>
      </c>
      <c r="DS97" t="inlineStr">
        <is>
          <t>Store flat when not in use to avoid warping</t>
        </is>
      </c>
      <c r="FL97" t="inlineStr">
        <is>
          <t>Store flat when not in use to avoid warping</t>
        </is>
      </c>
    </row>
    <row r="98">
      <c r="L98" t="inlineStr">
        <is>
          <t>Bracken fern</t>
        </is>
      </c>
      <c r="N98" t="inlineStr">
        <is>
          <t>Holy See (Vatican City State)</t>
        </is>
      </c>
      <c r="P98" t="inlineStr">
        <is>
          <t>CAL TB 117-2013 Compliant</t>
        </is>
      </c>
      <c r="T98" t="inlineStr">
        <is>
          <t>Jute</t>
        </is>
      </c>
      <c r="BR98" t="inlineStr">
        <is>
          <t>Wipe clean with a damp cloth</t>
        </is>
      </c>
      <c r="DS98" t="inlineStr">
        <is>
          <t>Wipe clean with a damp cloth</t>
        </is>
      </c>
      <c r="FL98" t="inlineStr">
        <is>
          <t>Wipe clean with a damp cloth</t>
        </is>
      </c>
    </row>
    <row r="99">
      <c r="L99" t="inlineStr">
        <is>
          <t>Bromacil lithium salt</t>
        </is>
      </c>
      <c r="N99" t="inlineStr">
        <is>
          <t>Honduras</t>
        </is>
      </c>
      <c r="P99" t="inlineStr">
        <is>
          <t>CALGreen Compliant</t>
        </is>
      </c>
      <c r="T99" t="inlineStr">
        <is>
          <t>Lead Free Crystal</t>
        </is>
      </c>
      <c r="BR99" t="inlineStr">
        <is>
          <t>Machine wash on delicate with cold water</t>
        </is>
      </c>
      <c r="DS99" t="inlineStr">
        <is>
          <t>Machine wash on delicate with cold water</t>
        </is>
      </c>
      <c r="FL99" t="inlineStr">
        <is>
          <t>Machine wash on delicate with cold water</t>
        </is>
      </c>
    </row>
    <row r="100">
      <c r="L100" t="inlineStr">
        <is>
          <t>Bromate</t>
        </is>
      </c>
      <c r="N100" t="inlineStr">
        <is>
          <t>Hong Kong</t>
        </is>
      </c>
      <c r="P100" t="inlineStr">
        <is>
          <t>California AB 1953 Compliant</t>
        </is>
      </c>
      <c r="T100" t="inlineStr">
        <is>
          <t>Lace</t>
        </is>
      </c>
      <c r="BR100" t="inlineStr">
        <is>
          <t>Does Not Apply</t>
        </is>
      </c>
      <c r="DS100" t="inlineStr">
        <is>
          <t>Does Not Apply</t>
        </is>
      </c>
      <c r="FL100" t="inlineStr">
        <is>
          <t>Does Not Apply</t>
        </is>
      </c>
    </row>
    <row r="101">
      <c r="L101" t="inlineStr">
        <is>
          <t>Bromochloroacetic acid</t>
        </is>
      </c>
      <c r="N101" t="inlineStr">
        <is>
          <t>Hungary</t>
        </is>
      </c>
      <c r="P101" t="inlineStr">
        <is>
          <t>CAN C22.2 No. 3 - Electrical Components of Fuel Burning Equipment</t>
        </is>
      </c>
      <c r="T101" t="inlineStr">
        <is>
          <t>Jute / Sisal</t>
        </is>
      </c>
    </row>
    <row r="102">
      <c r="L102" t="inlineStr">
        <is>
          <t>Bromodichloroacetic acid</t>
        </is>
      </c>
      <c r="N102" t="inlineStr">
        <is>
          <t>Iceland</t>
        </is>
      </c>
      <c r="P102" t="inlineStr">
        <is>
          <t>CAN/ULC-S674</t>
        </is>
      </c>
      <c r="T102" t="inlineStr">
        <is>
          <t>Laminate</t>
        </is>
      </c>
    </row>
    <row r="103">
      <c r="L103" t="inlineStr">
        <is>
          <t>Bromodichloromethane</t>
        </is>
      </c>
      <c r="N103" t="inlineStr">
        <is>
          <t>India</t>
        </is>
      </c>
      <c r="P103" t="inlineStr">
        <is>
          <t>CARB Phase II Compliant (formaldehyde emissions)</t>
        </is>
      </c>
      <c r="T103" t="inlineStr">
        <is>
          <t>Marble / Granite</t>
        </is>
      </c>
    </row>
    <row r="104">
      <c r="L104" t="inlineStr">
        <is>
          <t>Bromoethane</t>
        </is>
      </c>
      <c r="N104" t="inlineStr">
        <is>
          <t>Indonesia</t>
        </is>
      </c>
      <c r="P104" t="inlineStr">
        <is>
          <t>CE Certified</t>
        </is>
      </c>
      <c r="T104" t="inlineStr">
        <is>
          <t>Mercury Glass</t>
        </is>
      </c>
    </row>
    <row r="105">
      <c r="L105" t="inlineStr">
        <is>
          <t>Bromoform</t>
        </is>
      </c>
      <c r="N105" t="inlineStr">
        <is>
          <t>Iran, Islamic Republic of</t>
        </is>
      </c>
      <c r="P105" t="inlineStr">
        <is>
          <t>CEE Rating</t>
        </is>
      </c>
      <c r="T105" t="inlineStr">
        <is>
          <t>Medium Density Fiberboard (MDF)</t>
        </is>
      </c>
    </row>
    <row r="106">
      <c r="L106" t="inlineStr">
        <is>
          <t>1-Bromopropane (1-BP)</t>
        </is>
      </c>
      <c r="N106" t="inlineStr">
        <is>
          <t>Iraq</t>
        </is>
      </c>
      <c r="P106" t="inlineStr">
        <is>
          <t>CertiPUR-US Certified</t>
        </is>
      </c>
      <c r="T106" t="inlineStr">
        <is>
          <t>Mesh</t>
        </is>
      </c>
    </row>
    <row r="107">
      <c r="L107" t="inlineStr">
        <is>
          <t>Bromoxynil</t>
        </is>
      </c>
      <c r="N107" t="inlineStr">
        <is>
          <t>Ireland</t>
        </is>
      </c>
      <c r="P107" t="inlineStr">
        <is>
          <t>cETL Listed</t>
        </is>
      </c>
      <c r="T107" t="inlineStr">
        <is>
          <t>Merino Wool</t>
        </is>
      </c>
    </row>
    <row r="108">
      <c r="L108" t="inlineStr">
        <is>
          <t>Bromoxynil octanoate</t>
        </is>
      </c>
      <c r="N108" t="inlineStr">
        <is>
          <t>Isle of Man</t>
        </is>
      </c>
      <c r="P108" t="inlineStr">
        <is>
          <t>CGA 2.17- M91 (R2014)</t>
        </is>
      </c>
      <c r="T108" t="inlineStr">
        <is>
          <t>Memory Foam</t>
        </is>
      </c>
    </row>
    <row r="109">
      <c r="L109" t="inlineStr">
        <is>
          <t>Butabarbital sodium</t>
        </is>
      </c>
      <c r="N109" t="inlineStr">
        <is>
          <t>Israel</t>
        </is>
      </c>
      <c r="P109" t="inlineStr">
        <is>
          <t>Chemicals of Concern Compliant</t>
        </is>
      </c>
      <c r="T109" t="inlineStr">
        <is>
          <t>Natural Stone</t>
        </is>
      </c>
    </row>
    <row r="110">
      <c r="L110" t="inlineStr">
        <is>
          <t>1,3-Butadiene</t>
        </is>
      </c>
      <c r="N110" t="inlineStr">
        <is>
          <t>Italy</t>
        </is>
      </c>
      <c r="P110" t="inlineStr">
        <is>
          <t>Chemikalien-Verbotsverordnung / Section 3 Compliant</t>
        </is>
      </c>
      <c r="T110" t="inlineStr">
        <is>
          <t>Microfiber / Polyester</t>
        </is>
      </c>
    </row>
    <row r="111">
      <c r="L111" t="inlineStr">
        <is>
          <t>1,4-Butanediol dimethanesulfonate (Busulfan)</t>
        </is>
      </c>
      <c r="N111" t="inlineStr">
        <is>
          <t>Jamaica</t>
        </is>
      </c>
      <c r="P111" t="inlineStr">
        <is>
          <t>Children's Product Certificate (CPC)</t>
        </is>
      </c>
      <c r="T111" t="inlineStr">
        <is>
          <t>Natural Fiber</t>
        </is>
      </c>
    </row>
    <row r="112">
      <c r="L112" t="inlineStr">
        <is>
          <t>Butylated hydroxyanisole</t>
        </is>
      </c>
      <c r="N112" t="inlineStr">
        <is>
          <t>Japan</t>
        </is>
      </c>
      <c r="P112" t="inlineStr">
        <is>
          <t>CISPR 22 Compliant</t>
        </is>
      </c>
      <c r="T112" t="inlineStr">
        <is>
          <t>Microfiber</t>
        </is>
      </c>
    </row>
    <row r="113">
      <c r="L113" t="inlineStr">
        <is>
          <t>Butyl benzyl phthalate (BBP)d</t>
        </is>
      </c>
      <c r="N113" t="inlineStr">
        <is>
          <t>Jersey</t>
        </is>
      </c>
      <c r="P113" t="inlineStr">
        <is>
          <t>Complies with 16 CFR 1305.4</t>
        </is>
      </c>
      <c r="T113" t="inlineStr">
        <is>
          <t>Natural Fibers</t>
        </is>
      </c>
    </row>
    <row r="114">
      <c r="L114" t="inlineStr">
        <is>
          <t>beta-Butyrolactone</t>
        </is>
      </c>
      <c r="N114" t="inlineStr">
        <is>
          <t>Jordan</t>
        </is>
      </c>
      <c r="P114" t="inlineStr">
        <is>
          <t>ASTM F1427 - 13 Compliant - Consumer Safety Specification for Bunk Beds</t>
        </is>
      </c>
      <c r="T114" t="inlineStr">
        <is>
          <t>Magnet</t>
        </is>
      </c>
    </row>
    <row r="115">
      <c r="L115" t="inlineStr">
        <is>
          <t>Cacodylic acid</t>
        </is>
      </c>
      <c r="N115" t="inlineStr">
        <is>
          <t>Kazakhstan</t>
        </is>
      </c>
      <c r="P115" t="inlineStr">
        <is>
          <t>CPAI-84 Compliant</t>
        </is>
      </c>
      <c r="T115" t="inlineStr">
        <is>
          <t>Muslin</t>
        </is>
      </c>
    </row>
    <row r="116">
      <c r="L116" t="inlineStr">
        <is>
          <t>Cadmium</t>
        </is>
      </c>
      <c r="N116" t="inlineStr">
        <is>
          <t>Kenya</t>
        </is>
      </c>
      <c r="P116" t="inlineStr">
        <is>
          <t>CPSC - 15 U.S. Code § 1278a - Children's Products Containing Lead</t>
        </is>
      </c>
      <c r="T116" t="inlineStr">
        <is>
          <t>Metal</t>
        </is>
      </c>
    </row>
    <row r="117">
      <c r="L117" t="inlineStr">
        <is>
          <t>Cadmium and cadmium compounds</t>
        </is>
      </c>
      <c r="N117" t="inlineStr">
        <is>
          <t>Kiribati</t>
        </is>
      </c>
      <c r="P117" t="inlineStr">
        <is>
          <t>CPSC - 16 CFR 1213 Compliant</t>
        </is>
      </c>
      <c r="T117" t="inlineStr">
        <is>
          <t>Microfiber / Microsuede</t>
        </is>
      </c>
    </row>
    <row r="118">
      <c r="L118" t="inlineStr">
        <is>
          <t>Caffeic acid</t>
        </is>
      </c>
      <c r="N118" t="inlineStr">
        <is>
          <t>Korea, Democratic People's Republic of</t>
        </is>
      </c>
      <c r="P118" t="inlineStr">
        <is>
          <t>CPSC - 16 CFR 1215 Compliant - Safety Standards for Infant Bath Seats</t>
        </is>
      </c>
      <c r="T118" t="inlineStr">
        <is>
          <t>Paper</t>
        </is>
      </c>
    </row>
    <row r="119">
      <c r="L119" t="inlineStr">
        <is>
          <t>Captafol</t>
        </is>
      </c>
      <c r="N119" t="inlineStr">
        <is>
          <t>Korea, Republic of</t>
        </is>
      </c>
      <c r="P119" t="inlineStr">
        <is>
          <t>ASTM 1821-19 and/or CPSC - 16 CFR 1217 Compliant</t>
        </is>
      </c>
      <c r="T119" t="inlineStr">
        <is>
          <t>Olefin</t>
        </is>
      </c>
    </row>
    <row r="120">
      <c r="L120" t="inlineStr">
        <is>
          <t>Captan</t>
        </is>
      </c>
      <c r="N120" t="inlineStr">
        <is>
          <t>Kuwait</t>
        </is>
      </c>
      <c r="P120" t="inlineStr">
        <is>
          <t>CPSC - 16 CFR 1218 Compliant</t>
        </is>
      </c>
      <c r="T120" t="inlineStr">
        <is>
          <t>Nickel</t>
        </is>
      </c>
    </row>
    <row r="121">
      <c r="L121" t="inlineStr">
        <is>
          <t>Carbamazepine</t>
        </is>
      </c>
      <c r="N121" t="inlineStr">
        <is>
          <t>Kyrgyzstan</t>
        </is>
      </c>
      <c r="P121" t="inlineStr">
        <is>
          <t>ASTM F1169-19 Compliant and/or CPSC - 16 CFR 1219 Compliant</t>
        </is>
      </c>
      <c r="T121" t="inlineStr">
        <is>
          <t>PEVA</t>
        </is>
      </c>
    </row>
    <row r="122">
      <c r="L122" t="inlineStr">
        <is>
          <t>Carbaryl</t>
        </is>
      </c>
      <c r="N122" t="inlineStr">
        <is>
          <t>Lao People's Democratic Republic</t>
        </is>
      </c>
      <c r="P122" t="inlineStr">
        <is>
          <t>ASTM F406-22 and/or CPSC - 16 CFR 1220 Compliant</t>
        </is>
      </c>
      <c r="T122" t="inlineStr">
        <is>
          <t>Nylon</t>
        </is>
      </c>
    </row>
    <row r="123">
      <c r="L123" t="inlineStr">
        <is>
          <t>Carbazole</t>
        </is>
      </c>
      <c r="N123" t="inlineStr">
        <is>
          <t>Latvia</t>
        </is>
      </c>
      <c r="P123" t="inlineStr">
        <is>
          <t>CPSC - 16 CFR 1221 Compliant</t>
        </is>
      </c>
      <c r="T123" t="inlineStr">
        <is>
          <t>Oak</t>
        </is>
      </c>
    </row>
    <row r="124">
      <c r="L124" t="inlineStr">
        <is>
          <t>Carbon black (airborne, unbound particles of respirable size)</t>
        </is>
      </c>
      <c r="N124" t="inlineStr">
        <is>
          <t>Lebanon</t>
        </is>
      </c>
      <c r="P124" t="inlineStr">
        <is>
          <t>CPSC - 16 CFR 1225 Compliant</t>
        </is>
      </c>
      <c r="T124" t="inlineStr">
        <is>
          <t>Oxford Fabric</t>
        </is>
      </c>
    </row>
    <row r="125">
      <c r="L125" t="inlineStr">
        <is>
          <t>Carbon-black extracts</t>
        </is>
      </c>
      <c r="N125" t="inlineStr">
        <is>
          <t>Lesotho</t>
        </is>
      </c>
      <c r="P125" t="inlineStr">
        <is>
          <t>CPSC - 16 CFR 1234 Compliant</t>
        </is>
      </c>
      <c r="T125" t="inlineStr">
        <is>
          <t>Polyamide</t>
        </is>
      </c>
    </row>
    <row r="126">
      <c r="L126" t="inlineStr">
        <is>
          <t>Carbon disulfide</t>
        </is>
      </c>
      <c r="N126" t="inlineStr">
        <is>
          <t>Liberia</t>
        </is>
      </c>
      <c r="P126" t="inlineStr">
        <is>
          <t>CPSC - 16 CFR 1238 Compliant</t>
        </is>
      </c>
      <c r="T126" t="inlineStr">
        <is>
          <t>Plywood</t>
        </is>
      </c>
    </row>
    <row r="127">
      <c r="L127" t="inlineStr">
        <is>
          <t>Carbon monoxide</t>
        </is>
      </c>
      <c r="N127" t="inlineStr">
        <is>
          <t>Libyan Arab Jamahiriya</t>
        </is>
      </c>
      <c r="P127" t="inlineStr">
        <is>
          <t>CPSC - 16 CFR 1239 Compliant</t>
        </is>
      </c>
      <c r="T127" t="inlineStr">
        <is>
          <t>Pinecones</t>
        </is>
      </c>
    </row>
    <row r="128">
      <c r="L128" t="inlineStr">
        <is>
          <t>Carbon tetrachloride</t>
        </is>
      </c>
      <c r="N128" t="inlineStr">
        <is>
          <t>Liechtenstein</t>
        </is>
      </c>
      <c r="P128" t="inlineStr">
        <is>
          <t>CPSC - 16 CFR 1303 Compliant</t>
        </is>
      </c>
      <c r="T128" t="inlineStr">
        <is>
          <t>Plastic / Acrylic</t>
        </is>
      </c>
    </row>
    <row r="129">
      <c r="L129" t="inlineStr">
        <is>
          <t>Carboplatin</t>
        </is>
      </c>
      <c r="N129" t="inlineStr">
        <is>
          <t>Lithuania</t>
        </is>
      </c>
      <c r="P129" t="inlineStr">
        <is>
          <t>CPSC - 16 CFR 1500.48 Compliant</t>
        </is>
      </c>
      <c r="T129" t="inlineStr">
        <is>
          <t>Pewter</t>
        </is>
      </c>
    </row>
    <row r="130">
      <c r="L130" t="inlineStr">
        <is>
          <t>N-Carboxymethyl-N-nitrosourea</t>
        </is>
      </c>
      <c r="N130" t="inlineStr">
        <is>
          <t>Luxembourg</t>
        </is>
      </c>
      <c r="P130" t="inlineStr">
        <is>
          <t>CPSC - 16 CFR 1500.49 Compliant</t>
        </is>
      </c>
      <c r="T130" t="inlineStr">
        <is>
          <t>Polycarbonate Plastic</t>
        </is>
      </c>
    </row>
    <row r="131">
      <c r="L131" t="inlineStr">
        <is>
          <t>Catechol</t>
        </is>
      </c>
      <c r="N131" t="inlineStr">
        <is>
          <t>Macao</t>
        </is>
      </c>
      <c r="P131" t="inlineStr">
        <is>
          <t>CPSC - 16 CFR 1513 Compliant</t>
        </is>
      </c>
      <c r="T131" t="inlineStr">
        <is>
          <t>Nickel Plated</t>
        </is>
      </c>
    </row>
    <row r="132">
      <c r="L132" t="inlineStr">
        <is>
          <t>Ceramic fibers (airborne particles of respirable size)</t>
        </is>
      </c>
      <c r="N132" t="inlineStr">
        <is>
          <t>Macedonia, The Former Yugoslav Republic of</t>
        </is>
      </c>
      <c r="P132" t="inlineStr">
        <is>
          <t>CPSC - 16 CFR 1630 Compliant</t>
        </is>
      </c>
      <c r="T132" t="inlineStr">
        <is>
          <t>Plastic</t>
        </is>
      </c>
    </row>
    <row r="133">
      <c r="L133" t="inlineStr">
        <is>
          <t>Certain combined chemotherapy for lymphomas</t>
        </is>
      </c>
      <c r="N133" t="inlineStr">
        <is>
          <t>Madagascar</t>
        </is>
      </c>
      <c r="P133" t="inlineStr">
        <is>
          <t>CPSC - 16 CFR 1631 Compliant</t>
        </is>
      </c>
      <c r="T133" t="inlineStr">
        <is>
          <t>Polyester</t>
        </is>
      </c>
    </row>
    <row r="134">
      <c r="L134" t="inlineStr">
        <is>
          <t>Chenodiol</t>
        </is>
      </c>
      <c r="N134" t="inlineStr">
        <is>
          <t>Malawi</t>
        </is>
      </c>
      <c r="P134" t="inlineStr">
        <is>
          <t>CPSC - 16 CFR 1632 Compliant</t>
        </is>
      </c>
      <c r="T134" t="inlineStr">
        <is>
          <t>Polymer</t>
        </is>
      </c>
    </row>
    <row r="135">
      <c r="L135" t="inlineStr">
        <is>
          <t>Chloral</t>
        </is>
      </c>
      <c r="N135" t="inlineStr">
        <is>
          <t>Malaysia</t>
        </is>
      </c>
      <c r="P135" t="inlineStr">
        <is>
          <t>CPSC - 16 CFR 1633 Compliant</t>
        </is>
      </c>
      <c r="T135" t="inlineStr">
        <is>
          <t>Polyester Fill</t>
        </is>
      </c>
    </row>
    <row r="136">
      <c r="L136" t="inlineStr">
        <is>
          <t>Chloral hydrate</t>
        </is>
      </c>
      <c r="N136" t="inlineStr">
        <is>
          <t>Maldives</t>
        </is>
      </c>
      <c r="P136" t="inlineStr">
        <is>
          <t>CPSC - 16 CFR Part 1130-Requirements For Consumer Registration Of Durable Infant Or Toddler Products</t>
        </is>
      </c>
      <c r="T136" t="inlineStr">
        <is>
          <t>Polystyrene</t>
        </is>
      </c>
    </row>
    <row r="137">
      <c r="L137" t="inlineStr">
        <is>
          <t>Chlorambucil</t>
        </is>
      </c>
      <c r="N137" t="inlineStr">
        <is>
          <t>Mali</t>
        </is>
      </c>
      <c r="P137" t="inlineStr">
        <is>
          <t>CPSC - 16 CFR Part 1307-Prohibition Of Children's Toys And Child Care Articles Containing Specified Phthalates</t>
        </is>
      </c>
      <c r="T137" t="inlineStr">
        <is>
          <t>Polyvinyl Chloride (PVC)</t>
        </is>
      </c>
    </row>
    <row r="138">
      <c r="L138" t="inlineStr">
        <is>
          <t>Chloramphenicol sodium succinate</t>
        </is>
      </c>
      <c r="N138" t="inlineStr">
        <is>
          <t>Malta</t>
        </is>
      </c>
      <c r="P138" t="inlineStr">
        <is>
          <t>CPSC 16 CFR 1500.3(c)(6)(vi)</t>
        </is>
      </c>
      <c r="T138" t="inlineStr">
        <is>
          <t>Polyurethane</t>
        </is>
      </c>
    </row>
    <row r="139">
      <c r="L139" t="inlineStr">
        <is>
          <t>Chlorcyclizine hydrochloride</t>
        </is>
      </c>
      <c r="N139" t="inlineStr">
        <is>
          <t>Marshall Islands</t>
        </is>
      </c>
      <c r="P139" t="inlineStr">
        <is>
          <t>CPSC 16 CFR 1500.44</t>
        </is>
      </c>
      <c r="T139" t="inlineStr">
        <is>
          <t>Porcelain China</t>
        </is>
      </c>
    </row>
    <row r="140">
      <c r="L140" t="inlineStr">
        <is>
          <t>Chlordane</t>
        </is>
      </c>
      <c r="N140" t="inlineStr">
        <is>
          <t>Martinique</t>
        </is>
      </c>
      <c r="P140" t="inlineStr">
        <is>
          <t>CPSIA Compliant</t>
        </is>
      </c>
      <c r="T140" t="inlineStr">
        <is>
          <t>Powder Coated Steel</t>
        </is>
      </c>
    </row>
    <row r="141">
      <c r="L141" t="inlineStr">
        <is>
          <t>Chlordecone (Kepone)</t>
        </is>
      </c>
      <c r="N141" t="inlineStr">
        <is>
          <t>Mauritania</t>
        </is>
      </c>
      <c r="P141" t="inlineStr">
        <is>
          <t>Cradle to Cradle Certified</t>
        </is>
      </c>
      <c r="T141" t="inlineStr">
        <is>
          <t>Polypropylene Plastic</t>
        </is>
      </c>
    </row>
    <row r="142">
      <c r="L142" t="inlineStr">
        <is>
          <t>Chlordiazepoxide</t>
        </is>
      </c>
      <c r="N142" t="inlineStr">
        <is>
          <t>Mauritius</t>
        </is>
      </c>
      <c r="P142" t="inlineStr">
        <is>
          <t>CRI Certified</t>
        </is>
      </c>
      <c r="T142" t="inlineStr">
        <is>
          <t>Porcelain Enameled Steel</t>
        </is>
      </c>
    </row>
    <row r="143">
      <c r="L143" t="inlineStr">
        <is>
          <t>Chlordiazepoxide hydrochloride</t>
        </is>
      </c>
      <c r="N143" t="inlineStr">
        <is>
          <t>Mayotte</t>
        </is>
      </c>
      <c r="P143" t="inlineStr">
        <is>
          <t>CRI Green Label Certified</t>
        </is>
      </c>
      <c r="T143" t="inlineStr">
        <is>
          <t>Porcelain</t>
        </is>
      </c>
    </row>
    <row r="144">
      <c r="L144" t="inlineStr">
        <is>
          <t>Chlordimeform</t>
        </is>
      </c>
      <c r="N144" t="inlineStr">
        <is>
          <t>Mexico</t>
        </is>
      </c>
      <c r="P144" t="inlineStr">
        <is>
          <t>CRI Green Label Plus Certified</t>
        </is>
      </c>
      <c r="T144" t="inlineStr">
        <is>
          <t>Powder Coated Aluminum</t>
        </is>
      </c>
    </row>
    <row r="145">
      <c r="L145" t="inlineStr">
        <is>
          <t>Chlorendic acid</t>
        </is>
      </c>
      <c r="N145" t="inlineStr">
        <is>
          <t>Micronesia, Federated States of</t>
        </is>
      </c>
      <c r="P145" t="inlineStr">
        <is>
          <t>CSA 2.41-2014/ANSI Z21.97-2014</t>
        </is>
      </c>
      <c r="T145" t="inlineStr">
        <is>
          <t>Polyester Blend</t>
        </is>
      </c>
    </row>
    <row r="146">
      <c r="L146" t="inlineStr">
        <is>
          <t>Chlorinated paraffins (Average chain length, C12;approximately 60 percent chlorine by weight)</t>
        </is>
      </c>
      <c r="N146" t="inlineStr">
        <is>
          <t>Moldova, Republic of</t>
        </is>
      </c>
      <c r="P146" t="inlineStr">
        <is>
          <t>CSA B125.1 Certified</t>
        </is>
      </c>
      <c r="T146" t="inlineStr">
        <is>
          <t>Polyresin</t>
        </is>
      </c>
    </row>
    <row r="147">
      <c r="L147" t="inlineStr">
        <is>
          <t>p-Chloroaniline</t>
        </is>
      </c>
      <c r="N147" t="inlineStr">
        <is>
          <t>Monaco</t>
        </is>
      </c>
      <c r="P147" t="inlineStr">
        <is>
          <t>CSA B13 Certified</t>
        </is>
      </c>
      <c r="T147" t="inlineStr">
        <is>
          <t>Polymarble</t>
        </is>
      </c>
    </row>
    <row r="148">
      <c r="L148" t="inlineStr">
        <is>
          <t>p-Chloroaniline hydrochloride</t>
        </is>
      </c>
      <c r="N148" t="inlineStr">
        <is>
          <t>Mongolia</t>
        </is>
      </c>
      <c r="P148" t="inlineStr">
        <is>
          <t>CSA B45 Certified</t>
        </is>
      </c>
      <c r="T148" t="inlineStr">
        <is>
          <t>Polyurethane (PU)</t>
        </is>
      </c>
    </row>
    <row r="149">
      <c r="L149" t="inlineStr">
        <is>
          <t>Chloroethane (Ethyl chloride)</t>
        </is>
      </c>
      <c r="N149" t="inlineStr">
        <is>
          <t>Montenegro</t>
        </is>
      </c>
      <c r="P149" t="inlineStr">
        <is>
          <t>CSA B45.1 Certified</t>
        </is>
      </c>
      <c r="T149" t="inlineStr">
        <is>
          <t>Sandstone</t>
        </is>
      </c>
    </row>
    <row r="150">
      <c r="L150" t="inlineStr">
        <is>
          <t>1-(2-Chloroethyl)-3-cyclohexyl-1-nitrosourea (CCNU) (Lomustine)</t>
        </is>
      </c>
      <c r="N150" t="inlineStr">
        <is>
          <t>Montserrat</t>
        </is>
      </c>
      <c r="P150" t="inlineStr">
        <is>
          <t>CSA B45.2 Certified</t>
        </is>
      </c>
      <c r="T150" t="inlineStr">
        <is>
          <t>Silver</t>
        </is>
      </c>
    </row>
    <row r="151">
      <c r="L151" t="inlineStr">
        <is>
          <t>1-(2-Chloroethyl)-3-(4-methylcyclohexyl)-1-nitrosourea (Methyl-CCNU)</t>
        </is>
      </c>
      <c r="N151" t="inlineStr">
        <is>
          <t>Morocco</t>
        </is>
      </c>
      <c r="P151" t="inlineStr">
        <is>
          <t>CSA Certified</t>
        </is>
      </c>
      <c r="T151" t="inlineStr">
        <is>
          <t>Sheepskin</t>
        </is>
      </c>
    </row>
    <row r="152">
      <c r="L152" t="inlineStr">
        <is>
          <t>Chloromethyl methyl ether (technical grade)</t>
        </is>
      </c>
      <c r="N152" t="inlineStr">
        <is>
          <t>Mozambique</t>
        </is>
      </c>
      <c r="P152" t="inlineStr">
        <is>
          <t>CSA Listed for Canada</t>
        </is>
      </c>
      <c r="T152" t="inlineStr">
        <is>
          <t>Sateen</t>
        </is>
      </c>
    </row>
    <row r="153">
      <c r="L153" t="inlineStr">
        <is>
          <t>3-Chloro-2-methylpropene</t>
        </is>
      </c>
      <c r="N153" t="inlineStr">
        <is>
          <t>Myanmar</t>
        </is>
      </c>
      <c r="P153" t="inlineStr">
        <is>
          <t>CSA Listed for USA</t>
        </is>
      </c>
      <c r="T153" t="inlineStr">
        <is>
          <t>Rayon / Viscose</t>
        </is>
      </c>
    </row>
    <row r="154">
      <c r="L154" t="inlineStr">
        <is>
          <t>1-Chloro-4-nitrobenzene</t>
        </is>
      </c>
      <c r="N154" t="inlineStr">
        <is>
          <t>Namibia</t>
        </is>
      </c>
      <c r="P154" t="inlineStr">
        <is>
          <t>CSPC - 16 CFR 1750 Compliant</t>
        </is>
      </c>
      <c r="T154" t="inlineStr">
        <is>
          <t>Rayon from Bamboo</t>
        </is>
      </c>
    </row>
    <row r="155">
      <c r="L155" t="inlineStr">
        <is>
          <t>4-Chloro-o-phenylenediamine</t>
        </is>
      </c>
      <c r="N155" t="inlineStr">
        <is>
          <t>Nauru</t>
        </is>
      </c>
      <c r="P155" t="inlineStr">
        <is>
          <t>cUL Listed</t>
        </is>
      </c>
      <c r="T155" t="inlineStr">
        <is>
          <t>Silver Plated</t>
        </is>
      </c>
    </row>
    <row r="156">
      <c r="L156" t="inlineStr">
        <is>
          <t>Chloroprene</t>
        </is>
      </c>
      <c r="N156" t="inlineStr">
        <is>
          <t>Nepal</t>
        </is>
      </c>
      <c r="P156" t="inlineStr">
        <is>
          <t>cUPC Certified</t>
        </is>
      </c>
      <c r="T156" t="inlineStr">
        <is>
          <t>Sherpa</t>
        </is>
      </c>
    </row>
    <row r="157">
      <c r="L157" t="inlineStr">
        <is>
          <t>Chlorothalonil</t>
        </is>
      </c>
      <c r="N157" t="inlineStr">
        <is>
          <t>Netherlands</t>
        </is>
      </c>
      <c r="P157" t="inlineStr">
        <is>
          <t>DECT 6.0 Compliant</t>
        </is>
      </c>
      <c r="T157" t="inlineStr">
        <is>
          <t>Quartz</t>
        </is>
      </c>
    </row>
    <row r="158">
      <c r="L158" t="inlineStr">
        <is>
          <t>p-Chloro-o-toluidine</t>
        </is>
      </c>
      <c r="N158" t="inlineStr">
        <is>
          <t>Netherlands Antilles</t>
        </is>
      </c>
      <c r="P158" t="inlineStr">
        <is>
          <t>DIN EN 12935 Certified</t>
        </is>
      </c>
      <c r="T158" t="inlineStr">
        <is>
          <t>Satin</t>
        </is>
      </c>
    </row>
    <row r="159">
      <c r="L159" t="inlineStr">
        <is>
          <t>p-Chloro-o-toluidine, strong acid salts of</t>
        </is>
      </c>
      <c r="N159" t="inlineStr">
        <is>
          <t>New Caledonia</t>
        </is>
      </c>
      <c r="P159" t="inlineStr">
        <is>
          <t>DIN EN 16647:2016</t>
        </is>
      </c>
      <c r="T159" t="inlineStr">
        <is>
          <t>Shell / Capiz</t>
        </is>
      </c>
    </row>
    <row r="160">
      <c r="L160" t="inlineStr">
        <is>
          <t>5-Chloro-o-toluidine and its strong acid salts</t>
        </is>
      </c>
      <c r="N160" t="inlineStr">
        <is>
          <t>New Zealand</t>
        </is>
      </c>
      <c r="P160" t="inlineStr">
        <is>
          <t>Dry/ Damp/ or Wet Location Listed - CAN</t>
        </is>
      </c>
      <c r="T160" t="inlineStr">
        <is>
          <t>Rope</t>
        </is>
      </c>
    </row>
    <row r="161">
      <c r="L161" t="inlineStr">
        <is>
          <t>Chlorotrianisene</t>
        </is>
      </c>
      <c r="N161" t="inlineStr">
        <is>
          <t>Nicaragua</t>
        </is>
      </c>
      <c r="P161" t="inlineStr">
        <is>
          <t>Dry/ Damp/ or Wet Location Listed - USA</t>
        </is>
      </c>
      <c r="T161" t="inlineStr">
        <is>
          <t>Silk</t>
        </is>
      </c>
    </row>
    <row r="162">
      <c r="L162" t="inlineStr">
        <is>
          <t>Chlorozotocin</t>
        </is>
      </c>
      <c r="N162" t="inlineStr">
        <is>
          <t>Niger</t>
        </is>
      </c>
      <c r="P162" t="inlineStr">
        <is>
          <t>EU 2018/2005</t>
        </is>
      </c>
      <c r="T162" t="inlineStr">
        <is>
          <t>Rayon</t>
        </is>
      </c>
    </row>
    <row r="163">
      <c r="L163" t="inlineStr">
        <is>
          <t>Chlorpyrifos</t>
        </is>
      </c>
      <c r="N163" t="inlineStr">
        <is>
          <t>Nigeria</t>
        </is>
      </c>
      <c r="P163" t="inlineStr">
        <is>
          <t>EIA Compliant</t>
        </is>
      </c>
      <c r="T163" t="inlineStr">
        <is>
          <t>Seagrass</t>
        </is>
      </c>
    </row>
    <row r="164">
      <c r="L164" t="inlineStr">
        <is>
          <t>Chromium (hexavalent compounds)</t>
        </is>
      </c>
      <c r="N164" t="inlineStr">
        <is>
          <t>Niue</t>
        </is>
      </c>
      <c r="P164" t="inlineStr">
        <is>
          <t>EISA 2007 Compliant</t>
        </is>
      </c>
      <c r="T164" t="inlineStr">
        <is>
          <t>PVC</t>
        </is>
      </c>
    </row>
    <row r="165">
      <c r="L165" t="inlineStr">
        <is>
          <t>Chrysene</t>
        </is>
      </c>
      <c r="N165" t="inlineStr">
        <is>
          <t>Norfolk Island</t>
        </is>
      </c>
      <c r="P165" t="inlineStr">
        <is>
          <t>EN 1111:2017</t>
        </is>
      </c>
      <c r="T165" t="inlineStr">
        <is>
          <t>Rubber</t>
        </is>
      </c>
    </row>
    <row r="166">
      <c r="L166" t="inlineStr">
        <is>
          <t>C.I. Acid Red 114</t>
        </is>
      </c>
      <c r="N166" t="inlineStr">
        <is>
          <t>Northern Mariana Islands</t>
        </is>
      </c>
      <c r="P166" t="inlineStr">
        <is>
          <t>EN 1130-1:1996 (Safety Requirements for Cribs and Cradles) - EU ONLY</t>
        </is>
      </c>
      <c r="T166" t="inlineStr">
        <is>
          <t>Quartzite</t>
        </is>
      </c>
    </row>
    <row r="167">
      <c r="L167" t="inlineStr">
        <is>
          <t>C.I. Basic Red 9 monohydrochloride</t>
        </is>
      </c>
      <c r="N167" t="inlineStr">
        <is>
          <t>Norway</t>
        </is>
      </c>
      <c r="P167" t="inlineStr">
        <is>
          <t>EN 12221-1 (Standards for Changing Tables) - EU ONLY</t>
        </is>
      </c>
      <c r="T167" t="inlineStr">
        <is>
          <t>Real Greenery</t>
        </is>
      </c>
    </row>
    <row r="168">
      <c r="L168" t="inlineStr">
        <is>
          <t>C.I. Direct Blue 15</t>
        </is>
      </c>
      <c r="N168" t="inlineStr">
        <is>
          <t>Oman</t>
        </is>
      </c>
      <c r="P168" t="inlineStr">
        <is>
          <t>EN 1287:2017</t>
        </is>
      </c>
      <c r="T168" t="inlineStr">
        <is>
          <t>Resin</t>
        </is>
      </c>
    </row>
    <row r="169">
      <c r="L169" t="inlineStr">
        <is>
          <t>C.I. Direct Blue 218</t>
        </is>
      </c>
      <c r="N169" t="inlineStr">
        <is>
          <t>Pakistan</t>
        </is>
      </c>
      <c r="P169" t="inlineStr">
        <is>
          <t>EN 13219 (Standards for Trampolines) - EU ONLY</t>
        </is>
      </c>
      <c r="T169" t="inlineStr">
        <is>
          <t>Rocks / Pebbles</t>
        </is>
      </c>
    </row>
    <row r="170">
      <c r="L170" t="inlineStr">
        <is>
          <t>C.I. Disperse Yellow 3</t>
        </is>
      </c>
      <c r="N170" t="inlineStr">
        <is>
          <t>Palau</t>
        </is>
      </c>
      <c r="P170" t="inlineStr">
        <is>
          <t>EN 14428:2015</t>
        </is>
      </c>
      <c r="T170" t="inlineStr">
        <is>
          <t>Recycled P.E.T</t>
        </is>
      </c>
    </row>
    <row r="171">
      <c r="L171" t="inlineStr">
        <is>
          <t>C.I. Solvent Yellow 14</t>
        </is>
      </c>
      <c r="N171" t="inlineStr">
        <is>
          <t>Palestinian Territory, Occupied</t>
        </is>
      </c>
      <c r="P171" t="inlineStr">
        <is>
          <t>EN 14516:2019</t>
        </is>
      </c>
      <c r="T171" t="inlineStr">
        <is>
          <t>Real Floral</t>
        </is>
      </c>
    </row>
    <row r="172">
      <c r="L172" t="inlineStr">
        <is>
          <t>Ciclosporin (Cyclosporin A; Cyclosporine)</t>
        </is>
      </c>
      <c r="N172" t="inlineStr">
        <is>
          <t>Panama</t>
        </is>
      </c>
      <c r="P172" t="inlineStr">
        <is>
          <t>EN 14527:2019 Certified</t>
        </is>
      </c>
      <c r="T172" t="inlineStr">
        <is>
          <t>Suede / Faux Suede</t>
        </is>
      </c>
    </row>
    <row r="173">
      <c r="L173" t="inlineStr">
        <is>
          <t>Cidofovir</t>
        </is>
      </c>
      <c r="N173" t="inlineStr">
        <is>
          <t>Papua New Guinea</t>
        </is>
      </c>
      <c r="P173" t="inlineStr">
        <is>
          <t>EN 14528:2018 Certified</t>
        </is>
      </c>
      <c r="T173" t="inlineStr">
        <is>
          <t>Solid Brass</t>
        </is>
      </c>
    </row>
    <row r="174">
      <c r="L174" t="inlineStr">
        <is>
          <t>Cinnamyl anthranilate</t>
        </is>
      </c>
      <c r="N174" t="inlineStr">
        <is>
          <t>Paraguay</t>
        </is>
      </c>
      <c r="P174" t="inlineStr">
        <is>
          <t>EN 1466:2014</t>
        </is>
      </c>
      <c r="T174" t="inlineStr">
        <is>
          <t>Stainless Steel (18/0)</t>
        </is>
      </c>
    </row>
    <row r="175">
      <c r="L175" t="inlineStr">
        <is>
          <t>Cisplatin</t>
        </is>
      </c>
      <c r="N175" t="inlineStr">
        <is>
          <t>Peru</t>
        </is>
      </c>
      <c r="P175" t="inlineStr">
        <is>
          <t>EN 14688:2018 Certified</t>
        </is>
      </c>
      <c r="T175" t="inlineStr">
        <is>
          <t>Sponge</t>
        </is>
      </c>
    </row>
    <row r="176">
      <c r="L176" t="inlineStr">
        <is>
          <t>Citrus Red No. 2</t>
        </is>
      </c>
      <c r="N176" t="inlineStr">
        <is>
          <t>Philippines</t>
        </is>
      </c>
      <c r="P176" t="inlineStr">
        <is>
          <t>EN 14749:2016 Certified</t>
        </is>
      </c>
      <c r="T176" t="inlineStr">
        <is>
          <t>Tin</t>
        </is>
      </c>
    </row>
    <row r="177">
      <c r="L177" t="inlineStr">
        <is>
          <t>Cladribine</t>
        </is>
      </c>
      <c r="N177" t="inlineStr">
        <is>
          <t>Pitcairn</t>
        </is>
      </c>
      <c r="P177" t="inlineStr">
        <is>
          <t>EN 14878: 2007 (Requirements for Children's Sleepwear) - EU ONLY</t>
        </is>
      </c>
      <c r="T177" t="inlineStr">
        <is>
          <t>Teak</t>
        </is>
      </c>
    </row>
    <row r="178">
      <c r="L178" t="inlineStr">
        <is>
          <t>Clarithromycin</t>
        </is>
      </c>
      <c r="N178" t="inlineStr">
        <is>
          <t>Poland</t>
        </is>
      </c>
      <c r="P178" t="inlineStr">
        <is>
          <t>EN 14988-1 (Safety Standards for High Chairs) - EU ONLY</t>
        </is>
      </c>
      <c r="T178" t="inlineStr">
        <is>
          <t>Solid + Manufactured Wood</t>
        </is>
      </c>
    </row>
    <row r="179">
      <c r="L179" t="inlineStr">
        <is>
          <t>Clobetasol propionate</t>
        </is>
      </c>
      <c r="N179" t="inlineStr">
        <is>
          <t>Portugal</t>
        </is>
      </c>
      <c r="P179" t="inlineStr">
        <is>
          <t>EN 15312 (Safety Standards for Multi-Sport Equipment) - EU ONLY</t>
        </is>
      </c>
      <c r="T179" t="inlineStr">
        <is>
          <t>Stainless Steel (18/10)</t>
        </is>
      </c>
    </row>
    <row r="180">
      <c r="L180" t="inlineStr">
        <is>
          <t>Clofibrate</t>
        </is>
      </c>
      <c r="N180" t="inlineStr">
        <is>
          <t>Puerto Rico</t>
        </is>
      </c>
      <c r="P180" t="inlineStr">
        <is>
          <t>EN 1725 (Safety Standards for Adult Beds) - EU ONLY</t>
        </is>
      </c>
      <c r="T180" t="inlineStr">
        <is>
          <t>Slate</t>
        </is>
      </c>
    </row>
    <row r="181">
      <c r="L181" t="inlineStr">
        <is>
          <t>Clomiphene citrate</t>
        </is>
      </c>
      <c r="N181" t="inlineStr">
        <is>
          <t>Qatar</t>
        </is>
      </c>
      <c r="P181" t="inlineStr">
        <is>
          <t>EN 1930 (Standards for Child Gates and Safety Barriers) - EU ONLY</t>
        </is>
      </c>
      <c r="T181" t="inlineStr">
        <is>
          <t>Travertine</t>
        </is>
      </c>
    </row>
    <row r="182">
      <c r="L182" t="inlineStr">
        <is>
          <t>Clorazepate dipotassium</t>
        </is>
      </c>
      <c r="N182" t="inlineStr">
        <is>
          <t>Reunion</t>
        </is>
      </c>
      <c r="P182" t="inlineStr">
        <is>
          <t>EN 200:2008 Certified</t>
        </is>
      </c>
      <c r="T182" t="inlineStr">
        <is>
          <t>Stainless Steel (18/8)</t>
        </is>
      </c>
    </row>
    <row r="183">
      <c r="L183" t="inlineStr">
        <is>
          <t>CMNP (pyrazachlor)</t>
        </is>
      </c>
      <c r="N183" t="inlineStr">
        <is>
          <t>Romania</t>
        </is>
      </c>
      <c r="P183" t="inlineStr">
        <is>
          <t>EN 50291-1 (Standards for Smoke Detectors and CO Detectors) - EU ONLY</t>
        </is>
      </c>
      <c r="T183" t="inlineStr">
        <is>
          <t>Sterling Silver</t>
        </is>
      </c>
    </row>
    <row r="184">
      <c r="L184" t="inlineStr">
        <is>
          <t>Cobalt metal powder</t>
        </is>
      </c>
      <c r="N184" t="inlineStr">
        <is>
          <t>Russian Federation</t>
        </is>
      </c>
      <c r="P184" t="inlineStr">
        <is>
          <t>EN 54-12 (Standards for Smoke Detectors and CO Detectors) - EU ONLY</t>
        </is>
      </c>
      <c r="T184" t="inlineStr">
        <is>
          <t>Terrycloth</t>
        </is>
      </c>
    </row>
    <row r="185">
      <c r="L185" t="inlineStr">
        <is>
          <t>Cobalt [II] oxide</t>
        </is>
      </c>
      <c r="N185" t="inlineStr">
        <is>
          <t>Rwanda</t>
        </is>
      </c>
      <c r="P185" t="inlineStr">
        <is>
          <t>EN 71 Compliant</t>
        </is>
      </c>
      <c r="T185" t="inlineStr">
        <is>
          <t>Stone</t>
        </is>
      </c>
    </row>
    <row r="186">
      <c r="L186" t="inlineStr">
        <is>
          <t>Cobalt sulfate</t>
        </is>
      </c>
      <c r="N186" t="inlineStr">
        <is>
          <t>Saint Barthélemy</t>
        </is>
      </c>
      <c r="P186" t="inlineStr">
        <is>
          <t>EN 71-14:2018 Compliant</t>
        </is>
      </c>
      <c r="T186" t="inlineStr">
        <is>
          <t>Terracotta</t>
        </is>
      </c>
    </row>
    <row r="187">
      <c r="L187" t="inlineStr">
        <is>
          <t>Cobalt sulfate heptahydrate</t>
        </is>
      </c>
      <c r="N187" t="inlineStr">
        <is>
          <t>Saint Helena</t>
        </is>
      </c>
      <c r="P187" t="inlineStr">
        <is>
          <t>EN 747-1 (Standards for Childrens Bunk Beds) - EU ONLY</t>
        </is>
      </c>
      <c r="T187" t="inlineStr">
        <is>
          <t>Synthetic</t>
        </is>
      </c>
    </row>
    <row r="188">
      <c r="L188" t="inlineStr">
        <is>
          <t>Cocaine</t>
        </is>
      </c>
      <c r="N188" t="inlineStr">
        <is>
          <t>Saint Kitts and Nevis</t>
        </is>
      </c>
      <c r="P188" t="inlineStr">
        <is>
          <t>EN 748 (Safety Standards for Football Goals) - EU ONLY</t>
        </is>
      </c>
      <c r="T188" t="inlineStr">
        <is>
          <t>Thermoplastic</t>
        </is>
      </c>
    </row>
    <row r="189">
      <c r="L189" t="inlineStr">
        <is>
          <t>Coconut oil diethanolamine condensate (cocamide diethanolamine)</t>
        </is>
      </c>
      <c r="N189" t="inlineStr">
        <is>
          <t>Saint Lucia</t>
        </is>
      </c>
      <c r="P189" t="inlineStr">
        <is>
          <t>EN 997:2018</t>
        </is>
      </c>
      <c r="T189" t="inlineStr">
        <is>
          <t>Tencel</t>
        </is>
      </c>
    </row>
    <row r="190">
      <c r="L190" t="inlineStr">
        <is>
          <t>Codeine phosphate</t>
        </is>
      </c>
      <c r="N190" t="inlineStr">
        <is>
          <t>Saint Martin</t>
        </is>
      </c>
      <c r="P190" t="inlineStr">
        <is>
          <t>Energy Label Type</t>
        </is>
      </c>
      <c r="T190" t="inlineStr">
        <is>
          <t>Stoneware</t>
        </is>
      </c>
    </row>
    <row r="191">
      <c r="L191" t="inlineStr">
        <is>
          <t>Coke oven emissions</t>
        </is>
      </c>
      <c r="N191" t="inlineStr">
        <is>
          <t>Saint Pierre and Miquelon</t>
        </is>
      </c>
      <c r="P191" t="inlineStr">
        <is>
          <t>Energy Policy Act 1992 Compliant</t>
        </is>
      </c>
      <c r="T191" t="inlineStr">
        <is>
          <t>Tempered Glass</t>
        </is>
      </c>
    </row>
    <row r="192">
      <c r="L192" t="inlineStr">
        <is>
          <t>Colchicine</t>
        </is>
      </c>
      <c r="N192" t="inlineStr">
        <is>
          <t>Saint Vincent and the Grenadines</t>
        </is>
      </c>
      <c r="P192" t="inlineStr">
        <is>
          <t>ENERGY STAR Certified</t>
        </is>
      </c>
      <c r="T192" t="inlineStr">
        <is>
          <t>Tinsel</t>
        </is>
      </c>
    </row>
    <row r="193">
      <c r="L193" t="inlineStr">
        <is>
          <t>Conjugated estrogens</t>
        </is>
      </c>
      <c r="N193" t="inlineStr">
        <is>
          <t>Samoa</t>
        </is>
      </c>
      <c r="P193" t="inlineStr">
        <is>
          <t>EPA Compliant</t>
        </is>
      </c>
      <c r="T193" t="inlineStr">
        <is>
          <t>Steel</t>
        </is>
      </c>
    </row>
    <row r="194">
      <c r="L194" t="inlineStr">
        <is>
          <t>Creosotes</t>
        </is>
      </c>
      <c r="N194" t="inlineStr">
        <is>
          <t>San Marino</t>
        </is>
      </c>
      <c r="P194" t="inlineStr">
        <is>
          <t>EPA Pesticide Registration Number</t>
        </is>
      </c>
      <c r="T194" t="inlineStr">
        <is>
          <t>Solid Wood</t>
        </is>
      </c>
    </row>
    <row r="195">
      <c r="L195" t="inlineStr">
        <is>
          <t>p-Cresidine</t>
        </is>
      </c>
      <c r="N195" t="inlineStr">
        <is>
          <t>Sao Tome and Principe</t>
        </is>
      </c>
      <c r="P195" t="inlineStr">
        <is>
          <t>EPP Compliant</t>
        </is>
      </c>
      <c r="T195" t="inlineStr">
        <is>
          <t>Solid Surface</t>
        </is>
      </c>
    </row>
    <row r="196">
      <c r="L196" t="inlineStr">
        <is>
          <t>Cumene</t>
        </is>
      </c>
      <c r="N196" t="inlineStr">
        <is>
          <t>Saudi Arabia</t>
        </is>
      </c>
      <c r="P196" t="inlineStr">
        <is>
          <t>ETL Listed</t>
        </is>
      </c>
      <c r="T196" t="inlineStr">
        <is>
          <t>Tritan Plastic</t>
        </is>
      </c>
    </row>
    <row r="197">
      <c r="L197" t="inlineStr">
        <is>
          <t>Cupferron</t>
        </is>
      </c>
      <c r="N197" t="inlineStr">
        <is>
          <t>Senegal</t>
        </is>
      </c>
      <c r="P197" t="inlineStr">
        <is>
          <t>EU 2018/1513</t>
        </is>
      </c>
      <c r="T197" t="inlineStr">
        <is>
          <t>Sunbrella®</t>
        </is>
      </c>
    </row>
    <row r="198">
      <c r="L198" t="inlineStr">
        <is>
          <t>Cyanazine</t>
        </is>
      </c>
      <c r="N198" t="inlineStr">
        <is>
          <t>Serbia</t>
        </is>
      </c>
      <c r="P198" t="inlineStr">
        <is>
          <t>EU Energy Efficiency Class</t>
        </is>
      </c>
      <c r="T198" t="inlineStr">
        <is>
          <t>Upholstered</t>
        </is>
      </c>
    </row>
    <row r="199">
      <c r="L199" t="inlineStr">
        <is>
          <t>Cycasin</t>
        </is>
      </c>
      <c r="N199" t="inlineStr">
        <is>
          <t>Seychelles</t>
        </is>
      </c>
      <c r="P199" t="inlineStr">
        <is>
          <t>EuroLatex ECO-Standard</t>
        </is>
      </c>
      <c r="T199" t="inlineStr">
        <is>
          <t>Velour</t>
        </is>
      </c>
    </row>
    <row r="200">
      <c r="L200" t="inlineStr">
        <is>
          <t>Cycloate</t>
        </is>
      </c>
      <c r="N200" t="inlineStr">
        <is>
          <t>Sierra Leone</t>
        </is>
      </c>
      <c r="P200" t="inlineStr">
        <is>
          <t>FCC Compliant</t>
        </is>
      </c>
      <c r="T200" t="inlineStr">
        <is>
          <t>Twig</t>
        </is>
      </c>
    </row>
    <row r="201">
      <c r="L201" t="inlineStr">
        <is>
          <t>Cycloheximide</t>
        </is>
      </c>
      <c r="N201" t="inlineStr">
        <is>
          <t>Singapore</t>
        </is>
      </c>
      <c r="P201" t="inlineStr">
        <is>
          <t>FCC Part 15 Compliant</t>
        </is>
      </c>
      <c r="T201" t="inlineStr">
        <is>
          <t>Velvet</t>
        </is>
      </c>
    </row>
    <row r="202">
      <c r="L202" t="inlineStr">
        <is>
          <t>Cyclopenta[cd]pyrene</t>
        </is>
      </c>
      <c r="N202" t="inlineStr">
        <is>
          <t>Slovakia</t>
        </is>
      </c>
      <c r="P202" t="inlineStr">
        <is>
          <t>FCC Part 68 Compliant</t>
        </is>
      </c>
      <c r="T202" t="inlineStr">
        <is>
          <t>Vitreous China</t>
        </is>
      </c>
    </row>
    <row r="203">
      <c r="L203" t="inlineStr">
        <is>
          <t>Cyclophosphamide (anhydrous)</t>
        </is>
      </c>
      <c r="N203" t="inlineStr">
        <is>
          <t>Slovenia</t>
        </is>
      </c>
      <c r="P203" t="inlineStr">
        <is>
          <t>FIRA Certified</t>
        </is>
      </c>
      <c r="T203" t="inlineStr">
        <is>
          <t>Urethane</t>
        </is>
      </c>
    </row>
    <row r="204">
      <c r="L204" t="inlineStr">
        <is>
          <t>Cyclophosphamide (hydrated)</t>
        </is>
      </c>
      <c r="N204" t="inlineStr">
        <is>
          <t>Solomon Islands</t>
        </is>
      </c>
      <c r="P204" t="inlineStr">
        <is>
          <t>Fire Rated</t>
        </is>
      </c>
      <c r="T204" t="inlineStr">
        <is>
          <t>Zinc</t>
        </is>
      </c>
    </row>
    <row r="205">
      <c r="L205" t="inlineStr">
        <is>
          <t>Cyhexatin</t>
        </is>
      </c>
      <c r="N205" t="inlineStr">
        <is>
          <t>Somalia</t>
        </is>
      </c>
      <c r="P205" t="inlineStr">
        <is>
          <t>FISP Certified</t>
        </is>
      </c>
      <c r="T205" t="inlineStr">
        <is>
          <t>Rattan</t>
        </is>
      </c>
    </row>
    <row r="206">
      <c r="L206" t="inlineStr">
        <is>
          <t>Cytarabine</t>
        </is>
      </c>
      <c r="N206" t="inlineStr">
        <is>
          <t>South Africa</t>
        </is>
      </c>
      <c r="P206" t="inlineStr">
        <is>
          <t>FloorScore Certification</t>
        </is>
      </c>
      <c r="T206" t="inlineStr">
        <is>
          <t>Turkish Cotton</t>
        </is>
      </c>
    </row>
    <row r="207">
      <c r="L207" t="inlineStr">
        <is>
          <t>Cytembena</t>
        </is>
      </c>
      <c r="N207" t="inlineStr">
        <is>
          <t>South Georgia and the South Sandwich Islands</t>
        </is>
      </c>
      <c r="P207" t="inlineStr">
        <is>
          <t>FM Approved</t>
        </is>
      </c>
      <c r="T207" t="inlineStr">
        <is>
          <t>Vinyl</t>
        </is>
      </c>
    </row>
    <row r="208">
      <c r="L208" t="inlineStr">
        <is>
          <t>D&amp;C Orange No. 17</t>
        </is>
      </c>
      <c r="N208" t="inlineStr">
        <is>
          <t>Spain</t>
        </is>
      </c>
      <c r="P208" t="inlineStr">
        <is>
          <t>Food Safe</t>
        </is>
      </c>
      <c r="T208" t="inlineStr">
        <is>
          <t>Wrought Iron</t>
        </is>
      </c>
    </row>
    <row r="209">
      <c r="L209" t="inlineStr">
        <is>
          <t>D&amp;C Red No. 8</t>
        </is>
      </c>
      <c r="N209" t="inlineStr">
        <is>
          <t>Sri Lanka</t>
        </is>
      </c>
      <c r="P209" t="inlineStr">
        <is>
          <t>FSC Certified</t>
        </is>
      </c>
      <c r="T209" t="inlineStr">
        <is>
          <t>Wood</t>
        </is>
      </c>
    </row>
    <row r="210">
      <c r="L210" t="inlineStr">
        <is>
          <t>D&amp;C Red No. 9</t>
        </is>
      </c>
      <c r="N210" t="inlineStr">
        <is>
          <t>Sudan</t>
        </is>
      </c>
      <c r="P210" t="inlineStr">
        <is>
          <t>General Certificate of Conformity (GCC)</t>
        </is>
      </c>
      <c r="T210" t="inlineStr">
        <is>
          <t>Wool</t>
        </is>
      </c>
    </row>
    <row r="211">
      <c r="L211" t="inlineStr">
        <is>
          <t>D&amp;C Red No. 19</t>
        </is>
      </c>
      <c r="N211" t="inlineStr">
        <is>
          <t>Suriname</t>
        </is>
      </c>
      <c r="P211" t="inlineStr">
        <is>
          <t>Glass Doors and Enclosures Regulations SOR/2016-174</t>
        </is>
      </c>
      <c r="T211" t="inlineStr">
        <is>
          <t>Wire</t>
        </is>
      </c>
    </row>
    <row r="212">
      <c r="L212" t="inlineStr">
        <is>
          <t>Dacarbazine</t>
        </is>
      </c>
      <c r="N212" t="inlineStr">
        <is>
          <t>Svalbard and Jan Mayen</t>
        </is>
      </c>
      <c r="P212" t="inlineStr">
        <is>
          <t>Glazed Ceramics and Glassware Regulations SOR/2016-175</t>
        </is>
      </c>
      <c r="T212" t="inlineStr">
        <is>
          <t>Zinc Alloy</t>
        </is>
      </c>
    </row>
    <row r="213">
      <c r="L213" t="inlineStr">
        <is>
          <t>Daminozide</t>
        </is>
      </c>
      <c r="N213" t="inlineStr">
        <is>
          <t>Swaziland</t>
        </is>
      </c>
      <c r="P213" t="inlineStr">
        <is>
          <t>GOLS 3.0 (Global Organic Latex Standard) Certified</t>
        </is>
      </c>
      <c r="T213" t="inlineStr">
        <is>
          <t>Walnut Wood</t>
        </is>
      </c>
    </row>
    <row r="214">
      <c r="L214" t="inlineStr">
        <is>
          <t>Danazol</t>
        </is>
      </c>
      <c r="N214" t="inlineStr">
        <is>
          <t>Sweden</t>
        </is>
      </c>
      <c r="P214" t="inlineStr">
        <is>
          <t>Goodweave Certified</t>
        </is>
      </c>
      <c r="T214" t="inlineStr">
        <is>
          <t>Viscose</t>
        </is>
      </c>
    </row>
    <row r="215">
      <c r="L215" t="inlineStr">
        <is>
          <t>Dantron (Chrysazin; 1,8-Dihydroxyanthraquinone)</t>
        </is>
      </c>
      <c r="N215" t="inlineStr">
        <is>
          <t>Switzerland</t>
        </is>
      </c>
      <c r="P215" t="inlineStr">
        <is>
          <t>GOTS 5.0 (Global Organic Textile Standard) Certified</t>
        </is>
      </c>
      <c r="T215" t="inlineStr">
        <is>
          <t>Wicker</t>
        </is>
      </c>
    </row>
    <row r="216">
      <c r="L216" t="inlineStr">
        <is>
          <t>Daunomycin</t>
        </is>
      </c>
      <c r="N216" t="inlineStr">
        <is>
          <t>Syrian Arab Republic</t>
        </is>
      </c>
      <c r="P216" t="inlineStr">
        <is>
          <t>Green Public Procurement Certified</t>
        </is>
      </c>
      <c r="T216" t="inlineStr">
        <is>
          <t>Wool / Felt</t>
        </is>
      </c>
    </row>
    <row r="217">
      <c r="L217" t="inlineStr">
        <is>
          <t xml:space="preserve">Daunorubicin hydrochloride </t>
        </is>
      </c>
      <c r="N217" t="inlineStr">
        <is>
          <t>Taiwan</t>
        </is>
      </c>
      <c r="P217" t="inlineStr">
        <is>
          <t>GREENGUARD Certified</t>
        </is>
      </c>
      <c r="T217" t="inlineStr">
        <is>
          <t>Charcoal</t>
        </is>
      </c>
    </row>
    <row r="218">
      <c r="L218" t="inlineStr">
        <is>
          <t>2,4-D butyric acid</t>
        </is>
      </c>
      <c r="N218" t="inlineStr">
        <is>
          <t>Tajikistan</t>
        </is>
      </c>
      <c r="P218" t="inlineStr">
        <is>
          <t>GREENGUARD Gold Certified</t>
        </is>
      </c>
      <c r="T218" t="inlineStr">
        <is>
          <t>Enamel Coated Steel</t>
        </is>
      </c>
    </row>
    <row r="219">
      <c r="L219" t="inlineStr">
        <is>
          <t>DDD (Dichlorodiphenyl-dichloroethane)</t>
        </is>
      </c>
      <c r="N219" t="inlineStr">
        <is>
          <t>Tanzania, United Republic of</t>
        </is>
      </c>
      <c r="P219" t="inlineStr">
        <is>
          <t>GS (Geprüfte Sicherheit) verzeichnet</t>
        </is>
      </c>
      <c r="T219" t="inlineStr">
        <is>
          <t>Vinyl Coated Steel</t>
        </is>
      </c>
    </row>
    <row r="220">
      <c r="L220" t="inlineStr">
        <is>
          <t>DDE (Dichlorodiphenyl-dichloroethylene)</t>
        </is>
      </c>
      <c r="N220" t="inlineStr">
        <is>
          <t>Thailand</t>
        </is>
      </c>
      <c r="P220" t="inlineStr">
        <is>
          <t>GSA Approved</t>
        </is>
      </c>
      <c r="T220" t="inlineStr">
        <is>
          <t>Mirror</t>
        </is>
      </c>
    </row>
    <row r="221">
      <c r="L221" t="inlineStr">
        <is>
          <t>DDT (Dichlorodiphenyl-trichloroethane)</t>
        </is>
      </c>
      <c r="N221" t="inlineStr">
        <is>
          <t>Timor-Leste</t>
        </is>
      </c>
      <c r="P221" t="inlineStr">
        <is>
          <t>Health Canada - SOR/2016-176 Compliant</t>
        </is>
      </c>
      <c r="T221" t="inlineStr">
        <is>
          <t>Water Hyacinth</t>
        </is>
      </c>
    </row>
    <row r="222">
      <c r="L222" t="inlineStr">
        <is>
          <t>o,p'-DDT</t>
        </is>
      </c>
      <c r="N222" t="inlineStr">
        <is>
          <t>Togo</t>
        </is>
      </c>
      <c r="P222" t="inlineStr">
        <is>
          <t>Health Canada - SOR/2016-179 Compliant</t>
        </is>
      </c>
    </row>
    <row r="223">
      <c r="L223" t="inlineStr">
        <is>
          <t>p,p'-DDT</t>
        </is>
      </c>
      <c r="N223" t="inlineStr">
        <is>
          <t>Tokelau</t>
        </is>
      </c>
      <c r="P223" t="inlineStr">
        <is>
          <t>Health Canada - SOR/2016-183 Compliant</t>
        </is>
      </c>
    </row>
    <row r="224">
      <c r="L224" t="inlineStr">
        <is>
          <t>DDVP (Dichlorvos)</t>
        </is>
      </c>
      <c r="N224" t="inlineStr">
        <is>
          <t>Tonga</t>
        </is>
      </c>
      <c r="P224" t="inlineStr">
        <is>
          <t>Health Canada Compliant</t>
        </is>
      </c>
    </row>
    <row r="225">
      <c r="L225" t="inlineStr">
        <is>
          <t>Demeclocycline hydrochloride (internal use)</t>
        </is>
      </c>
      <c r="N225" t="inlineStr">
        <is>
          <t>Trinidad and Tobago</t>
        </is>
      </c>
      <c r="P225" t="inlineStr">
        <is>
          <t>HFES 100 Certified Ergonomic</t>
        </is>
      </c>
    </row>
    <row r="226">
      <c r="L226" t="inlineStr">
        <is>
          <t>Des-ethyl atrazine (DEA)</t>
        </is>
      </c>
      <c r="N226" t="inlineStr">
        <is>
          <t>Tunisia</t>
        </is>
      </c>
      <c r="P226" t="inlineStr">
        <is>
          <t>HVI 2100 Certified</t>
        </is>
      </c>
    </row>
    <row r="227">
      <c r="L227" t="inlineStr">
        <is>
          <t>Des-isopropyl atrazine (DIA)</t>
        </is>
      </c>
      <c r="N227" t="inlineStr">
        <is>
          <t>Turkey</t>
        </is>
      </c>
      <c r="P227" t="inlineStr">
        <is>
          <t>HVI Certified</t>
        </is>
      </c>
    </row>
    <row r="228">
      <c r="L228" t="inlineStr">
        <is>
          <t>N,N'-Diacetylbenzidine</t>
        </is>
      </c>
      <c r="N228" t="inlineStr">
        <is>
          <t>Turkmenistan</t>
        </is>
      </c>
      <c r="P228" t="inlineStr">
        <is>
          <t>IAPMO Certified</t>
        </is>
      </c>
    </row>
    <row r="229">
      <c r="L229" t="inlineStr">
        <is>
          <t>2,4-Diaminoanisole</t>
        </is>
      </c>
      <c r="N229" t="inlineStr">
        <is>
          <t>Turks and Caicos Islands</t>
        </is>
      </c>
      <c r="P229" t="inlineStr">
        <is>
          <t>IATA Compliant</t>
        </is>
      </c>
    </row>
    <row r="230">
      <c r="L230" t="inlineStr">
        <is>
          <t>2,4-Diaminoanisole sulfate</t>
        </is>
      </c>
      <c r="N230" t="inlineStr">
        <is>
          <t>Tuvalu</t>
        </is>
      </c>
      <c r="P230" t="inlineStr">
        <is>
          <t>IEC/EN 62471 Compliant</t>
        </is>
      </c>
    </row>
    <row r="231">
      <c r="L231" t="inlineStr">
        <is>
          <t>2,4-Diamino-6-chloro-s-triazine (DACT)</t>
        </is>
      </c>
      <c r="N231" t="inlineStr">
        <is>
          <t>Uganda</t>
        </is>
      </c>
      <c r="P231" t="inlineStr">
        <is>
          <t>Indoor Air Quality Certified</t>
        </is>
      </c>
    </row>
    <row r="232">
      <c r="L232" t="inlineStr">
        <is>
          <t>4,4'-Diaminodiphenyl ether (4,4'-Oxydianiline)</t>
        </is>
      </c>
      <c r="N232" t="inlineStr">
        <is>
          <t>Ukraine</t>
        </is>
      </c>
      <c r="P232" t="inlineStr">
        <is>
          <t>IP Rating</t>
        </is>
      </c>
    </row>
    <row r="233">
      <c r="L233" t="inlineStr">
        <is>
          <t>2,4-Diaminotoluene</t>
        </is>
      </c>
      <c r="N233" t="inlineStr">
        <is>
          <t>United Arab Emirates</t>
        </is>
      </c>
      <c r="P233" t="inlineStr">
        <is>
          <t>IPEMA Certified</t>
        </is>
      </c>
    </row>
    <row r="234">
      <c r="L234" t="inlineStr">
        <is>
          <t>Diazepam</t>
        </is>
      </c>
      <c r="N234" t="inlineStr">
        <is>
          <t>United Kingdom</t>
        </is>
      </c>
      <c r="P234" t="inlineStr">
        <is>
          <t>ISO 14000 Certified</t>
        </is>
      </c>
    </row>
    <row r="235">
      <c r="L235" t="inlineStr">
        <is>
          <t>Diazoaminobenzene</t>
        </is>
      </c>
      <c r="N235" t="inlineStr">
        <is>
          <t>United States Minor Outlying Islands</t>
        </is>
      </c>
      <c r="P235" t="inlineStr">
        <is>
          <t>ISO 14001 Certified</t>
        </is>
      </c>
    </row>
    <row r="236">
      <c r="L236" t="inlineStr">
        <is>
          <t>Diazoxide</t>
        </is>
      </c>
      <c r="N236" t="inlineStr">
        <is>
          <t>Uruguay</t>
        </is>
      </c>
      <c r="P236" t="inlineStr">
        <is>
          <t>ISO 9000 Certified</t>
        </is>
      </c>
    </row>
    <row r="237">
      <c r="L237" t="inlineStr">
        <is>
          <t>Dibenz[a,h]acridine</t>
        </is>
      </c>
      <c r="N237" t="inlineStr">
        <is>
          <t>Uzbekistan</t>
        </is>
      </c>
      <c r="P237" t="inlineStr">
        <is>
          <t>ISO 9001 Certified</t>
        </is>
      </c>
    </row>
    <row r="238">
      <c r="L238" t="inlineStr">
        <is>
          <t>Dibenz[a,j]acridine</t>
        </is>
      </c>
      <c r="N238" t="inlineStr">
        <is>
          <t>Vanuatu</t>
        </is>
      </c>
      <c r="P238" t="inlineStr">
        <is>
          <t>ISTA 1A Certified</t>
        </is>
      </c>
    </row>
    <row r="239">
      <c r="L239" t="inlineStr">
        <is>
          <t>Dibenzanthracenes</t>
        </is>
      </c>
      <c r="N239" t="inlineStr">
        <is>
          <t>Venezuela</t>
        </is>
      </c>
      <c r="P239" t="inlineStr">
        <is>
          <t>ISTA 3A Certified</t>
        </is>
      </c>
    </row>
    <row r="240">
      <c r="L240" t="inlineStr">
        <is>
          <t>Dibenz[a,c]anthracene</t>
        </is>
      </c>
      <c r="N240" t="inlineStr">
        <is>
          <t>Vietnam</t>
        </is>
      </c>
      <c r="P240" t="inlineStr">
        <is>
          <t>ISTA 3A or 6A Certified</t>
        </is>
      </c>
    </row>
    <row r="241">
      <c r="L241" t="inlineStr">
        <is>
          <t>Dibenz[a,h]anthracene</t>
        </is>
      </c>
      <c r="N241" t="inlineStr">
        <is>
          <t>Virgin Islands, British</t>
        </is>
      </c>
      <c r="P241" t="inlineStr">
        <is>
          <t>ISTA1ACertified</t>
        </is>
      </c>
    </row>
    <row r="242">
      <c r="L242" t="inlineStr">
        <is>
          <t>Dibenz[a,j]anthracene</t>
        </is>
      </c>
      <c r="N242" t="inlineStr">
        <is>
          <t>Virgin Islands, U.S.</t>
        </is>
      </c>
      <c r="P242" t="inlineStr">
        <is>
          <t>ISTA3Aor6ACertified</t>
        </is>
      </c>
    </row>
    <row r="243">
      <c r="L243" t="inlineStr">
        <is>
          <t>7H-Dibenzo[c,g]carbazole</t>
        </is>
      </c>
      <c r="N243" t="inlineStr">
        <is>
          <t>Wallis and Futuna</t>
        </is>
      </c>
      <c r="P243" t="inlineStr">
        <is>
          <t>ITSF Compliant</t>
        </is>
      </c>
    </row>
    <row r="244">
      <c r="L244" t="inlineStr">
        <is>
          <t>Dibenzo[a,e]pyrene</t>
        </is>
      </c>
      <c r="N244" t="inlineStr">
        <is>
          <t>Western Sahara</t>
        </is>
      </c>
      <c r="P244" t="inlineStr">
        <is>
          <t>ITTF Approved</t>
        </is>
      </c>
    </row>
    <row r="245">
      <c r="L245" t="inlineStr">
        <is>
          <t>Dibenzo[a,h]pyrene</t>
        </is>
      </c>
      <c r="N245" t="inlineStr">
        <is>
          <t>Yemen</t>
        </is>
      </c>
      <c r="P245" t="inlineStr">
        <is>
          <t>ITTO Compliant</t>
        </is>
      </c>
    </row>
    <row r="246">
      <c r="L246" t="inlineStr">
        <is>
          <t>Dibenzo[a,i]pyrene</t>
        </is>
      </c>
      <c r="N246" t="inlineStr">
        <is>
          <t>Zambia</t>
        </is>
      </c>
      <c r="P246" t="inlineStr">
        <is>
          <t>Janka Hardness Rating (PSI)</t>
        </is>
      </c>
    </row>
    <row r="247">
      <c r="L247" t="inlineStr">
        <is>
          <t>Dibenzo[a,l]pyrene</t>
        </is>
      </c>
      <c r="N247" t="inlineStr">
        <is>
          <t>Zimbabwe</t>
        </is>
      </c>
      <c r="P247" t="inlineStr">
        <is>
          <t>JPMA Certified</t>
        </is>
      </c>
    </row>
    <row r="248">
      <c r="L248" t="inlineStr">
        <is>
          <t>Dibromoacetic acid</t>
        </is>
      </c>
      <c r="N248" t="inlineStr">
        <is>
          <t>United States - APO/FPO/DPO</t>
        </is>
      </c>
      <c r="P248" t="inlineStr">
        <is>
          <t>Kettles Regulations SOR/2016-181</t>
        </is>
      </c>
    </row>
    <row r="249">
      <c r="L249" t="inlineStr">
        <is>
          <t>Dibromoacetonitrile</t>
        </is>
      </c>
      <c r="P249" t="inlineStr">
        <is>
          <t>Lacey Act Compliant</t>
        </is>
      </c>
    </row>
    <row r="250">
      <c r="L250" t="inlineStr">
        <is>
          <t>2,3-Dibromo-1-propanol</t>
        </is>
      </c>
      <c r="P250" t="inlineStr">
        <is>
          <t>LM-79 Certified</t>
        </is>
      </c>
    </row>
    <row r="251">
      <c r="L251" t="inlineStr">
        <is>
          <t>Dichloroacetic acid</t>
        </is>
      </c>
      <c r="P251" t="inlineStr">
        <is>
          <t>LM-80 Certified</t>
        </is>
      </c>
    </row>
    <row r="252">
      <c r="L252" t="inlineStr">
        <is>
          <t>p-Dichlorobenzene</t>
        </is>
      </c>
      <c r="P252" t="inlineStr">
        <is>
          <t>Low Lead Compliant</t>
        </is>
      </c>
    </row>
    <row r="253">
      <c r="L253" t="inlineStr">
        <is>
          <t>3,3'-Dichlorobenzidine</t>
        </is>
      </c>
      <c r="P253" t="inlineStr">
        <is>
          <t>Mattress Flammability Testing - Public Occupancy Use</t>
        </is>
      </c>
    </row>
    <row r="254">
      <c r="L254" t="inlineStr">
        <is>
          <t>3,3'-Dichlorobenzidine dihydrochloride</t>
        </is>
      </c>
      <c r="P254" t="inlineStr">
        <is>
          <t>MERV Rating</t>
        </is>
      </c>
    </row>
    <row r="255">
      <c r="L255" t="inlineStr">
        <is>
          <t>1,1-Dichloro-2,2-bis(p-chloropheny)ethylene (DDE)</t>
        </is>
      </c>
      <c r="P255" t="inlineStr">
        <is>
          <t>MET Listed</t>
        </is>
      </c>
    </row>
    <row r="256">
      <c r="L256" t="inlineStr">
        <is>
          <t>1,4-Dichloro-2-butene</t>
        </is>
      </c>
      <c r="P256" t="inlineStr">
        <is>
          <t>Minnesota 325F.177 Compliant</t>
        </is>
      </c>
    </row>
    <row r="257">
      <c r="L257" t="inlineStr">
        <is>
          <t>3,3'-Dichloro-4,4'-diamino-diphenyl ether</t>
        </is>
      </c>
      <c r="P257" t="inlineStr">
        <is>
          <t>MOHS - Surface Hardness</t>
        </is>
      </c>
    </row>
    <row r="258">
      <c r="L258" t="inlineStr">
        <is>
          <t>1,1-Dichloroethane</t>
        </is>
      </c>
      <c r="P258" t="inlineStr">
        <is>
          <t>NAECA Certified</t>
        </is>
      </c>
    </row>
    <row r="259">
      <c r="L259" t="inlineStr">
        <is>
          <t>Dichloromethane (Methylene chloride)</t>
        </is>
      </c>
      <c r="P259" t="inlineStr">
        <is>
          <t>NAHB Compliant</t>
        </is>
      </c>
    </row>
    <row r="260">
      <c r="L260" t="inlineStr">
        <is>
          <t>Dichlorophene</t>
        </is>
      </c>
      <c r="P260" t="inlineStr">
        <is>
          <t>NEMA Certified</t>
        </is>
      </c>
    </row>
    <row r="261">
      <c r="L261" t="inlineStr">
        <is>
          <t>Dichlorphenamide</t>
        </is>
      </c>
      <c r="P261" t="inlineStr">
        <is>
          <t>New York City Water Regulation Compliant</t>
        </is>
      </c>
    </row>
    <row r="262">
      <c r="L262" t="inlineStr">
        <is>
          <t>1,2-Dichloropropane</t>
        </is>
      </c>
      <c r="P262" t="inlineStr">
        <is>
          <t>NFPA 211 - Standard for Chimeys/ Fireplaces/ Vents and Solid Fuel-Burning Appliances</t>
        </is>
      </c>
    </row>
    <row r="263">
      <c r="L263" t="inlineStr">
        <is>
          <t>1,3-Dichloro-2-propanol (1,3-DCP)</t>
        </is>
      </c>
      <c r="P263" t="inlineStr">
        <is>
          <t>NFPA 253 or ASTM E648 Compliant</t>
        </is>
      </c>
    </row>
    <row r="264">
      <c r="L264" t="inlineStr">
        <is>
          <t>1,3-Dichloropropene</t>
        </is>
      </c>
      <c r="P264" t="inlineStr">
        <is>
          <t>NFPA Compliant</t>
        </is>
      </c>
    </row>
    <row r="265">
      <c r="L265" t="inlineStr">
        <is>
          <t>Dicumarol</t>
        </is>
      </c>
      <c r="P265" t="inlineStr">
        <is>
          <t>NFSI Certified</t>
        </is>
      </c>
    </row>
    <row r="266">
      <c r="L266" t="inlineStr">
        <is>
          <t>Dieldrin</t>
        </is>
      </c>
      <c r="P266" t="inlineStr">
        <is>
          <t>NOMITE Certified</t>
        </is>
      </c>
    </row>
    <row r="267">
      <c r="L267" t="inlineStr">
        <is>
          <t>Diepoxybutane</t>
        </is>
      </c>
      <c r="P267" t="inlineStr">
        <is>
          <t>NRPA Certified</t>
        </is>
      </c>
    </row>
    <row r="268">
      <c r="L268" t="inlineStr">
        <is>
          <t>Diesel engine exhaust</t>
        </is>
      </c>
      <c r="P268" t="inlineStr">
        <is>
          <t>NSF Certified</t>
        </is>
      </c>
    </row>
    <row r="269">
      <c r="L269" t="inlineStr">
        <is>
          <t>Diethanolamine</t>
        </is>
      </c>
      <c r="P269" t="inlineStr">
        <is>
          <t>NSF/ANSI 184 Certified</t>
        </is>
      </c>
    </row>
    <row r="270">
      <c r="L270" t="inlineStr">
        <is>
          <t>Di(2-ethylhexyl)phthalate (DEHP)</t>
        </is>
      </c>
      <c r="P270" t="inlineStr">
        <is>
          <t>NSF/ANSI 3 Certified</t>
        </is>
      </c>
    </row>
    <row r="271">
      <c r="L271" t="inlineStr">
        <is>
          <t>1,2-Diethylhydrazine</t>
        </is>
      </c>
      <c r="P271" t="inlineStr">
        <is>
          <t>FACTS - NSF/ANSI 336 –Compliant</t>
        </is>
      </c>
    </row>
    <row r="272">
      <c r="L272" t="inlineStr">
        <is>
          <t>Diethylstilbestrol (DES)</t>
        </is>
      </c>
      <c r="P272" t="inlineStr">
        <is>
          <t>NSF/ANSI 61 Certified</t>
        </is>
      </c>
    </row>
    <row r="273">
      <c r="L273" t="inlineStr">
        <is>
          <t>Diethyl sulfate</t>
        </is>
      </c>
      <c r="P273" t="inlineStr">
        <is>
          <t>OEKO-TEX Standard 100 Certified</t>
        </is>
      </c>
    </row>
    <row r="274">
      <c r="L274" t="inlineStr">
        <is>
          <t>Diflunisal</t>
        </is>
      </c>
      <c r="P274" t="inlineStr">
        <is>
          <t>OSHA Compliant</t>
        </is>
      </c>
    </row>
    <row r="275">
      <c r="L275" t="inlineStr">
        <is>
          <t>Diglycidyl resorcinol ether (DGRE)</t>
        </is>
      </c>
      <c r="P275" t="inlineStr">
        <is>
          <t>PAT Tested</t>
        </is>
      </c>
    </row>
    <row r="276">
      <c r="L276" t="inlineStr">
        <is>
          <t xml:space="preserve">Dihydroergotamine mesylate </t>
        </is>
      </c>
      <c r="P276" t="inlineStr">
        <is>
          <t>PEFC Certified</t>
        </is>
      </c>
    </row>
    <row r="277">
      <c r="L277" t="inlineStr">
        <is>
          <t>Dihydrosafrole</t>
        </is>
      </c>
      <c r="P277" t="inlineStr">
        <is>
          <t>PEI Rated</t>
        </is>
      </c>
    </row>
    <row r="278">
      <c r="L278" t="inlineStr">
        <is>
          <t>Diisononyl phthalate (DINP)</t>
        </is>
      </c>
      <c r="P278" t="inlineStr">
        <is>
          <t>PEI Rating</t>
        </is>
      </c>
    </row>
    <row r="279">
      <c r="L279" t="inlineStr">
        <is>
          <t>Diisopropyl sulfate</t>
        </is>
      </c>
      <c r="P279" t="inlineStr">
        <is>
          <t>Responsible Down Standard Certified</t>
        </is>
      </c>
    </row>
    <row r="280">
      <c r="L280" t="inlineStr">
        <is>
          <t>Diltiazem hydrochloride</t>
        </is>
      </c>
      <c r="P280" t="inlineStr">
        <is>
          <t>RoHS Compliant</t>
        </is>
      </c>
    </row>
    <row r="281">
      <c r="L281" t="inlineStr">
        <is>
          <t>3,3'-Dimethoxybenzidine (o-Dianisidine)</t>
        </is>
      </c>
      <c r="P281" t="inlineStr">
        <is>
          <t>SATRA Approved</t>
        </is>
      </c>
    </row>
    <row r="282">
      <c r="L282" t="inlineStr">
        <is>
          <t>3,3'-Dimethoxybenzidine dihydrochloride</t>
        </is>
      </c>
      <c r="P282" t="inlineStr">
        <is>
          <t>SCC Compliant</t>
        </is>
      </c>
    </row>
    <row r="283">
      <c r="L283" t="inlineStr">
        <is>
          <t>3,3'-Dimethoxybenzidine-based dyes metabolized to 3,3'-dimethoxybenzidine</t>
        </is>
      </c>
      <c r="P283" t="inlineStr">
        <is>
          <t>SCS Certified</t>
        </is>
      </c>
    </row>
    <row r="284">
      <c r="L284" t="inlineStr">
        <is>
          <t>N,N-Dimethylacetamide</t>
        </is>
      </c>
      <c r="P284" t="inlineStr">
        <is>
          <t>SDWA Compliant</t>
        </is>
      </c>
    </row>
    <row r="285">
      <c r="L285" t="inlineStr">
        <is>
          <t>4-Dimethylaminoazobenzene</t>
        </is>
      </c>
      <c r="P285" t="inlineStr">
        <is>
          <t>SFI Certified</t>
        </is>
      </c>
    </row>
    <row r="286">
      <c r="L286" t="inlineStr">
        <is>
          <t>trans-2-[(Dimethylamino)methylimino]-5-[2-(5-nitro-2-furyl)vinyl]-1,3,4-oxadiazole</t>
        </is>
      </c>
      <c r="P286" t="inlineStr">
        <is>
          <t>SOR/2016-152 - Canadian Regulation - Cribs/ Cradles and Bassinets</t>
        </is>
      </c>
    </row>
    <row r="287">
      <c r="L287" t="inlineStr">
        <is>
          <t>7,12-Dimethylbenz(a)anthracene</t>
        </is>
      </c>
      <c r="P287" t="inlineStr">
        <is>
          <t>SOR/2016-193 - Surface Coating Materials Regulations</t>
        </is>
      </c>
    </row>
    <row r="288">
      <c r="L288" t="inlineStr">
        <is>
          <t>3,3'-Dimethylbenzidine (ortho-Tolidine)</t>
        </is>
      </c>
      <c r="P288" t="inlineStr">
        <is>
          <t>SOR/2018-83 -Consumer Products Containing Lead Regulations</t>
        </is>
      </c>
    </row>
    <row r="289">
      <c r="L289" t="inlineStr">
        <is>
          <t>3,3'-Dimethylbenzidine-based dyes metabolized to 3,3'-dimethylbenzidine</t>
        </is>
      </c>
      <c r="P289" t="inlineStr">
        <is>
          <t>Stiftung Warentest Note</t>
        </is>
      </c>
    </row>
    <row r="290">
      <c r="L290" t="inlineStr">
        <is>
          <t>3,3'-Dimethylbenzidine dihydrochloride</t>
        </is>
      </c>
      <c r="P290" t="inlineStr">
        <is>
          <t>TAA Compliant</t>
        </is>
      </c>
    </row>
    <row r="291">
      <c r="L291" t="inlineStr">
        <is>
          <t>Dimethylcarbamoyl chloride</t>
        </is>
      </c>
      <c r="P291" t="inlineStr">
        <is>
          <t>TCLP Compliant</t>
        </is>
      </c>
    </row>
    <row r="292">
      <c r="L292" t="inlineStr">
        <is>
          <t>N,N-Dimethylformamide</t>
        </is>
      </c>
      <c r="P292" t="inlineStr">
        <is>
          <t>Textile Flammability Regulations SOR/2016-194</t>
        </is>
      </c>
    </row>
    <row r="293">
      <c r="L293" t="inlineStr">
        <is>
          <t>1,1-Dimethylhydrazine (UDMH)</t>
        </is>
      </c>
      <c r="P293" t="inlineStr">
        <is>
          <t>Textile Labelling and Advertising Regulations (C.R.C./ c. 1551)</t>
        </is>
      </c>
    </row>
    <row r="294">
      <c r="L294" t="inlineStr">
        <is>
          <t>1,2-Dimethylhydrazine</t>
        </is>
      </c>
      <c r="P294" t="inlineStr">
        <is>
          <t>Tipover Restraint Device Included</t>
        </is>
      </c>
    </row>
    <row r="295">
      <c r="L295" t="inlineStr">
        <is>
          <t>2,6-Dimethyl-N-nitrosomorpholine (DMNM)</t>
        </is>
      </c>
      <c r="P295" t="inlineStr">
        <is>
          <t>Title 20 - California Code of Regulations</t>
        </is>
      </c>
    </row>
    <row r="296">
      <c r="L296" t="inlineStr">
        <is>
          <t>Dimethyl sulfate</t>
        </is>
      </c>
      <c r="P296" t="inlineStr">
        <is>
          <t>Title 24 Compliant</t>
        </is>
      </c>
    </row>
    <row r="297">
      <c r="L297" t="inlineStr">
        <is>
          <t>N,N-Dimethyl-p-toluidine</t>
        </is>
      </c>
      <c r="P297" t="inlineStr">
        <is>
          <t>Toys Regulations SOR/2016-195</t>
        </is>
      </c>
    </row>
    <row r="298">
      <c r="L298" t="inlineStr">
        <is>
          <t>Dimethylvinylchloride</t>
        </is>
      </c>
      <c r="P298" t="inlineStr">
        <is>
          <t>TSA Compliant</t>
        </is>
      </c>
    </row>
    <row r="299">
      <c r="L299" t="inlineStr">
        <is>
          <t>Di-n-butyl phthalate (DBP)</t>
        </is>
      </c>
      <c r="P299" t="inlineStr">
        <is>
          <t>TSCA Title VI Compliant (formaldehyde emissions)</t>
        </is>
      </c>
    </row>
    <row r="300">
      <c r="L300" t="inlineStr">
        <is>
          <t>3,7-Dinitrofluoranthene</t>
        </is>
      </c>
      <c r="P300" t="inlineStr">
        <is>
          <t>TÜV Rheinland zertifiziert</t>
        </is>
      </c>
    </row>
    <row r="301">
      <c r="L301" t="inlineStr">
        <is>
          <t>3,9-Dinitrofluoranthene</t>
        </is>
      </c>
      <c r="P301" t="inlineStr">
        <is>
          <t>UL 10B Compliant</t>
        </is>
      </c>
    </row>
    <row r="302">
      <c r="L302" t="inlineStr">
        <is>
          <t>1,3-Dinitropyrene</t>
        </is>
      </c>
      <c r="P302" t="inlineStr">
        <is>
          <t>UL 10C Compliant</t>
        </is>
      </c>
    </row>
    <row r="303">
      <c r="L303" t="inlineStr">
        <is>
          <t>1,6-Dinitropyrene</t>
        </is>
      </c>
      <c r="P303" t="inlineStr">
        <is>
          <t>UL 1678 Listed</t>
        </is>
      </c>
    </row>
    <row r="304">
      <c r="L304" t="inlineStr">
        <is>
          <t>1,8-Dinitropyrene</t>
        </is>
      </c>
      <c r="P304" t="inlineStr">
        <is>
          <t>UL 1951 Listed</t>
        </is>
      </c>
    </row>
    <row r="305">
      <c r="L305" t="inlineStr">
        <is>
          <t>2,4-Dinitrotoluene</t>
        </is>
      </c>
      <c r="P305" t="inlineStr">
        <is>
          <t>UL 2108 Listed</t>
        </is>
      </c>
    </row>
    <row r="306">
      <c r="L306" t="inlineStr">
        <is>
          <t>2,6-Dinitrotoluene</t>
        </is>
      </c>
      <c r="P306" t="inlineStr">
        <is>
          <t>UL 4041 - Safety Standard for Outdoor Furniture</t>
        </is>
      </c>
    </row>
    <row r="307">
      <c r="L307" t="inlineStr">
        <is>
          <t>Dinitrotoluene mixture, 2,4-/2,6-</t>
        </is>
      </c>
      <c r="P307" t="inlineStr">
        <is>
          <t>UL Gas-Fired Mark</t>
        </is>
      </c>
    </row>
    <row r="308">
      <c r="L308" t="inlineStr">
        <is>
          <t>Dinocap</t>
        </is>
      </c>
      <c r="P308" t="inlineStr">
        <is>
          <t>UL Listed</t>
        </is>
      </c>
    </row>
    <row r="309">
      <c r="L309" t="inlineStr">
        <is>
          <t>Dinoseb</t>
        </is>
      </c>
      <c r="P309" t="inlineStr">
        <is>
          <t>UN 38.3 Testing Requirements</t>
        </is>
      </c>
    </row>
    <row r="310">
      <c r="L310" t="inlineStr">
        <is>
          <t>Di-n-propyl isocinchomeronate (MGK Repellent 326)</t>
        </is>
      </c>
      <c r="P310" t="inlineStr">
        <is>
          <t>Uniform Packaging and Labeling Regulations (UPLR) Compliant</t>
        </is>
      </c>
    </row>
    <row r="311">
      <c r="L311" t="inlineStr">
        <is>
          <t>1,4-Dioxane</t>
        </is>
      </c>
      <c r="P311" t="inlineStr">
        <is>
          <t>UPC Certified</t>
        </is>
      </c>
    </row>
    <row r="312">
      <c r="L312" t="inlineStr">
        <is>
          <t>Diphenylhydantoin (Phenytoin)</t>
        </is>
      </c>
      <c r="P312" t="inlineStr">
        <is>
          <t>USATT Approved</t>
        </is>
      </c>
    </row>
    <row r="313">
      <c r="L313" t="inlineStr">
        <is>
          <t>Diphenylhydantoin (Phenytoin), sodium salt</t>
        </is>
      </c>
      <c r="P313" t="inlineStr">
        <is>
          <t>USDA Compliant</t>
        </is>
      </c>
    </row>
    <row r="314">
      <c r="L314" t="inlineStr">
        <is>
          <t>Direct Black 38 (technical grade)</t>
        </is>
      </c>
      <c r="P314" t="inlineStr">
        <is>
          <t>USDA Organic/ NOP Certified</t>
        </is>
      </c>
    </row>
    <row r="315">
      <c r="L315" t="inlineStr">
        <is>
          <t>Direct Blue 6 (technical grade)</t>
        </is>
      </c>
      <c r="P315" t="inlineStr">
        <is>
          <t>USPS Approved</t>
        </is>
      </c>
    </row>
    <row r="316">
      <c r="L316" t="inlineStr">
        <is>
          <t>Direct Brown 95 (technical grade)</t>
        </is>
      </c>
      <c r="P316" t="inlineStr">
        <is>
          <t>Vermont Act 193 Compliant</t>
        </is>
      </c>
    </row>
    <row r="317">
      <c r="L317" t="inlineStr">
        <is>
          <t>Disodium cyanodithioimidocarbonate</t>
        </is>
      </c>
      <c r="P317" t="inlineStr">
        <is>
          <t>Washington Children's Safe Product Act</t>
        </is>
      </c>
    </row>
    <row r="318">
      <c r="L318" t="inlineStr">
        <is>
          <t>Disperse Blue 1</t>
        </is>
      </c>
      <c r="P318" t="inlineStr">
        <is>
          <t>Washington State VIAQ Code Compliant</t>
        </is>
      </c>
    </row>
    <row r="319">
      <c r="L319" t="inlineStr">
        <is>
          <t>Diuron</t>
        </is>
      </c>
      <c r="P319" t="inlineStr">
        <is>
          <t>WQA Gold Seal Certified</t>
        </is>
      </c>
    </row>
    <row r="320">
      <c r="L320" t="inlineStr">
        <is>
          <t>Doxorubicin hydrochloride (Adriamycin)</t>
        </is>
      </c>
      <c r="P320" t="inlineStr">
        <is>
          <t>WW-P-541 Certified</t>
        </is>
      </c>
    </row>
    <row r="321">
      <c r="L321" t="inlineStr">
        <is>
          <t>Doxycycline (internal use)</t>
        </is>
      </c>
      <c r="P321" t="inlineStr">
        <is>
          <t>Safety Data Sheets (SDS)</t>
        </is>
      </c>
    </row>
    <row r="322">
      <c r="L322" t="inlineStr">
        <is>
          <t>Doxycycline calcium (internal use)</t>
        </is>
      </c>
      <c r="P322" t="inlineStr">
        <is>
          <t>Canadian Energy Label (EnerGuide)</t>
        </is>
      </c>
    </row>
    <row r="323">
      <c r="L323" t="inlineStr">
        <is>
          <t>Doxycycline hyclate (internal use)</t>
        </is>
      </c>
      <c r="P323" t="inlineStr">
        <is>
          <t>GS Marked</t>
        </is>
      </c>
    </row>
    <row r="324">
      <c r="L324" t="inlineStr">
        <is>
          <t>Doxycycline monohydrate (internal use)</t>
        </is>
      </c>
      <c r="P324" t="inlineStr">
        <is>
          <t>DIN EN 1860</t>
        </is>
      </c>
    </row>
    <row r="325">
      <c r="L325" t="inlineStr">
        <is>
          <t>Emissions from combustion of coal</t>
        </is>
      </c>
      <c r="P325" t="inlineStr">
        <is>
          <t>EN 17072:2018</t>
        </is>
      </c>
    </row>
    <row r="326">
      <c r="L326" t="inlineStr">
        <is>
          <t>Emissions from high-temperature unrefined rapeseed oil</t>
        </is>
      </c>
      <c r="P326" t="inlineStr">
        <is>
          <t>UKCA Marked</t>
        </is>
      </c>
    </row>
    <row r="327">
      <c r="L327" t="inlineStr">
        <is>
          <t>Endrin</t>
        </is>
      </c>
      <c r="P327" t="inlineStr">
        <is>
          <t>ASTM F1169-19 Compliant - Safety Specification for Full Sized Baby Cribs</t>
        </is>
      </c>
    </row>
    <row r="328">
      <c r="L328" t="inlineStr">
        <is>
          <t>Environmental tobacco smoke (ETS)</t>
        </is>
      </c>
      <c r="P328" t="inlineStr">
        <is>
          <t>ASTM F2933-19 Certified</t>
        </is>
      </c>
    </row>
    <row r="329">
      <c r="L329" t="inlineStr">
        <is>
          <t>Epichlorohydrin</t>
        </is>
      </c>
      <c r="P329" t="inlineStr">
        <is>
          <t>ASTM F1912-19 Certified</t>
        </is>
      </c>
    </row>
    <row r="330">
      <c r="L330" t="inlineStr">
        <is>
          <t>Epoxiconazole</t>
        </is>
      </c>
      <c r="P330" t="inlineStr">
        <is>
          <t>ASTM F2088-20 Certified</t>
        </is>
      </c>
    </row>
    <row r="331">
      <c r="L331" t="inlineStr">
        <is>
          <t>Ergotamine tartrate</t>
        </is>
      </c>
      <c r="P331" t="inlineStr">
        <is>
          <t>ASTM F1427-19 - Consumer Safety Specification for Bunk Beds</t>
        </is>
      </c>
    </row>
    <row r="332">
      <c r="L332" t="inlineStr">
        <is>
          <t>Estradiol 17B</t>
        </is>
      </c>
      <c r="P332" t="inlineStr">
        <is>
          <t>ASTM F2085-19 Certified</t>
        </is>
      </c>
    </row>
    <row r="333">
      <c r="L333" t="inlineStr">
        <is>
          <t>Estragole</t>
        </is>
      </c>
      <c r="P333" t="inlineStr">
        <is>
          <t>ASTM F2613-19 Certified</t>
        </is>
      </c>
    </row>
    <row r="334">
      <c r="L334" t="inlineStr">
        <is>
          <t>Estrogens, steroidal</t>
        </is>
      </c>
      <c r="P334" t="inlineStr">
        <is>
          <t>ASTM F3084-20 Certified</t>
        </is>
      </c>
    </row>
    <row r="335">
      <c r="L335" t="inlineStr">
        <is>
          <t>Estrogen-progestogen (combined) used as menopausal therapy</t>
        </is>
      </c>
      <c r="P335" t="inlineStr">
        <is>
          <t>TÜV SÜD Certified</t>
        </is>
      </c>
    </row>
    <row r="336">
      <c r="L336" t="inlineStr">
        <is>
          <t>Estrone</t>
        </is>
      </c>
      <c r="P336" t="inlineStr">
        <is>
          <t>BS EN 442-1:2014 - Requirements for Radiators and Convectors</t>
        </is>
      </c>
    </row>
    <row r="337">
      <c r="L337" t="inlineStr">
        <is>
          <t>Estropipate</t>
        </is>
      </c>
      <c r="P337" t="inlineStr">
        <is>
          <t>CSA B45.5/IAPMO Z124</t>
        </is>
      </c>
    </row>
    <row r="338">
      <c r="L338" t="inlineStr">
        <is>
          <t>Ethanol in alcoholic beverages</t>
        </is>
      </c>
      <c r="P338" t="inlineStr">
        <is>
          <t>ASTM F3429 / F3429M – 20 Compliant - Standard Specification for Disposable Flammable Liquid Fuel Containers</t>
        </is>
      </c>
    </row>
    <row r="339">
      <c r="L339" t="inlineStr">
        <is>
          <t>Ethinylestradiol</t>
        </is>
      </c>
      <c r="P339" t="inlineStr">
        <is>
          <t>REACH (Registration/ Evaluation/ Authorisation and Restriction of Chemicals) Compliant</t>
        </is>
      </c>
    </row>
    <row r="340">
      <c r="L340" t="inlineStr">
        <is>
          <t>Ethionamide</t>
        </is>
      </c>
      <c r="P340" t="inlineStr">
        <is>
          <t>ASTM F1148-20</t>
        </is>
      </c>
    </row>
    <row r="341">
      <c r="L341" t="inlineStr">
        <is>
          <t>Ethoprop</t>
        </is>
      </c>
      <c r="P341" t="inlineStr">
        <is>
          <t>EN 1130:2019 (Safety Requirements for Cribs and Cradles) - EU ONLY</t>
        </is>
      </c>
    </row>
    <row r="342">
      <c r="L342" t="inlineStr">
        <is>
          <t>Ethyl acrylate</t>
        </is>
      </c>
      <c r="P342" t="inlineStr">
        <is>
          <t>UK General Product Safety Regulation</t>
        </is>
      </c>
    </row>
    <row r="343">
      <c r="L343" t="inlineStr">
        <is>
          <t>Ethyl alcohol in alcoholic beverages</t>
        </is>
      </c>
      <c r="P343" t="inlineStr">
        <is>
          <t>EN 16582 - Requirements for Domestic Swimming Pools</t>
        </is>
      </c>
    </row>
    <row r="344">
      <c r="L344" t="inlineStr">
        <is>
          <t>Ethylbenzene</t>
        </is>
      </c>
      <c r="P344" t="inlineStr">
        <is>
          <t>EN 16713 - Requirements for Filtration Systems/ Circulation Systems/ and Treatment in Domestic Swimming Pools</t>
        </is>
      </c>
    </row>
    <row r="345">
      <c r="L345" t="inlineStr">
        <is>
          <t>Ethyl dipropylthiocarbamate</t>
        </is>
      </c>
      <c r="P345" t="inlineStr">
        <is>
          <t>EN 1021 1&amp;2 - Furniture Flammability Standard</t>
        </is>
      </c>
    </row>
    <row r="346">
      <c r="L346" t="inlineStr">
        <is>
          <t>Ethyl-4,4'-dichlorobenzilate</t>
        </is>
      </c>
      <c r="P346" t="inlineStr">
        <is>
          <t>FIRA/FRQG C001:2016 - General Safety Requirements for Children's Furniture</t>
        </is>
      </c>
    </row>
    <row r="347">
      <c r="L347" t="inlineStr">
        <is>
          <t>Ethylene dibromide</t>
        </is>
      </c>
      <c r="P347" t="inlineStr">
        <is>
          <t>BS 8509 - British Safety Standard for Children's Beds</t>
        </is>
      </c>
    </row>
    <row r="348">
      <c r="L348" t="inlineStr">
        <is>
          <t>Ethylene dichloride (1,2-Dichloroethane)</t>
        </is>
      </c>
      <c r="P348" t="inlineStr">
        <is>
          <t>FIRA/FRQG C002:2016 - Seating: Requirements for Strength/ Stability/ and Durability</t>
        </is>
      </c>
    </row>
    <row r="349">
      <c r="L349" t="inlineStr">
        <is>
          <t>Ethylene glycol (ingested)</t>
        </is>
      </c>
      <c r="P349" t="inlineStr">
        <is>
          <t>FIRA/FRQG C003:2016 - Tables and desks: Requirements for strength/ stability and durability</t>
        </is>
      </c>
    </row>
    <row r="350">
      <c r="L350" t="inlineStr">
        <is>
          <t>Ethylene glycol monoethyl ether</t>
        </is>
      </c>
      <c r="P350" t="inlineStr">
        <is>
          <t>FIRA/FRQG C004:2016 - Storage furniture – Requirements for strength/ stability and durability</t>
        </is>
      </c>
    </row>
    <row r="351">
      <c r="L351" t="inlineStr">
        <is>
          <t>Ethylene glycol monoethyl ether acetate</t>
        </is>
      </c>
      <c r="P351" t="inlineStr">
        <is>
          <t>EN 71-8:2018 Compliant</t>
        </is>
      </c>
    </row>
    <row r="352">
      <c r="L352" t="inlineStr">
        <is>
          <t>Ethylene glycol monomethyl ether</t>
        </is>
      </c>
      <c r="P352" t="inlineStr">
        <is>
          <t>EN 71-1:2014 + A1:2018</t>
        </is>
      </c>
    </row>
    <row r="353">
      <c r="L353" t="inlineStr">
        <is>
          <t>Ethylene glycol monomethyl ether acetate</t>
        </is>
      </c>
      <c r="P353" t="inlineStr">
        <is>
          <t>EN 62115:2005+A11:2012</t>
        </is>
      </c>
    </row>
    <row r="354">
      <c r="L354" t="inlineStr">
        <is>
          <t>Ethyleneimine (Aziridine)</t>
        </is>
      </c>
      <c r="P354" t="inlineStr">
        <is>
          <t>EU: 2006/42/EC - EU Machinery Directive</t>
        </is>
      </c>
    </row>
    <row r="355">
      <c r="L355" t="inlineStr">
        <is>
          <t>Ethylene oxide</t>
        </is>
      </c>
      <c r="P355" t="inlineStr">
        <is>
          <t>CPSC - 16 CFR 1222 Compliant</t>
        </is>
      </c>
    </row>
    <row r="356">
      <c r="L356" t="inlineStr">
        <is>
          <t>Ethylene thiourea</t>
        </is>
      </c>
      <c r="P356" t="inlineStr">
        <is>
          <t>CPSC 16 CFR 1227.2</t>
        </is>
      </c>
    </row>
    <row r="357">
      <c r="L357" t="inlineStr">
        <is>
          <t>Ethyl methanesulfonate</t>
        </is>
      </c>
      <c r="P357" t="inlineStr">
        <is>
          <t>EN 16890: 2017</t>
        </is>
      </c>
    </row>
    <row r="358">
      <c r="L358" t="inlineStr">
        <is>
          <t>Etodolac</t>
        </is>
      </c>
      <c r="P358" t="inlineStr">
        <is>
          <t>SOR/2016-167 - Carriages and Strollers Regulations</t>
        </is>
      </c>
    </row>
    <row r="359">
      <c r="L359" t="inlineStr">
        <is>
          <t>Etoposide</t>
        </is>
      </c>
      <c r="P359" t="inlineStr">
        <is>
          <t>Recycled Content</t>
        </is>
      </c>
    </row>
    <row r="360">
      <c r="L360" t="inlineStr">
        <is>
          <t>Etoposide in combination with cisplatin and bleomycin</t>
        </is>
      </c>
      <c r="P360" t="inlineStr">
        <is>
          <t>Global Recycled Standard (Textile Exchange) Certified</t>
        </is>
      </c>
    </row>
    <row r="361">
      <c r="L361" t="inlineStr">
        <is>
          <t>Etretinate</t>
        </is>
      </c>
      <c r="P361" t="inlineStr">
        <is>
          <t>Recycled Claim Standard (Textile Exchange) Certified</t>
        </is>
      </c>
    </row>
    <row r="362">
      <c r="L362" t="inlineStr">
        <is>
          <t>Fenoxaprop ethyl</t>
        </is>
      </c>
      <c r="P362" t="inlineStr">
        <is>
          <t>ISO 14021 Recycled Content Standard Certified</t>
        </is>
      </c>
    </row>
    <row r="363">
      <c r="L363" t="inlineStr">
        <is>
          <t>Fenoxycarb</t>
        </is>
      </c>
      <c r="P363" t="inlineStr">
        <is>
          <t>Organic Content Standard (Textile Exchange) Certified</t>
        </is>
      </c>
    </row>
    <row r="364">
      <c r="L364" t="inlineStr">
        <is>
          <t>Filgrastim</t>
        </is>
      </c>
      <c r="P364" t="inlineStr">
        <is>
          <t>Asthma and Allergy Friendly Certified</t>
        </is>
      </c>
    </row>
    <row r="365">
      <c r="L365" t="inlineStr">
        <is>
          <t>Fluazifop butyl</t>
        </is>
      </c>
      <c r="P365" t="inlineStr">
        <is>
          <t>British Allergy Foundation Seal of Approval</t>
        </is>
      </c>
    </row>
    <row r="366">
      <c r="L366" t="inlineStr">
        <is>
          <t>Flunisolide</t>
        </is>
      </c>
      <c r="P366" t="inlineStr">
        <is>
          <t>Carbon Neutral Certifications</t>
        </is>
      </c>
    </row>
    <row r="367">
      <c r="L367" t="inlineStr">
        <is>
          <t>Fluorouracil</t>
        </is>
      </c>
      <c r="P367" t="inlineStr">
        <is>
          <t>Golden M Certified</t>
        </is>
      </c>
    </row>
    <row r="368">
      <c r="L368" t="inlineStr">
        <is>
          <t>Fluoxymesterone</t>
        </is>
      </c>
      <c r="P368" t="inlineStr">
        <is>
          <t>MAS Certified Green</t>
        </is>
      </c>
    </row>
    <row r="369">
      <c r="L369" t="inlineStr">
        <is>
          <t>Flurazepam hydrochloride</t>
        </is>
      </c>
      <c r="P369" t="inlineStr">
        <is>
          <t>FloorScore Certified</t>
        </is>
      </c>
    </row>
    <row r="370">
      <c r="L370" t="inlineStr">
        <is>
          <t>Flurbiprofen</t>
        </is>
      </c>
      <c r="P370" t="inlineStr">
        <is>
          <t>CertiPUR-EU Certified</t>
        </is>
      </c>
    </row>
    <row r="371">
      <c r="L371" t="inlineStr">
        <is>
          <t>Flutamide</t>
        </is>
      </c>
      <c r="P371" t="inlineStr">
        <is>
          <t>EU Ecolabel</t>
        </is>
      </c>
    </row>
    <row r="372">
      <c r="L372" t="inlineStr">
        <is>
          <t>Fluticasone propionate</t>
        </is>
      </c>
      <c r="P372" t="inlineStr">
        <is>
          <t>EPA WaterSense Certified</t>
        </is>
      </c>
    </row>
    <row r="373">
      <c r="L373" t="inlineStr">
        <is>
          <t>Fluvalinate</t>
        </is>
      </c>
      <c r="P373" t="inlineStr">
        <is>
          <t>Blue Angel Certified</t>
        </is>
      </c>
    </row>
    <row r="374">
      <c r="L374" t="inlineStr">
        <is>
          <t>Folpet</t>
        </is>
      </c>
      <c r="P374" t="inlineStr">
        <is>
          <t>Responsible Down Standard (Textile Exchange) Certified</t>
        </is>
      </c>
    </row>
    <row r="375">
      <c r="L375" t="inlineStr">
        <is>
          <t>Formaldehyde (gas)</t>
        </is>
      </c>
      <c r="P375" t="inlineStr">
        <is>
          <t>Bluesign Certified</t>
        </is>
      </c>
    </row>
    <row r="376">
      <c r="L376" t="inlineStr">
        <is>
          <t>2-(2-Formylhydrazino)-4-(5-nitro-2-furyl)thiazole</t>
        </is>
      </c>
      <c r="P376" t="inlineStr">
        <is>
          <t>GreenScreen Certified</t>
        </is>
      </c>
    </row>
    <row r="377">
      <c r="L377" t="inlineStr">
        <is>
          <t>Fumonisin B1</t>
        </is>
      </c>
      <c r="P377" t="inlineStr">
        <is>
          <t>MADE SAFE Certified</t>
        </is>
      </c>
    </row>
    <row r="378">
      <c r="L378" t="inlineStr">
        <is>
          <t>Furan</t>
        </is>
      </c>
      <c r="P378" t="inlineStr">
        <is>
          <t>Responsible Wool Standard (Textile Exchange) Certified</t>
        </is>
      </c>
    </row>
    <row r="379">
      <c r="L379" t="inlineStr">
        <is>
          <t>Furazolidone</t>
        </is>
      </c>
      <c r="P379" t="inlineStr">
        <is>
          <t>Das Kork Logo Certified</t>
        </is>
      </c>
    </row>
    <row r="380">
      <c r="L380" t="inlineStr">
        <is>
          <t>Furfuryl alcohol</t>
        </is>
      </c>
      <c r="P380" t="inlineStr">
        <is>
          <t>DGM Emissions Label for Furniture</t>
        </is>
      </c>
    </row>
    <row r="381">
      <c r="L381" t="inlineStr">
        <is>
          <t>Furmecyclox</t>
        </is>
      </c>
      <c r="P381" t="inlineStr">
        <is>
          <t>GUT Label</t>
        </is>
      </c>
    </row>
    <row r="382">
      <c r="L382" t="inlineStr">
        <is>
          <t>Fusarin C</t>
        </is>
      </c>
      <c r="P382" t="inlineStr">
        <is>
          <t>LEVEL - ANSI/BIFMA e3 Furniture Sustainability Standard - Certified</t>
        </is>
      </c>
    </row>
    <row r="383">
      <c r="L383" t="inlineStr">
        <is>
          <t>Gallium arsenide</t>
        </is>
      </c>
      <c r="P383" t="inlineStr">
        <is>
          <t>Natureplus Eco-Label</t>
        </is>
      </c>
    </row>
    <row r="384">
      <c r="L384" t="inlineStr">
        <is>
          <t>Ganciclovir</t>
        </is>
      </c>
      <c r="P384" t="inlineStr">
        <is>
          <t>NATURLEDER IVN Certified</t>
        </is>
      </c>
    </row>
    <row r="385">
      <c r="L385" t="inlineStr">
        <is>
          <t>Ganciclovir sodium</t>
        </is>
      </c>
      <c r="P385" t="inlineStr">
        <is>
          <t>NATURTEXTIL IVN Certified BEST</t>
        </is>
      </c>
    </row>
    <row r="386">
      <c r="L386" t="inlineStr">
        <is>
          <t>Gasoline engine exhaust (condensates/extracts)</t>
        </is>
      </c>
      <c r="P386" t="inlineStr">
        <is>
          <t>ÖkoControl Seal</t>
        </is>
      </c>
    </row>
    <row r="387">
      <c r="L387" t="inlineStr">
        <is>
          <t>Gemfibrozil</t>
        </is>
      </c>
      <c r="P387" t="inlineStr">
        <is>
          <t>Sustainability Assessment for Carpet - NSF/ANSI 140 - Compliant</t>
        </is>
      </c>
    </row>
    <row r="388">
      <c r="L388" t="inlineStr">
        <is>
          <t>Glass wool fibers (inhalable and biopersistent)</t>
        </is>
      </c>
      <c r="P388" t="inlineStr">
        <is>
          <t>Sustainability Assessment for Wallcovering Products - NSF/ANSI 342 - Compliant</t>
        </is>
      </c>
    </row>
    <row r="389">
      <c r="L389" t="inlineStr">
        <is>
          <t>Glu-P-1 (2-Amino-6-methyldipyrido[1,2- a:3',2'-d]imidazole)</t>
        </is>
      </c>
      <c r="P389" t="inlineStr">
        <is>
          <t>Type III Product Specific Environmental Product Declaration (EPD)</t>
        </is>
      </c>
    </row>
    <row r="390">
      <c r="L390" t="inlineStr">
        <is>
          <t>Glu-P-2 (2-Aminodipyrido[1,2-a:3',2'-d]imidazole)</t>
        </is>
      </c>
      <c r="P390" t="inlineStr">
        <is>
          <t>UL ECOLOGO Certified</t>
        </is>
      </c>
    </row>
    <row r="391">
      <c r="L391" t="inlineStr">
        <is>
          <t>Glycidaldehyde</t>
        </is>
      </c>
      <c r="P391" t="inlineStr">
        <is>
          <t>USDA BioBased Product</t>
        </is>
      </c>
    </row>
    <row r="392">
      <c r="L392" t="inlineStr">
        <is>
          <t>Glycidol</t>
        </is>
      </c>
      <c r="P392" t="inlineStr">
        <is>
          <t>DOWNPASS Certified</t>
        </is>
      </c>
    </row>
    <row r="393">
      <c r="L393" t="inlineStr">
        <is>
          <t>Glyphosate</t>
        </is>
      </c>
      <c r="P393" t="inlineStr">
        <is>
          <t>Green Squared (G2) Certified</t>
        </is>
      </c>
    </row>
    <row r="394">
      <c r="L394" t="inlineStr">
        <is>
          <t>Goldenseal root powder</t>
        </is>
      </c>
      <c r="P394" t="inlineStr">
        <is>
          <t>FairTrade Certified</t>
        </is>
      </c>
    </row>
    <row r="395">
      <c r="L395" t="inlineStr">
        <is>
          <t>Goserelin acetate</t>
        </is>
      </c>
      <c r="P395" t="inlineStr">
        <is>
          <t>FairTrade Certified Cotton</t>
        </is>
      </c>
    </row>
    <row r="396">
      <c r="L396" t="inlineStr">
        <is>
          <t>Griseofulvin</t>
        </is>
      </c>
      <c r="P396" t="inlineStr">
        <is>
          <t>FSC 100% Certified</t>
        </is>
      </c>
    </row>
    <row r="397">
      <c r="L397" t="inlineStr">
        <is>
          <t>Gyromitrin (Acetaldehyde methylformylhydrazone)</t>
        </is>
      </c>
      <c r="P397" t="inlineStr">
        <is>
          <t>FSC MIX Certified</t>
        </is>
      </c>
    </row>
    <row r="398">
      <c r="L398" t="inlineStr">
        <is>
          <t>Halazepam</t>
        </is>
      </c>
      <c r="P398" t="inlineStr">
        <is>
          <t>FSC Recycled</t>
        </is>
      </c>
    </row>
    <row r="399">
      <c r="L399" t="inlineStr">
        <is>
          <t>Halobetasol propionate</t>
        </is>
      </c>
      <c r="P399" t="inlineStr">
        <is>
          <t>SFI Certified Sourcing</t>
        </is>
      </c>
    </row>
    <row r="400">
      <c r="L400" t="inlineStr">
        <is>
          <t>Haloperidol</t>
        </is>
      </c>
      <c r="P400" t="inlineStr">
        <is>
          <t>SFI Chain-of-Custody Certified</t>
        </is>
      </c>
    </row>
    <row r="401">
      <c r="L401" t="inlineStr">
        <is>
          <t>Halothane</t>
        </is>
      </c>
      <c r="P401" t="inlineStr">
        <is>
          <t>SFI Fiber Sourcing Certified</t>
        </is>
      </c>
    </row>
    <row r="402">
      <c r="L402" t="inlineStr">
        <is>
          <t>HC Blue 1</t>
        </is>
      </c>
      <c r="P402" t="inlineStr">
        <is>
          <t>ENERGY STAR Canada Certified</t>
        </is>
      </c>
    </row>
    <row r="403">
      <c r="L403" t="inlineStr">
        <is>
          <t>Heptachlor</t>
        </is>
      </c>
      <c r="P403" t="inlineStr">
        <is>
          <t>Carbon Neutral - PAS 2060 - Certified</t>
        </is>
      </c>
    </row>
    <row r="404">
      <c r="L404" t="inlineStr">
        <is>
          <t>Heptachlor epoxide</t>
        </is>
      </c>
      <c r="P404" t="inlineStr">
        <is>
          <t>Carbonfree Product Certification</t>
        </is>
      </c>
    </row>
    <row r="405">
      <c r="L405" t="inlineStr">
        <is>
          <t>Herbal remedies containing plant species of the genus Aristolochia</t>
        </is>
      </c>
      <c r="P405" t="inlineStr">
        <is>
          <t>Indoor Advantage Certified</t>
        </is>
      </c>
    </row>
    <row r="406">
      <c r="L406" t="inlineStr">
        <is>
          <t>Hexachlorobenzene</t>
        </is>
      </c>
      <c r="P406" t="inlineStr">
        <is>
          <t>Indoor Advantage Gold Certified</t>
        </is>
      </c>
    </row>
    <row r="407">
      <c r="L407" t="inlineStr">
        <is>
          <t>Hexachlorobutadiene</t>
        </is>
      </c>
      <c r="P407" t="inlineStr">
        <is>
          <t>Indoor Air Comfort Certified</t>
        </is>
      </c>
    </row>
    <row r="408">
      <c r="L408" t="inlineStr">
        <is>
          <t>Hexachlorodibenzodioxin</t>
        </is>
      </c>
      <c r="P408" t="inlineStr">
        <is>
          <t>Indoor Air Comfort GOLD Certified</t>
        </is>
      </c>
    </row>
    <row r="409">
      <c r="L409" t="inlineStr">
        <is>
          <t>Hexachloroethane</t>
        </is>
      </c>
      <c r="P409" t="inlineStr">
        <is>
          <t>OEKO-TEX LEATHER STANDARD Certified</t>
        </is>
      </c>
    </row>
    <row r="410">
      <c r="L410" t="inlineStr">
        <is>
          <t>2,4-Hexadienal (89% trans, trans isomer; 11% cis, trans isomer)</t>
        </is>
      </c>
      <c r="P410" t="inlineStr">
        <is>
          <t>OEKO-TEX MADE IN GREEN Certified</t>
        </is>
      </c>
    </row>
    <row r="411">
      <c r="L411" t="inlineStr">
        <is>
          <t>Hexafluoroacetone</t>
        </is>
      </c>
      <c r="P411" t="inlineStr">
        <is>
          <t>Cradle to Cradle Material Health Certificate</t>
        </is>
      </c>
    </row>
    <row r="412">
      <c r="L412" t="inlineStr">
        <is>
          <t>Hexamethylphosphoramide</t>
        </is>
      </c>
      <c r="P412" t="inlineStr">
        <is>
          <t>eco-INSTITUT-Label</t>
        </is>
      </c>
    </row>
    <row r="413">
      <c r="L413" t="inlineStr">
        <is>
          <t>Histrelin acetate</t>
        </is>
      </c>
      <c r="P413" t="inlineStr">
        <is>
          <t>CARB Certified (Ozone Emissions for Air Cleaners)</t>
        </is>
      </c>
    </row>
    <row r="414">
      <c r="L414" t="inlineStr">
        <is>
          <t>Hydramethylnon</t>
        </is>
      </c>
      <c r="P414" t="inlineStr">
        <is>
          <t>EN 1103:2006</t>
        </is>
      </c>
    </row>
    <row r="415">
      <c r="L415" t="inlineStr">
        <is>
          <t>Hydrazine</t>
        </is>
      </c>
      <c r="P415" t="inlineStr">
        <is>
          <t>Code of Practice for Fire Safety of Furnishings and Fittings in Places of Assembly</t>
        </is>
      </c>
    </row>
    <row r="416">
      <c r="L416" t="inlineStr">
        <is>
          <t>Hydrazine sulfate</t>
        </is>
      </c>
      <c r="P416" t="inlineStr">
        <is>
          <t>EN 13773</t>
        </is>
      </c>
    </row>
    <row r="417">
      <c r="L417" t="inlineStr">
        <is>
          <t>Hydrazobenzene (1,2-Diphenylhydrazine)</t>
        </is>
      </c>
      <c r="P417" t="inlineStr">
        <is>
          <t>I.S. 419:2011</t>
        </is>
      </c>
    </row>
    <row r="418">
      <c r="L418" t="inlineStr">
        <is>
          <t>1-Hydroxyanthraquinone</t>
        </is>
      </c>
      <c r="P418" t="inlineStr">
        <is>
          <t>ÖNORM A3800-1</t>
        </is>
      </c>
    </row>
    <row r="419">
      <c r="L419" t="inlineStr">
        <is>
          <t>Hydroxyurea</t>
        </is>
      </c>
      <c r="P419" t="inlineStr">
        <is>
          <t>ÖNORM B 3825</t>
        </is>
      </c>
    </row>
    <row r="420">
      <c r="L420" t="inlineStr">
        <is>
          <t>Idarubicin hydrochloride</t>
        </is>
      </c>
      <c r="P420" t="inlineStr">
        <is>
          <t>EN 14619:2019</t>
        </is>
      </c>
    </row>
    <row r="421">
      <c r="L421" t="inlineStr">
        <is>
          <t>Ifosfamide</t>
        </is>
      </c>
      <c r="P421" t="inlineStr">
        <is>
          <t>Product Attestation</t>
        </is>
      </c>
    </row>
    <row r="422">
      <c r="L422" t="inlineStr">
        <is>
          <t>Iodine-131</t>
        </is>
      </c>
      <c r="P422" t="inlineStr">
        <is>
          <t>California Carpet Stewardship Program Compliant</t>
        </is>
      </c>
    </row>
    <row r="423">
      <c r="L423" t="inlineStr">
        <is>
          <t>Imazalil</t>
        </is>
      </c>
      <c r="P423" t="inlineStr">
        <is>
          <t>Is Responsible Person Information Available</t>
        </is>
      </c>
    </row>
    <row r="424">
      <c r="L424" t="inlineStr">
        <is>
          <t>Indeno[1,2,3-cd]pyrene</t>
        </is>
      </c>
      <c r="P424" t="inlineStr">
        <is>
          <t>FIRA/FRQG C001: 2021 Furniture - Children’s Domestic Furniture – General Safety Requirements</t>
        </is>
      </c>
    </row>
    <row r="425">
      <c r="L425" t="inlineStr">
        <is>
          <t>Indium phosphide</t>
        </is>
      </c>
      <c r="P425" t="inlineStr">
        <is>
          <t>BS EN 17191:2021</t>
        </is>
      </c>
    </row>
    <row r="426">
      <c r="L426" t="inlineStr">
        <is>
          <t>IQ (2-Amino-3-methylimidazo[4,5-f] quinoline)</t>
        </is>
      </c>
      <c r="P426" t="inlineStr">
        <is>
          <t>FIRA/FRQG C003: 2021 Furniture - Children’s Domestic Furniture – Tables &amp; Desks – Requirements for Strength/ Stability and Durability</t>
        </is>
      </c>
    </row>
    <row r="427">
      <c r="L427" t="inlineStr">
        <is>
          <t>Iprodione</t>
        </is>
      </c>
      <c r="P427" t="inlineStr">
        <is>
          <t>National Minority Supplier Development Council Certification</t>
        </is>
      </c>
    </row>
    <row r="428">
      <c r="L428" t="inlineStr">
        <is>
          <t>Iron dextran complex</t>
        </is>
      </c>
      <c r="P428" t="inlineStr">
        <is>
          <t>Small Business Administration Certification</t>
        </is>
      </c>
    </row>
    <row r="429">
      <c r="L429" t="inlineStr">
        <is>
          <t>Isobutyl nitrite</t>
        </is>
      </c>
      <c r="P429" t="inlineStr">
        <is>
          <t>SupplierGATEWAY Enhanced Digital Certification</t>
        </is>
      </c>
    </row>
    <row r="430">
      <c r="L430" t="inlineStr">
        <is>
          <t>Isoprene</t>
        </is>
      </c>
      <c r="P430" t="inlineStr">
        <is>
          <t>System for Award Management Certification</t>
        </is>
      </c>
    </row>
    <row r="431">
      <c r="L431" t="inlineStr">
        <is>
          <t>Isopyrazam</t>
        </is>
      </c>
      <c r="P431" t="inlineStr">
        <is>
          <t>Women’s Business Enterprise National Council Certification</t>
        </is>
      </c>
    </row>
    <row r="432">
      <c r="L432" t="inlineStr">
        <is>
          <t>Isotretinoin</t>
        </is>
      </c>
      <c r="P432" t="inlineStr">
        <is>
          <t>Other Minority Business Enterprise Certification</t>
        </is>
      </c>
    </row>
    <row r="433">
      <c r="L433" t="inlineStr">
        <is>
          <t>Isoxaflutole</t>
        </is>
      </c>
      <c r="P433" t="inlineStr">
        <is>
          <t>&gt; 50% Black/ Women or LatinX Certification</t>
        </is>
      </c>
    </row>
    <row r="434">
      <c r="L434" t="inlineStr">
        <is>
          <t>Kresoxim-methyl</t>
        </is>
      </c>
      <c r="P434" t="inlineStr">
        <is>
          <t>EU Food Contact Regulation - Plastics</t>
        </is>
      </c>
    </row>
    <row r="435">
      <c r="L435" t="inlineStr">
        <is>
          <t>Lactofen</t>
        </is>
      </c>
      <c r="P435" t="inlineStr">
        <is>
          <t>Fairtrade International Certified - Sports Ball</t>
        </is>
      </c>
    </row>
    <row r="436">
      <c r="L436" t="inlineStr">
        <is>
          <t>Lasiocarpine</t>
        </is>
      </c>
      <c r="P436" t="inlineStr">
        <is>
          <t>FLOCERT Expiration Date</t>
        </is>
      </c>
    </row>
    <row r="437">
      <c r="L437" t="inlineStr">
        <is>
          <t>Lead</t>
        </is>
      </c>
      <c r="P437" t="inlineStr">
        <is>
          <t>CANFER Compliant</t>
        </is>
      </c>
    </row>
    <row r="438">
      <c r="L438" t="inlineStr">
        <is>
          <t>Lead and lead compounds</t>
        </is>
      </c>
      <c r="P438" t="inlineStr">
        <is>
          <t>ASTM F2710-19 Compliant</t>
        </is>
      </c>
    </row>
    <row r="439">
      <c r="L439" t="inlineStr">
        <is>
          <t>Lead acetate</t>
        </is>
      </c>
      <c r="P439" t="inlineStr">
        <is>
          <t>CPSC 16 CFR 1207</t>
        </is>
      </c>
    </row>
    <row r="440">
      <c r="L440" t="inlineStr">
        <is>
          <t>Lead phosphate</t>
        </is>
      </c>
      <c r="P440" t="inlineStr">
        <is>
          <t>ASTM F1004-22 Compliant</t>
        </is>
      </c>
    </row>
    <row r="441">
      <c r="L441" t="inlineStr">
        <is>
          <t>Lead subacetate</t>
        </is>
      </c>
      <c r="P441" t="inlineStr">
        <is>
          <t>BS EN 14960 Compliant (Inflatables)</t>
        </is>
      </c>
    </row>
    <row r="442">
      <c r="L442" t="inlineStr">
        <is>
          <t>Leather dust</t>
        </is>
      </c>
      <c r="P442" t="inlineStr">
        <is>
          <t>EN 14468-1:2015 Compliant (Table Tennis Tables)</t>
        </is>
      </c>
    </row>
    <row r="443">
      <c r="L443" t="inlineStr">
        <is>
          <t>Leuprolide acetate</t>
        </is>
      </c>
      <c r="P443" t="inlineStr">
        <is>
          <t>BS 7972:2001+A1:2009 Compliant (Children's bedguards)</t>
        </is>
      </c>
    </row>
    <row r="444">
      <c r="L444" t="inlineStr">
        <is>
          <t>Levodopa</t>
        </is>
      </c>
      <c r="P444" t="inlineStr">
        <is>
          <t>Energy Efficiency Regulations Compliant</t>
        </is>
      </c>
    </row>
    <row r="445">
      <c r="L445" t="inlineStr">
        <is>
          <t>Lindane and other hexachlorocyclohexane isomers</t>
        </is>
      </c>
      <c r="P445" t="inlineStr">
        <is>
          <t>EU/UK Timber Compliant</t>
        </is>
      </c>
    </row>
    <row r="446">
      <c r="L446" t="inlineStr">
        <is>
          <t>Linuron</t>
        </is>
      </c>
      <c r="P446" t="inlineStr">
        <is>
          <t>SOR/2023-101 - Carriages and Strollers</t>
        </is>
      </c>
    </row>
    <row r="447">
      <c r="L447" t="inlineStr">
        <is>
          <t>Lithium carbonate</t>
        </is>
      </c>
      <c r="P447" t="inlineStr">
        <is>
          <t>ASTM F2388-21</t>
        </is>
      </c>
    </row>
    <row r="448">
      <c r="L448" t="inlineStr">
        <is>
          <t>Lithium citrate</t>
        </is>
      </c>
      <c r="P448" t="inlineStr">
        <is>
          <t>EN 16779-1: 2018</t>
        </is>
      </c>
    </row>
    <row r="449">
      <c r="L449" t="inlineStr">
        <is>
          <t>Lorazepam</t>
        </is>
      </c>
      <c r="P449" t="inlineStr">
        <is>
          <t>ASTM F406-22</t>
        </is>
      </c>
    </row>
    <row r="450">
      <c r="L450" t="inlineStr">
        <is>
          <t>Lovastatin</t>
        </is>
      </c>
      <c r="P450" t="inlineStr">
        <is>
          <t>ANSI Z21.11.2-2019</t>
        </is>
      </c>
    </row>
    <row r="451">
      <c r="L451" t="inlineStr">
        <is>
          <t>Lynestrenol</t>
        </is>
      </c>
      <c r="P451" t="inlineStr">
        <is>
          <t>ASTM B117-19</t>
        </is>
      </c>
    </row>
    <row r="452">
      <c r="L452" t="inlineStr">
        <is>
          <t>Malathion</t>
        </is>
      </c>
      <c r="P452" t="inlineStr">
        <is>
          <t>CPSC - 40 CFR 60</t>
        </is>
      </c>
    </row>
    <row r="453">
      <c r="L453" t="inlineStr">
        <is>
          <t>Malonaldehyde, sodium salt</t>
        </is>
      </c>
      <c r="P453" t="inlineStr">
        <is>
          <t>CSA / ANSI Z21.58:22</t>
        </is>
      </c>
    </row>
    <row r="454">
      <c r="L454" t="inlineStr">
        <is>
          <t>Mancozeb</t>
        </is>
      </c>
      <c r="P454" t="inlineStr">
        <is>
          <t>CSA / ANSI Z83.26:20</t>
        </is>
      </c>
    </row>
    <row r="455">
      <c r="L455" t="inlineStr">
        <is>
          <t>Maneb</t>
        </is>
      </c>
      <c r="P455" t="inlineStr">
        <is>
          <t>EC No. 1907/2006 Annex XVII</t>
        </is>
      </c>
    </row>
    <row r="456">
      <c r="L456" t="inlineStr">
        <is>
          <t>Marijuana smoke</t>
        </is>
      </c>
      <c r="P456" t="inlineStr">
        <is>
          <t>EC No. 1935/2004</t>
        </is>
      </c>
    </row>
    <row r="457">
      <c r="L457" t="inlineStr">
        <is>
          <t>Me-A-alpha-C (2-Amino-3-methyl-9H-pyrido[2,3-b]indole)</t>
        </is>
      </c>
      <c r="P457" t="inlineStr">
        <is>
          <t>FDA Generally Recognized as Safe (GRAS)</t>
        </is>
      </c>
    </row>
    <row r="458">
      <c r="L458" t="inlineStr">
        <is>
          <t>Mebendazole</t>
        </is>
      </c>
      <c r="P458" t="inlineStr">
        <is>
          <t>UL 1278 4th Ed</t>
        </is>
      </c>
    </row>
    <row r="459">
      <c r="L459" t="inlineStr">
        <is>
          <t>Medroxyprogesterone acetate</t>
        </is>
      </c>
      <c r="P459" t="inlineStr">
        <is>
          <t>UL 2021 4th Ed</t>
        </is>
      </c>
    </row>
    <row r="460">
      <c r="L460" t="inlineStr">
        <is>
          <t>Megestrol acetate</t>
        </is>
      </c>
      <c r="P460" t="inlineStr">
        <is>
          <t>EN 12520</t>
        </is>
      </c>
    </row>
    <row r="461">
      <c r="L461" t="inlineStr">
        <is>
          <t>MeIQ (2-Amino-3,4-dimethylimidazo[4,5-f]quinoline)</t>
        </is>
      </c>
      <c r="P461" t="inlineStr">
        <is>
          <t>BS EN 16781</t>
        </is>
      </c>
    </row>
    <row r="462">
      <c r="L462" t="inlineStr">
        <is>
          <t>MeIQx (2-Amino-3,8-dimethylimidazo[4,5-f]quinoxaline)</t>
        </is>
      </c>
      <c r="P462" t="inlineStr">
        <is>
          <t>ASTM F2057-23 (STURDY)</t>
        </is>
      </c>
    </row>
    <row r="463">
      <c r="L463" t="inlineStr">
        <is>
          <t>Melphalan</t>
        </is>
      </c>
      <c r="P463" t="inlineStr">
        <is>
          <t>EN 16780: 2018</t>
        </is>
      </c>
    </row>
    <row r="464">
      <c r="L464" t="inlineStr">
        <is>
          <t>Menotropins</t>
        </is>
      </c>
      <c r="P464" t="inlineStr">
        <is>
          <t>ASTM F2613-21</t>
        </is>
      </c>
    </row>
    <row r="465">
      <c r="L465" t="inlineStr">
        <is>
          <t>Mepanipyrim</t>
        </is>
      </c>
      <c r="P465" t="inlineStr">
        <is>
          <t>ASTM F1427-21e1</t>
        </is>
      </c>
    </row>
    <row r="466">
      <c r="L466" t="inlineStr">
        <is>
          <t>Meprobamate</t>
        </is>
      </c>
      <c r="P466" t="inlineStr">
        <is>
          <t>Unified Water Label</t>
        </is>
      </c>
    </row>
    <row r="467">
      <c r="L467" t="inlineStr">
        <is>
          <t>2-Mercaptobenzothiazole</t>
        </is>
      </c>
      <c r="P467" t="inlineStr">
        <is>
          <t>CPSC - 16 CFR 1241</t>
        </is>
      </c>
    </row>
    <row r="468">
      <c r="L468" t="inlineStr">
        <is>
          <t>Mercaptopurine</t>
        </is>
      </c>
      <c r="P468" t="inlineStr">
        <is>
          <t>CPSC - 16 CFR 1263 Compliant (Reese's Law)</t>
        </is>
      </c>
    </row>
    <row r="469">
      <c r="L469" t="inlineStr">
        <is>
          <t>Mercury and mercury compounds</t>
        </is>
      </c>
      <c r="P469" t="inlineStr">
        <is>
          <t>Commercial Warranty</t>
        </is>
      </c>
    </row>
    <row r="470">
      <c r="L470" t="inlineStr">
        <is>
          <t>Merphalan</t>
        </is>
      </c>
      <c r="P470" t="inlineStr">
        <is>
          <t>EU 2024/590</t>
        </is>
      </c>
    </row>
    <row r="471">
      <c r="L471" t="inlineStr">
        <is>
          <t>Mestranol</t>
        </is>
      </c>
      <c r="P471" t="inlineStr">
        <is>
          <t>BS EN 597-1</t>
        </is>
      </c>
    </row>
    <row r="472">
      <c r="L472" t="inlineStr">
        <is>
          <t>Metam potassium</t>
        </is>
      </c>
      <c r="P472" t="inlineStr">
        <is>
          <t>ASTM F1912-21 Compliant</t>
        </is>
      </c>
    </row>
    <row r="473">
      <c r="L473" t="inlineStr">
        <is>
          <t>Methacycline hydrochloride</t>
        </is>
      </c>
      <c r="P473" t="inlineStr">
        <is>
          <t>ASTM F963-23 Compliant</t>
        </is>
      </c>
    </row>
    <row r="474">
      <c r="L474" t="inlineStr">
        <is>
          <t>Metham sodium</t>
        </is>
      </c>
      <c r="P474" t="inlineStr">
        <is>
          <t>FIRA/FRQG C004:2016 + A1 2017</t>
        </is>
      </c>
    </row>
    <row r="475">
      <c r="L475" t="inlineStr">
        <is>
          <t>Methanol</t>
        </is>
      </c>
      <c r="P475" t="inlineStr">
        <is>
          <t>EUDR</t>
        </is>
      </c>
    </row>
    <row r="476">
      <c r="L476" t="inlineStr">
        <is>
          <t>Methazole</t>
        </is>
      </c>
      <c r="P476" t="inlineStr">
        <is>
          <t>CA PFAS</t>
        </is>
      </c>
    </row>
    <row r="477">
      <c r="L477" t="inlineStr">
        <is>
          <t>Methimazole</t>
        </is>
      </c>
      <c r="P477" t="inlineStr">
        <is>
          <t>CPSC - 16 CFR 1242</t>
        </is>
      </c>
    </row>
    <row r="478">
      <c r="L478" t="inlineStr">
        <is>
          <t>Methotrexate</t>
        </is>
      </c>
      <c r="P478" t="inlineStr">
        <is>
          <t>EU General Product Safety Regulation</t>
        </is>
      </c>
    </row>
    <row r="479">
      <c r="L479" t="inlineStr">
        <is>
          <t>Methotrexate sodium</t>
        </is>
      </c>
      <c r="P479" t="inlineStr">
        <is>
          <t>EPA Compliant - Step 2 Certified</t>
        </is>
      </c>
    </row>
    <row r="480">
      <c r="L480" t="inlineStr">
        <is>
          <t>5-Methoxypsoralen with ultraviolet A therapy</t>
        </is>
      </c>
      <c r="P480" t="inlineStr">
        <is>
          <t>ANSI/WCMA A100.1-2018 Standard</t>
        </is>
      </c>
    </row>
    <row r="481">
      <c r="L481" t="inlineStr">
        <is>
          <t>8-Methoxypsoralen with ultraviolet A therapy</t>
        </is>
      </c>
      <c r="P481" t="inlineStr">
        <is>
          <t>SOR/2019-97 - Corded Window Coverings Regulations</t>
        </is>
      </c>
    </row>
    <row r="482">
      <c r="L482" t="inlineStr">
        <is>
          <t>2-Methylaziridine (Propyleneimine)</t>
        </is>
      </c>
      <c r="P482" t="inlineStr">
        <is>
          <t>ANSI/BIFMA X6.4 Occasional-Use Seating Standard</t>
        </is>
      </c>
    </row>
    <row r="483">
      <c r="L483" t="inlineStr">
        <is>
          <t>Methylazoxymethanol</t>
        </is>
      </c>
      <c r="P483" t="inlineStr">
        <is>
          <t>ASTM F1148-22</t>
        </is>
      </c>
    </row>
    <row r="484">
      <c r="L484" t="inlineStr">
        <is>
          <t>Methylazoxymethanol acetate</t>
        </is>
      </c>
      <c r="P484" t="inlineStr">
        <is>
          <t>SOR/2016 - 217</t>
        </is>
      </c>
    </row>
    <row r="485">
      <c r="L485" t="inlineStr">
        <is>
          <t>Methyl bromide, as a structural fumigant</t>
        </is>
      </c>
      <c r="P485" t="inlineStr">
        <is>
          <t>16 CFR 1235</t>
        </is>
      </c>
    </row>
    <row r="486">
      <c r="L486" t="inlineStr">
        <is>
          <t>Methyl carbamate</t>
        </is>
      </c>
      <c r="P486" t="inlineStr">
        <is>
          <t>ASTM F2088-24</t>
        </is>
      </c>
    </row>
    <row r="487">
      <c r="L487" t="inlineStr">
        <is>
          <t>Methyl chloride</t>
        </is>
      </c>
      <c r="P487" t="inlineStr">
        <is>
          <t>16 CFR 1243</t>
        </is>
      </c>
    </row>
    <row r="488">
      <c r="L488" t="inlineStr">
        <is>
          <t>3-Methylcholanthrene</t>
        </is>
      </c>
      <c r="P488" t="inlineStr">
        <is>
          <t>IS 419 / EN 1021</t>
        </is>
      </c>
    </row>
    <row r="489">
      <c r="L489" t="inlineStr">
        <is>
          <t>5-Methylchrysene</t>
        </is>
      </c>
      <c r="P489" t="inlineStr">
        <is>
          <t>IS 419 / EN 597/ EN 16890</t>
        </is>
      </c>
    </row>
    <row r="490">
      <c r="L490" t="inlineStr">
        <is>
          <t>4,4'-Methylene bis(2-chloroaniline)</t>
        </is>
      </c>
      <c r="P490" t="inlineStr">
        <is>
          <t>IS 419 / EN 597</t>
        </is>
      </c>
    </row>
    <row r="491">
      <c r="L491" t="inlineStr">
        <is>
          <t>4,4'-Methylene bis(N,N-dimethyl)benzenamine</t>
        </is>
      </c>
      <c r="P491" t="inlineStr">
        <is>
          <t>ASTM-1917-23</t>
        </is>
      </c>
    </row>
    <row r="492">
      <c r="L492" t="inlineStr">
        <is>
          <t>4,4'-Methylene bis(2-methylaniline)</t>
        </is>
      </c>
      <c r="P492" t="inlineStr">
        <is>
          <t>Low Voltage Directive</t>
        </is>
      </c>
    </row>
    <row r="493">
      <c r="L493" t="inlineStr">
        <is>
          <t>4,4'-Methylenedianiline</t>
        </is>
      </c>
      <c r="P493" t="inlineStr">
        <is>
          <t>Children's Furniture Safety and Stability</t>
        </is>
      </c>
    </row>
    <row r="494">
      <c r="L494" t="inlineStr">
        <is>
          <t>4,4'-Methylenedianiline dihydrochloride</t>
        </is>
      </c>
      <c r="P494" t="inlineStr">
        <is>
          <t>CPSC - 16 CFR 1224</t>
        </is>
      </c>
    </row>
    <row r="495">
      <c r="L495" t="inlineStr">
        <is>
          <t>Methyleugenol</t>
        </is>
      </c>
      <c r="P495" t="inlineStr">
        <is>
          <t>ASTM F2276-23 (General Mechanical Requirements)</t>
        </is>
      </c>
    </row>
    <row r="496">
      <c r="L496" t="inlineStr">
        <is>
          <t>Methylhydrazine and its salts</t>
        </is>
      </c>
      <c r="P496" t="inlineStr">
        <is>
          <t>ASTM F2276-23 or ASTM F2810-15</t>
        </is>
      </c>
    </row>
    <row r="497">
      <c r="L497" t="inlineStr">
        <is>
          <t>2-Methylimidazole</t>
        </is>
      </c>
      <c r="P497" t="inlineStr">
        <is>
          <t>ASTM F2276-23 or ASTM F1250-20</t>
        </is>
      </c>
    </row>
    <row r="498">
      <c r="L498" t="inlineStr">
        <is>
          <t>4-Methylimidazole</t>
        </is>
      </c>
      <c r="P498" t="inlineStr">
        <is>
          <t>ASTM F2276-23 or ASTM F2216-17a</t>
        </is>
      </c>
    </row>
    <row r="499">
      <c r="L499" t="inlineStr">
        <is>
          <t>Methyl iodide</t>
        </is>
      </c>
      <c r="P499" t="inlineStr">
        <is>
          <t>ASTM F2276-23 or ASTM F3105-20</t>
        </is>
      </c>
    </row>
    <row r="500">
      <c r="L500" t="inlineStr">
        <is>
          <t>Methyl isobutyl ketone</t>
        </is>
      </c>
      <c r="P500" t="inlineStr">
        <is>
          <t>ASTM F2276-23 or ASTM F2115-25</t>
        </is>
      </c>
    </row>
    <row r="501">
      <c r="L501" t="inlineStr">
        <is>
          <t>Methyl isobutyl ketone (MIBK)</t>
        </is>
      </c>
      <c r="P501" t="inlineStr">
        <is>
          <t>UL 1647 (Electrical Safety)</t>
        </is>
      </c>
    </row>
    <row r="502">
      <c r="L502" t="inlineStr">
        <is>
          <t>Methyl isocyanate (MIC)</t>
        </is>
      </c>
      <c r="P502" t="inlineStr">
        <is>
          <t>In-House Contract-Quality Testing Document</t>
        </is>
      </c>
    </row>
    <row r="503">
      <c r="L503" t="inlineStr">
        <is>
          <t>Methyl mercury</t>
        </is>
      </c>
      <c r="P503" t="inlineStr">
        <is>
          <t>Contract Grade Signed Verification Letter</t>
        </is>
      </c>
    </row>
    <row r="504">
      <c r="L504" t="inlineStr">
        <is>
          <t>Methylmercury compounds</t>
        </is>
      </c>
      <c r="P504" t="inlineStr">
        <is>
          <t>SOR/2018-186</t>
        </is>
      </c>
    </row>
    <row r="505">
      <c r="L505" t="inlineStr">
        <is>
          <t>Methyl methanesulfonate</t>
        </is>
      </c>
      <c r="P505" t="inlineStr">
        <is>
          <t>SOR/2024-217</t>
        </is>
      </c>
    </row>
    <row r="506">
      <c r="L506" t="inlineStr">
        <is>
          <t>Methyl-n-butyl ketone</t>
        </is>
      </c>
      <c r="P506" t="inlineStr">
        <is>
          <t>Certified Egyptian Cotton</t>
        </is>
      </c>
    </row>
    <row r="507">
      <c r="L507" t="inlineStr">
        <is>
          <t>2-Methyl-1-nitroanthraquinone (of uncertain purity)</t>
        </is>
      </c>
    </row>
    <row r="508">
      <c r="L508" t="inlineStr">
        <is>
          <t>N-Methyl-N'-nitro-N-nitrosoguanidine</t>
        </is>
      </c>
    </row>
    <row r="509">
      <c r="L509" t="inlineStr">
        <is>
          <t>N-Methylolacrylamide</t>
        </is>
      </c>
    </row>
    <row r="510">
      <c r="L510" t="inlineStr">
        <is>
          <t>N-Methylpyrrolidone</t>
        </is>
      </c>
    </row>
    <row r="511">
      <c r="L511" t="inlineStr">
        <is>
          <t>α-Methyl styrene (alpha-Methylstyrene)</t>
        </is>
      </c>
    </row>
    <row r="512">
      <c r="L512" t="inlineStr">
        <is>
          <t>Methyltestosterone</t>
        </is>
      </c>
    </row>
    <row r="513">
      <c r="L513" t="inlineStr">
        <is>
          <t>Methylthiouracil</t>
        </is>
      </c>
    </row>
    <row r="514">
      <c r="L514" t="inlineStr">
        <is>
          <t>Metiram</t>
        </is>
      </c>
    </row>
    <row r="515">
      <c r="L515" t="inlineStr">
        <is>
          <t>Metronidazole</t>
        </is>
      </c>
    </row>
    <row r="516">
      <c r="L516" t="inlineStr">
        <is>
          <t>Michler's ketone</t>
        </is>
      </c>
    </row>
    <row r="517">
      <c r="L517" t="inlineStr">
        <is>
          <t>Midazolam hydrochloride</t>
        </is>
      </c>
    </row>
    <row r="518">
      <c r="L518" t="inlineStr">
        <is>
          <t>Minocycline hydrochloride (internal use)</t>
        </is>
      </c>
    </row>
    <row r="519">
      <c r="L519" t="inlineStr">
        <is>
          <t>Mirex</t>
        </is>
      </c>
    </row>
    <row r="520">
      <c r="L520" t="inlineStr">
        <is>
          <t>Misoprostol</t>
        </is>
      </c>
    </row>
    <row r="521">
      <c r="L521" t="inlineStr">
        <is>
          <t>Mitomycin C</t>
        </is>
      </c>
    </row>
    <row r="522">
      <c r="L522" t="inlineStr">
        <is>
          <t>Mitoxantrone hydrochloride</t>
        </is>
      </c>
    </row>
    <row r="523">
      <c r="L523" t="inlineStr">
        <is>
          <t>Molinate</t>
        </is>
      </c>
    </row>
    <row r="524">
      <c r="L524" t="inlineStr">
        <is>
          <t>MON 4660 (dichloroacetyl-1-oxa-4-azaspiro(4,5)-decane</t>
        </is>
      </c>
    </row>
    <row r="525">
      <c r="L525" t="inlineStr">
        <is>
          <t>MON 13900 (furilazole)</t>
        </is>
      </c>
    </row>
    <row r="526">
      <c r="L526" t="inlineStr">
        <is>
          <t>3-Monochloropropane-1,2-diol (3-MCPD)</t>
        </is>
      </c>
    </row>
    <row r="527">
      <c r="L527" t="inlineStr">
        <is>
          <t>Monocrotaline</t>
        </is>
      </c>
    </row>
    <row r="528">
      <c r="L528" t="inlineStr">
        <is>
          <t>MOPP (vincristine-prednisone-nitrogen mustard-procarbazine mixture)</t>
        </is>
      </c>
    </row>
    <row r="529">
      <c r="L529" t="inlineStr">
        <is>
          <t>5-(Morpholinomethyl)-3-[(5-nitrofurfuryl-idene)-amino]-2-oxazolidinone</t>
        </is>
      </c>
    </row>
    <row r="530">
      <c r="L530" t="inlineStr">
        <is>
          <t>Mustard Gas</t>
        </is>
      </c>
    </row>
    <row r="531">
      <c r="L531" t="inlineStr">
        <is>
          <t>MX (3-chloro-4-dichloromethyl-5-hydroxy-2(5H)-furanone)</t>
        </is>
      </c>
    </row>
    <row r="532">
      <c r="L532" t="inlineStr">
        <is>
          <t>Myclobutanil</t>
        </is>
      </c>
    </row>
    <row r="533">
      <c r="L533" t="inlineStr">
        <is>
          <t>beta-Myrcene</t>
        </is>
      </c>
    </row>
    <row r="534">
      <c r="L534" t="inlineStr">
        <is>
          <t>Nabam</t>
        </is>
      </c>
    </row>
    <row r="535">
      <c r="L535" t="inlineStr">
        <is>
          <t>Nafarelin acetate</t>
        </is>
      </c>
    </row>
    <row r="536">
      <c r="L536" t="inlineStr">
        <is>
          <t>Nafenopin</t>
        </is>
      </c>
    </row>
    <row r="537">
      <c r="L537" t="inlineStr">
        <is>
          <t>Nalidixic acid</t>
        </is>
      </c>
    </row>
    <row r="538">
      <c r="L538" t="inlineStr">
        <is>
          <t>Naphthalene</t>
        </is>
      </c>
    </row>
    <row r="539">
      <c r="L539" t="inlineStr">
        <is>
          <t>1-Naphthylamine</t>
        </is>
      </c>
    </row>
    <row r="540">
      <c r="L540" t="inlineStr">
        <is>
          <t>2-Naphthylamine</t>
        </is>
      </c>
    </row>
    <row r="541">
      <c r="L541" t="inlineStr">
        <is>
          <t>Neomycin sulfate (internal use)</t>
        </is>
      </c>
    </row>
    <row r="542">
      <c r="L542" t="inlineStr">
        <is>
          <t>Netilmicin sulfate</t>
        </is>
      </c>
    </row>
    <row r="543">
      <c r="L543" t="inlineStr">
        <is>
          <t>Nickel (Metallic)</t>
        </is>
      </c>
    </row>
    <row r="544">
      <c r="L544" t="inlineStr">
        <is>
          <t>Nickel acetate</t>
        </is>
      </c>
    </row>
    <row r="545">
      <c r="L545" t="inlineStr">
        <is>
          <t>Nickel carbonate</t>
        </is>
      </c>
    </row>
    <row r="546">
      <c r="L546" t="inlineStr">
        <is>
          <t>Nickel carbonyl</t>
        </is>
      </c>
    </row>
    <row r="547">
      <c r="L547" t="inlineStr">
        <is>
          <t>Nickel compounds</t>
        </is>
      </c>
    </row>
    <row r="548">
      <c r="L548" t="inlineStr">
        <is>
          <t>Nickelocene</t>
        </is>
      </c>
    </row>
    <row r="549">
      <c r="L549" t="inlineStr">
        <is>
          <t>Nickel oxide</t>
        </is>
      </c>
    </row>
    <row r="550">
      <c r="L550" t="inlineStr">
        <is>
          <t>Nickel refinery dust from the pyrometallurgical process</t>
        </is>
      </c>
    </row>
    <row r="551">
      <c r="L551" t="inlineStr">
        <is>
          <t>Nickel subsulfide</t>
        </is>
      </c>
    </row>
    <row r="552">
      <c r="L552" t="inlineStr">
        <is>
          <t>Nicotine</t>
        </is>
      </c>
    </row>
    <row r="553">
      <c r="L553" t="inlineStr">
        <is>
          <t>Nifedipine</t>
        </is>
      </c>
    </row>
    <row r="554">
      <c r="L554" t="inlineStr">
        <is>
          <t>Nimodipine</t>
        </is>
      </c>
    </row>
    <row r="555">
      <c r="L555" t="inlineStr">
        <is>
          <t>Niridazole</t>
        </is>
      </c>
    </row>
    <row r="556">
      <c r="L556" t="inlineStr">
        <is>
          <t>Nitrapyrin</t>
        </is>
      </c>
    </row>
    <row r="557">
      <c r="L557" t="inlineStr">
        <is>
          <t>Nitrilotriacetic acid</t>
        </is>
      </c>
    </row>
    <row r="558">
      <c r="L558" t="inlineStr">
        <is>
          <t>Nitrilotriacetic acid, trisodium salt monohydrate</t>
        </is>
      </c>
    </row>
    <row r="559">
      <c r="L559" t="inlineStr">
        <is>
          <t>5-Nitroacenaphthene</t>
        </is>
      </c>
    </row>
    <row r="560">
      <c r="L560" t="inlineStr">
        <is>
          <t>o-Nitroanisole</t>
        </is>
      </c>
    </row>
    <row r="561">
      <c r="L561" t="inlineStr">
        <is>
          <t>Nitrobenzene</t>
        </is>
      </c>
    </row>
    <row r="562">
      <c r="L562" t="inlineStr">
        <is>
          <t>4-Nitrobiphenyl</t>
        </is>
      </c>
    </row>
    <row r="563">
      <c r="L563" t="inlineStr">
        <is>
          <t>6-Nitrochrysene</t>
        </is>
      </c>
    </row>
    <row r="564">
      <c r="L564" t="inlineStr">
        <is>
          <t>Nitrofen (technical grade)</t>
        </is>
      </c>
    </row>
    <row r="565">
      <c r="L565" t="inlineStr">
        <is>
          <t>2-Nitrofluorene</t>
        </is>
      </c>
    </row>
    <row r="566">
      <c r="L566" t="inlineStr">
        <is>
          <t>Nitrofurazone</t>
        </is>
      </c>
    </row>
    <row r="567">
      <c r="L567" t="inlineStr">
        <is>
          <t>1-[(5-Nitrofurfurylidene)-amino]-2-imidazolidinone</t>
        </is>
      </c>
    </row>
    <row r="568">
      <c r="L568" t="inlineStr">
        <is>
          <t>N-[4-(5-Nitro-2-furyl)-2-thiazolyl]acetamide</t>
        </is>
      </c>
    </row>
    <row r="569">
      <c r="L569" t="inlineStr">
        <is>
          <t>Nitrogen mustard (Mechlorethamine)</t>
        </is>
      </c>
    </row>
    <row r="570">
      <c r="L570" t="inlineStr">
        <is>
          <t>Nitrogen mustard hydrochloride (Mechlorethamine hydrochloride)</t>
        </is>
      </c>
    </row>
    <row r="571">
      <c r="L571" t="inlineStr">
        <is>
          <t>Nitrogen mustard N-oxide</t>
        </is>
      </c>
    </row>
    <row r="572">
      <c r="L572" t="inlineStr">
        <is>
          <t>Nitrogen mustard N-oxide hydrochloride</t>
        </is>
      </c>
    </row>
    <row r="573">
      <c r="L573" t="inlineStr">
        <is>
          <t>Nitromethane</t>
        </is>
      </c>
    </row>
    <row r="574">
      <c r="L574" t="inlineStr">
        <is>
          <t>2-Nitropropane</t>
        </is>
      </c>
    </row>
    <row r="575">
      <c r="L575" t="inlineStr">
        <is>
          <t>1-Nitropyrene</t>
        </is>
      </c>
    </row>
    <row r="576">
      <c r="L576" t="inlineStr">
        <is>
          <t>4-Nitropyrene</t>
        </is>
      </c>
    </row>
    <row r="577">
      <c r="L577" t="inlineStr">
        <is>
          <t>N-Nitrosodi-n-butylamine</t>
        </is>
      </c>
    </row>
    <row r="578">
      <c r="L578" t="inlineStr">
        <is>
          <t>N-Nitrosodiethanolamine</t>
        </is>
      </c>
    </row>
    <row r="579">
      <c r="L579" t="inlineStr">
        <is>
          <t>N-Nitrosodiethylamine</t>
        </is>
      </c>
    </row>
    <row r="580">
      <c r="L580" t="inlineStr">
        <is>
          <t>N-Nitrosodimethylamine</t>
        </is>
      </c>
    </row>
    <row r="581">
      <c r="L581" t="inlineStr">
        <is>
          <t>p-Nitrosodiphenylamine</t>
        </is>
      </c>
    </row>
    <row r="582">
      <c r="L582" t="inlineStr">
        <is>
          <t>N-Nitrosodiphenylamine</t>
        </is>
      </c>
    </row>
    <row r="583">
      <c r="L583" t="inlineStr">
        <is>
          <t>N-Nitrosodi-n-propylamine</t>
        </is>
      </c>
    </row>
    <row r="584">
      <c r="L584" t="inlineStr">
        <is>
          <t>N-Nitroso-N-ethylurea</t>
        </is>
      </c>
    </row>
    <row r="585">
      <c r="L585" t="inlineStr">
        <is>
          <t>3-(N-Nitrosomethylamino) propionitrile</t>
        </is>
      </c>
    </row>
    <row r="586">
      <c r="L586" t="inlineStr">
        <is>
          <t>4-(N-Nitrosomethylamino)-1-(3-pyridyl)1-butanone</t>
        </is>
      </c>
    </row>
    <row r="587">
      <c r="L587" t="inlineStr">
        <is>
          <t>N-Nitrosomethyl-n-butylamine</t>
        </is>
      </c>
    </row>
    <row r="588">
      <c r="L588" t="inlineStr">
        <is>
          <t>N-Nitrosomethyl-n-decylamine</t>
        </is>
      </c>
    </row>
    <row r="589">
      <c r="L589" t="inlineStr">
        <is>
          <t>N-Nitrosomethyl-n-dodecylamine</t>
        </is>
      </c>
    </row>
    <row r="590">
      <c r="L590" t="inlineStr">
        <is>
          <t>N-Nitrosomethylethylamine</t>
        </is>
      </c>
    </row>
    <row r="591">
      <c r="L591" t="inlineStr">
        <is>
          <t>N-Nitrosomethyl-n-heptylamine</t>
        </is>
      </c>
    </row>
    <row r="592">
      <c r="L592" t="inlineStr">
        <is>
          <t>N-Nitrosomethyl-n-hexylamine</t>
        </is>
      </c>
    </row>
    <row r="593">
      <c r="L593" t="inlineStr">
        <is>
          <t>N-Nitrosomethyl-n-nonylamine</t>
        </is>
      </c>
    </row>
    <row r="594">
      <c r="L594" t="inlineStr">
        <is>
          <t>N-Nitrosomethyl-n-octylamine</t>
        </is>
      </c>
    </row>
    <row r="595">
      <c r="L595" t="inlineStr">
        <is>
          <t>N-Nitrosomethyl-n-pentylamine</t>
        </is>
      </c>
    </row>
    <row r="596">
      <c r="L596" t="inlineStr">
        <is>
          <t>N-Nitrosomethyl-n-propylamine</t>
        </is>
      </c>
    </row>
    <row r="597">
      <c r="L597" t="inlineStr">
        <is>
          <t>N-Nitrosomethyl-n-tetradecylamine</t>
        </is>
      </c>
    </row>
    <row r="598">
      <c r="L598" t="inlineStr">
        <is>
          <t>N-Nitrosomethyl-n-undecylamine</t>
        </is>
      </c>
    </row>
    <row r="599">
      <c r="L599" t="inlineStr">
        <is>
          <t>N-Nitroso-N-methylurea</t>
        </is>
      </c>
    </row>
    <row r="600">
      <c r="L600" t="inlineStr">
        <is>
          <t>N-Nitroso-N-methylurethane</t>
        </is>
      </c>
    </row>
    <row r="601">
      <c r="L601" t="inlineStr">
        <is>
          <t>N-Nitrosomethylvinylamine</t>
        </is>
      </c>
    </row>
    <row r="602">
      <c r="L602" t="inlineStr">
        <is>
          <t>N-Nitrosomorpholine</t>
        </is>
      </c>
    </row>
    <row r="603">
      <c r="L603" t="inlineStr">
        <is>
          <t>N-Nitrosonornicotine</t>
        </is>
      </c>
    </row>
    <row r="604">
      <c r="L604" t="inlineStr">
        <is>
          <t>N-Nitrosopiperidine</t>
        </is>
      </c>
    </row>
    <row r="605">
      <c r="L605" t="inlineStr">
        <is>
          <t>N-Nitrosopyrrolidine</t>
        </is>
      </c>
    </row>
    <row r="606">
      <c r="L606" t="inlineStr">
        <is>
          <t>N-Nitrososarcosine</t>
        </is>
      </c>
    </row>
    <row r="607">
      <c r="L607" t="inlineStr">
        <is>
          <t>o-Nitrotoluene</t>
        </is>
      </c>
    </row>
    <row r="608">
      <c r="L608" t="inlineStr">
        <is>
          <t>Nitrous oxide</t>
        </is>
      </c>
    </row>
    <row r="609">
      <c r="L609" t="inlineStr">
        <is>
          <t>Norethisterone (Norethindrone)</t>
        </is>
      </c>
    </row>
    <row r="610">
      <c r="L610" t="inlineStr">
        <is>
          <t>Norethisterone acetate (Norethindrone acetate)</t>
        </is>
      </c>
    </row>
    <row r="611">
      <c r="L611" t="inlineStr">
        <is>
          <t>Norethisterone (Norethindrone)/Ethinyl estradiol</t>
        </is>
      </c>
    </row>
    <row r="612">
      <c r="L612" t="inlineStr">
        <is>
          <t>Norethynodrel</t>
        </is>
      </c>
    </row>
    <row r="613">
      <c r="L613" t="inlineStr">
        <is>
          <t>Norgestrel</t>
        </is>
      </c>
    </row>
    <row r="614">
      <c r="L614" t="inlineStr">
        <is>
          <t>Ochratoxin A</t>
        </is>
      </c>
    </row>
    <row r="615">
      <c r="L615" t="inlineStr">
        <is>
          <t>Oil Orange SS</t>
        </is>
      </c>
    </row>
    <row r="616">
      <c r="L616" t="inlineStr">
        <is>
          <t>Oral contraceptives, combined</t>
        </is>
      </c>
    </row>
    <row r="617">
      <c r="L617" t="inlineStr">
        <is>
          <t>Oral contraceptives, sequential</t>
        </is>
      </c>
    </row>
    <row r="618">
      <c r="L618" t="inlineStr">
        <is>
          <t>Oryzalin</t>
        </is>
      </c>
    </row>
    <row r="619">
      <c r="L619" t="inlineStr">
        <is>
          <t>Oxadiazon</t>
        </is>
      </c>
    </row>
    <row r="620">
      <c r="L620" t="inlineStr">
        <is>
          <t>Oxazepam</t>
        </is>
      </c>
    </row>
    <row r="621">
      <c r="L621" t="inlineStr">
        <is>
          <t>Oxymetholone</t>
        </is>
      </c>
    </row>
    <row r="622">
      <c r="L622" t="inlineStr">
        <is>
          <t>Oxytetracycline (internal use)</t>
        </is>
      </c>
    </row>
    <row r="623">
      <c r="L623" t="inlineStr">
        <is>
          <t>Oxytetracycline hydrochloride (internal use)</t>
        </is>
      </c>
    </row>
    <row r="624">
      <c r="L624" t="inlineStr">
        <is>
          <t>Oxythioquinox (Chinomethionat)</t>
        </is>
      </c>
    </row>
    <row r="625">
      <c r="L625" t="inlineStr">
        <is>
          <t>Paclitaxel</t>
        </is>
      </c>
    </row>
    <row r="626">
      <c r="L626" t="inlineStr">
        <is>
          <t>Palygorskite fibers (&gt; 5mm in length)</t>
        </is>
      </c>
    </row>
    <row r="627">
      <c r="L627" t="inlineStr">
        <is>
          <t>Panfuran S</t>
        </is>
      </c>
    </row>
    <row r="628">
      <c r="L628" t="inlineStr">
        <is>
          <t>Paramethadione</t>
        </is>
      </c>
    </row>
    <row r="629">
      <c r="L629" t="inlineStr">
        <is>
          <t>Parathion</t>
        </is>
      </c>
    </row>
    <row r="630">
      <c r="L630" t="inlineStr">
        <is>
          <t>Penicillamine</t>
        </is>
      </c>
    </row>
    <row r="631">
      <c r="L631" t="inlineStr">
        <is>
          <t>pentabromodiphenyl ether mixture [DE-71 (technical grade)]</t>
        </is>
      </c>
    </row>
    <row r="632">
      <c r="L632" t="inlineStr">
        <is>
          <t>Pentachlorophenol</t>
        </is>
      </c>
    </row>
    <row r="633">
      <c r="L633" t="inlineStr">
        <is>
          <t>Pentachlorophenol and by-products of its synthesis (complex mixture)</t>
        </is>
      </c>
    </row>
    <row r="634">
      <c r="L634" t="inlineStr">
        <is>
          <t>Pentobarbital sodium</t>
        </is>
      </c>
    </row>
    <row r="635">
      <c r="L635" t="inlineStr">
        <is>
          <t>Pentosan polysulfate sodium</t>
        </is>
      </c>
    </row>
    <row r="636">
      <c r="L636" t="inlineStr">
        <is>
          <t>Pentostatin</t>
        </is>
      </c>
    </row>
    <row r="637">
      <c r="L637" t="inlineStr">
        <is>
          <t>Perfluorooctane sulfonate (PFOS)</t>
        </is>
      </c>
    </row>
    <row r="638">
      <c r="L638" t="inlineStr">
        <is>
          <t>Perfluorooctanoic acid (PFOA)</t>
        </is>
      </c>
    </row>
    <row r="639">
      <c r="L639" t="inlineStr">
        <is>
          <t>Pertuzumab</t>
        </is>
      </c>
    </row>
    <row r="640">
      <c r="L640" t="inlineStr">
        <is>
          <t>Phenacemide</t>
        </is>
      </c>
    </row>
    <row r="641">
      <c r="L641" t="inlineStr">
        <is>
          <t>Phenacetin</t>
        </is>
      </c>
    </row>
    <row r="642">
      <c r="L642" t="inlineStr">
        <is>
          <t>Phenazopyridine</t>
        </is>
      </c>
    </row>
    <row r="643">
      <c r="L643" t="inlineStr">
        <is>
          <t>Phenazopyridine hydrochloride</t>
        </is>
      </c>
    </row>
    <row r="644">
      <c r="L644" t="inlineStr">
        <is>
          <t>Phenesterin</t>
        </is>
      </c>
    </row>
    <row r="645">
      <c r="L645" t="inlineStr">
        <is>
          <t>Phenobarbital</t>
        </is>
      </c>
    </row>
    <row r="646">
      <c r="L646" t="inlineStr">
        <is>
          <t>Phenolphthalein</t>
        </is>
      </c>
    </row>
    <row r="647">
      <c r="L647" t="inlineStr">
        <is>
          <t>Phenoxybenzamine</t>
        </is>
      </c>
    </row>
    <row r="648">
      <c r="L648" t="inlineStr">
        <is>
          <t>Phenoxybenzamine hydrochloride</t>
        </is>
      </c>
    </row>
    <row r="649">
      <c r="L649" t="inlineStr">
        <is>
          <t>Phenprocoumon</t>
        </is>
      </c>
    </row>
    <row r="650">
      <c r="L650" t="inlineStr">
        <is>
          <t>o-Phenylenediamine and its salts</t>
        </is>
      </c>
    </row>
    <row r="651">
      <c r="L651" t="inlineStr">
        <is>
          <t>Phenylhydrazine and its salts</t>
        </is>
      </c>
    </row>
    <row r="652">
      <c r="L652" t="inlineStr">
        <is>
          <t>o-Phenylphenate, sodium</t>
        </is>
      </c>
    </row>
    <row r="653">
      <c r="L653" t="inlineStr">
        <is>
          <t>o-Phenylphenol</t>
        </is>
      </c>
    </row>
    <row r="654">
      <c r="L654" t="inlineStr">
        <is>
          <t>Phenylphosphine</t>
        </is>
      </c>
    </row>
    <row r="655">
      <c r="L655" t="inlineStr">
        <is>
          <t>PhiP(2-Amino-1-methyl-6-phenylimidazol[4,5-b]pyridine)</t>
        </is>
      </c>
    </row>
    <row r="656">
      <c r="L656" t="inlineStr">
        <is>
          <t>Pimozide</t>
        </is>
      </c>
    </row>
    <row r="657">
      <c r="L657" t="inlineStr">
        <is>
          <t>Pioglitazone</t>
        </is>
      </c>
    </row>
    <row r="658">
      <c r="L658" t="inlineStr">
        <is>
          <t>Pipobroman</t>
        </is>
      </c>
    </row>
    <row r="659">
      <c r="L659" t="inlineStr">
        <is>
          <t>Pirimicarb</t>
        </is>
      </c>
    </row>
    <row r="660">
      <c r="L660" t="inlineStr">
        <is>
          <t>Plicamycin</t>
        </is>
      </c>
    </row>
    <row r="661">
      <c r="L661" t="inlineStr">
        <is>
          <t>Polybrominated biphenyls</t>
        </is>
      </c>
    </row>
    <row r="662">
      <c r="L662" t="inlineStr">
        <is>
          <t>Polychlorinated biphenyls</t>
        </is>
      </c>
    </row>
    <row r="663">
      <c r="L663" t="inlineStr">
        <is>
          <t>Polychlorinated biphenyls (containing 60 or more percent chlorine by molecular weight)</t>
        </is>
      </c>
    </row>
    <row r="664">
      <c r="L664" t="inlineStr">
        <is>
          <t>Polychlorinated dibenzo-p-dioxins</t>
        </is>
      </c>
    </row>
    <row r="665">
      <c r="L665" t="inlineStr">
        <is>
          <t>Polychlorinated dibenzofurans</t>
        </is>
      </c>
    </row>
    <row r="666">
      <c r="L666" t="inlineStr">
        <is>
          <t>Polygeenan</t>
        </is>
      </c>
    </row>
    <row r="667">
      <c r="L667" t="inlineStr">
        <is>
          <t>Ponceau MX</t>
        </is>
      </c>
    </row>
    <row r="668">
      <c r="L668" t="inlineStr">
        <is>
          <t>Ponceau 3R</t>
        </is>
      </c>
    </row>
    <row r="669">
      <c r="L669" t="inlineStr">
        <is>
          <t>Potassium bromate</t>
        </is>
      </c>
    </row>
    <row r="670">
      <c r="L670" t="inlineStr">
        <is>
          <t>Potassium dimethyldithiocarbamate</t>
        </is>
      </c>
    </row>
    <row r="671">
      <c r="L671" t="inlineStr">
        <is>
          <t>Pravastatin sodium</t>
        </is>
      </c>
    </row>
    <row r="672">
      <c r="L672" t="inlineStr">
        <is>
          <t>Prednisolone sodium phosphate</t>
        </is>
      </c>
    </row>
    <row r="673">
      <c r="L673" t="inlineStr">
        <is>
          <t>Primidone</t>
        </is>
      </c>
    </row>
    <row r="674">
      <c r="L674" t="inlineStr">
        <is>
          <t>Procarbazine</t>
        </is>
      </c>
    </row>
    <row r="675">
      <c r="L675" t="inlineStr">
        <is>
          <t>Procarbazine hydrochloride</t>
        </is>
      </c>
    </row>
    <row r="676">
      <c r="L676" t="inlineStr">
        <is>
          <t>Procymidone</t>
        </is>
      </c>
    </row>
    <row r="677">
      <c r="L677" t="inlineStr">
        <is>
          <t>Progesterone</t>
        </is>
      </c>
    </row>
    <row r="678">
      <c r="L678" t="inlineStr">
        <is>
          <t>Pronamide</t>
        </is>
      </c>
    </row>
    <row r="679">
      <c r="L679" t="inlineStr">
        <is>
          <t>Propachlor</t>
        </is>
      </c>
    </row>
    <row r="680">
      <c r="L680" t="inlineStr">
        <is>
          <t>1,3-Propane sultone</t>
        </is>
      </c>
    </row>
    <row r="681">
      <c r="L681" t="inlineStr">
        <is>
          <t>Propargite</t>
        </is>
      </c>
    </row>
    <row r="682">
      <c r="L682" t="inlineStr">
        <is>
          <t>Propazine</t>
        </is>
      </c>
    </row>
    <row r="683">
      <c r="L683" t="inlineStr">
        <is>
          <t>beta-Propiolactone</t>
        </is>
      </c>
    </row>
    <row r="684">
      <c r="L684" t="inlineStr">
        <is>
          <t>Propoxur</t>
        </is>
      </c>
    </row>
    <row r="685">
      <c r="L685" t="inlineStr">
        <is>
          <t>Propylene glycol mono-t-butyl ether</t>
        </is>
      </c>
    </row>
    <row r="686">
      <c r="L686" t="inlineStr">
        <is>
          <t>Propylene oxide</t>
        </is>
      </c>
    </row>
    <row r="687">
      <c r="L687" t="inlineStr">
        <is>
          <t>Propylthiouracil</t>
        </is>
      </c>
    </row>
    <row r="688">
      <c r="L688" t="inlineStr">
        <is>
          <t>Pulegone</t>
        </is>
      </c>
    </row>
    <row r="689">
      <c r="L689" t="inlineStr">
        <is>
          <t>Pymetrozine</t>
        </is>
      </c>
    </row>
    <row r="690">
      <c r="L690" t="inlineStr">
        <is>
          <t>Pyridine</t>
        </is>
      </c>
    </row>
    <row r="691">
      <c r="L691" t="inlineStr">
        <is>
          <t>Pyrimethamine</t>
        </is>
      </c>
    </row>
    <row r="692">
      <c r="L692" t="inlineStr">
        <is>
          <t>Quazepam</t>
        </is>
      </c>
    </row>
    <row r="693">
      <c r="L693" t="inlineStr">
        <is>
          <t>Quinoline and its strong acid salts</t>
        </is>
      </c>
    </row>
    <row r="694">
      <c r="L694" t="inlineStr">
        <is>
          <t>Radionuclides</t>
        </is>
      </c>
    </row>
    <row r="695">
      <c r="L695" t="inlineStr">
        <is>
          <t>Reserpine</t>
        </is>
      </c>
    </row>
    <row r="696">
      <c r="L696" t="inlineStr">
        <is>
          <t>Residual (heavy) fuel oils</t>
        </is>
      </c>
    </row>
    <row r="697">
      <c r="L697" t="inlineStr">
        <is>
          <t>Resmethrin</t>
        </is>
      </c>
    </row>
    <row r="698">
      <c r="L698" t="inlineStr">
        <is>
          <t>Retinol/retinyl esters, when in daily dosages in excess of 10,000 IU, or 3,000 retinol equivalents.</t>
        </is>
      </c>
    </row>
    <row r="699">
      <c r="L699" t="inlineStr">
        <is>
          <t>Ribavirin</t>
        </is>
      </c>
    </row>
    <row r="700">
      <c r="L700" t="inlineStr">
        <is>
          <t>Riddelliine</t>
        </is>
      </c>
    </row>
    <row r="701">
      <c r="L701" t="inlineStr">
        <is>
          <t>Rifampin</t>
        </is>
      </c>
    </row>
    <row r="702">
      <c r="L702" t="inlineStr">
        <is>
          <t>Safrole</t>
        </is>
      </c>
    </row>
    <row r="703">
      <c r="L703" t="inlineStr">
        <is>
          <t>Salted fish, Chinese-style</t>
        </is>
      </c>
    </row>
    <row r="704">
      <c r="L704" t="inlineStr">
        <is>
          <t>Secobarbital sodium</t>
        </is>
      </c>
    </row>
    <row r="705">
      <c r="L705" t="inlineStr">
        <is>
          <t>Sedaxane</t>
        </is>
      </c>
    </row>
    <row r="706">
      <c r="L706" t="inlineStr">
        <is>
          <t>Selenium sulfide</t>
        </is>
      </c>
    </row>
    <row r="707">
      <c r="L707" t="inlineStr">
        <is>
          <t>Sermorelin acetate</t>
        </is>
      </c>
    </row>
    <row r="708">
      <c r="L708" t="inlineStr">
        <is>
          <t>Shale-oils</t>
        </is>
      </c>
    </row>
    <row r="709">
      <c r="L709" t="inlineStr">
        <is>
          <t>Silica, crystalline (airborne particles of respirable size)</t>
        </is>
      </c>
    </row>
    <row r="710">
      <c r="L710" t="inlineStr">
        <is>
          <t>Simazine</t>
        </is>
      </c>
    </row>
    <row r="711">
      <c r="L711" t="inlineStr">
        <is>
          <t>Sodium dimethyldithiocarbamate</t>
        </is>
      </c>
    </row>
    <row r="712">
      <c r="L712" t="inlineStr">
        <is>
          <t>Soots, tars, and mineral oils (untreated and mildly treated oils and used engine oils)</t>
        </is>
      </c>
    </row>
    <row r="713">
      <c r="L713" t="inlineStr">
        <is>
          <t>Spirodiclofen</t>
        </is>
      </c>
    </row>
    <row r="714">
      <c r="L714" t="inlineStr">
        <is>
          <t>Spironolactone</t>
        </is>
      </c>
    </row>
    <row r="715">
      <c r="L715" t="inlineStr">
        <is>
          <t>Stanozolol</t>
        </is>
      </c>
    </row>
    <row r="716">
      <c r="L716" t="inlineStr">
        <is>
          <t>Sterigmatocystin</t>
        </is>
      </c>
    </row>
    <row r="717">
      <c r="L717" t="inlineStr">
        <is>
          <t>Streptomycin sulfate</t>
        </is>
      </c>
    </row>
    <row r="718">
      <c r="L718" t="inlineStr">
        <is>
          <t>Streptozocin (streptozotocin)</t>
        </is>
      </c>
    </row>
    <row r="719">
      <c r="L719" t="inlineStr">
        <is>
          <t>Streptozotocin (streptozocin)</t>
        </is>
      </c>
    </row>
    <row r="720">
      <c r="L720" t="inlineStr">
        <is>
          <t>Strong inorganic acid mists containing sulfuric acid</t>
        </is>
      </c>
    </row>
    <row r="721">
      <c r="L721" t="inlineStr">
        <is>
          <t>Styrene</t>
        </is>
      </c>
    </row>
    <row r="722">
      <c r="L722" t="inlineStr">
        <is>
          <t>Styrene oxide</t>
        </is>
      </c>
    </row>
    <row r="723">
      <c r="L723" t="inlineStr">
        <is>
          <t>Sulfallate</t>
        </is>
      </c>
    </row>
    <row r="724">
      <c r="L724" t="inlineStr">
        <is>
          <t>Sulfasalazine (Salicylazosulfapyridine)</t>
        </is>
      </c>
    </row>
    <row r="725">
      <c r="L725" t="inlineStr">
        <is>
          <t>Sulfur dioxidee</t>
        </is>
      </c>
    </row>
    <row r="726">
      <c r="L726" t="inlineStr">
        <is>
          <t>Sulindac</t>
        </is>
      </c>
    </row>
    <row r="727">
      <c r="L727" t="inlineStr">
        <is>
          <t>Talc containing asbestiform fibers</t>
        </is>
      </c>
    </row>
    <row r="728">
      <c r="L728" t="inlineStr">
        <is>
          <t>Tamoxifen and its salts</t>
        </is>
      </c>
    </row>
    <row r="729">
      <c r="L729" t="inlineStr">
        <is>
          <t>Tamoxifen citrate</t>
        </is>
      </c>
    </row>
    <row r="730">
      <c r="L730" t="inlineStr">
        <is>
          <t>Temazepam</t>
        </is>
      </c>
    </row>
    <row r="731">
      <c r="L731" t="inlineStr">
        <is>
          <t>Teniposide</t>
        </is>
      </c>
    </row>
    <row r="732">
      <c r="L732" t="inlineStr">
        <is>
          <t>Terbacil</t>
        </is>
      </c>
    </row>
    <row r="733">
      <c r="L733" t="inlineStr">
        <is>
          <t>Teriparatide</t>
        </is>
      </c>
    </row>
    <row r="734">
      <c r="L734" t="inlineStr">
        <is>
          <t>Terrazole</t>
        </is>
      </c>
    </row>
    <row r="735">
      <c r="L735" t="inlineStr">
        <is>
          <t>Testosterone and its esters</t>
        </is>
      </c>
    </row>
    <row r="736">
      <c r="L736" t="inlineStr">
        <is>
          <t>Testosterone cypionate</t>
        </is>
      </c>
    </row>
    <row r="737">
      <c r="L737" t="inlineStr">
        <is>
          <t>Testosterone enanthate</t>
        </is>
      </c>
    </row>
    <row r="738">
      <c r="L738" t="inlineStr">
        <is>
          <t>Tetrabromobisphenol A</t>
        </is>
      </c>
    </row>
    <row r="739">
      <c r="L739" t="inlineStr">
        <is>
          <t>3,3',4,4'-Tetrachloroazobenzene</t>
        </is>
      </c>
    </row>
    <row r="740">
      <c r="L740" t="inlineStr">
        <is>
          <t>2,3,7,8-Tetrachlorodibenzo-p-dioxin (TCDD)</t>
        </is>
      </c>
    </row>
    <row r="741">
      <c r="L741" t="inlineStr">
        <is>
          <t>1,1,1,2-Tetrachloroethane</t>
        </is>
      </c>
    </row>
    <row r="742">
      <c r="L742" t="inlineStr">
        <is>
          <t>1,1,2,2-Tetrachloroethane</t>
        </is>
      </c>
    </row>
    <row r="743">
      <c r="L743" t="inlineStr">
        <is>
          <t>Tetrachloroethylene (Perchloroethylene)</t>
        </is>
      </c>
    </row>
    <row r="744">
      <c r="L744" t="inlineStr">
        <is>
          <t>p-a,a,a-Tetrachlorotoluene</t>
        </is>
      </c>
    </row>
    <row r="745">
      <c r="L745" t="inlineStr">
        <is>
          <t>Tetrachlorvinphos</t>
        </is>
      </c>
    </row>
    <row r="746">
      <c r="L746" t="inlineStr">
        <is>
          <t>Tetracycline (internal use)</t>
        </is>
      </c>
    </row>
    <row r="747">
      <c r="L747" t="inlineStr">
        <is>
          <t>Tetracyclines (internal use)</t>
        </is>
      </c>
    </row>
    <row r="748">
      <c r="L748" t="inlineStr">
        <is>
          <t>Tetracycline hydrochloride (internal use)</t>
        </is>
      </c>
    </row>
    <row r="749">
      <c r="L749" t="inlineStr">
        <is>
          <t>Tetrafluoroethylene</t>
        </is>
      </c>
    </row>
    <row r="750">
      <c r="L750" t="inlineStr">
        <is>
          <t>Tetranitromethane</t>
        </is>
      </c>
    </row>
    <row r="751">
      <c r="L751" t="inlineStr">
        <is>
          <t>Thalidomide</t>
        </is>
      </c>
    </row>
    <row r="752">
      <c r="L752" t="inlineStr">
        <is>
          <t>Thioacetamide</t>
        </is>
      </c>
    </row>
    <row r="753">
      <c r="L753" t="inlineStr">
        <is>
          <t>4,4'-Thiodianiline</t>
        </is>
      </c>
    </row>
    <row r="754">
      <c r="L754" t="inlineStr">
        <is>
          <t>Thiodicarb</t>
        </is>
      </c>
    </row>
    <row r="755">
      <c r="L755" t="inlineStr">
        <is>
          <t>Thioguanine</t>
        </is>
      </c>
    </row>
    <row r="756">
      <c r="L756" t="inlineStr">
        <is>
          <t>Thiouracil</t>
        </is>
      </c>
    </row>
    <row r="757">
      <c r="L757" t="inlineStr">
        <is>
          <t>Thiourea</t>
        </is>
      </c>
    </row>
    <row r="758">
      <c r="L758" t="inlineStr">
        <is>
          <t>Thorium dioxide</t>
        </is>
      </c>
    </row>
    <row r="759">
      <c r="L759" t="inlineStr">
        <is>
          <t>Titanium dioxide (airborne, unbound particles of respirable size)</t>
        </is>
      </c>
    </row>
    <row r="760">
      <c r="L760" t="inlineStr">
        <is>
          <t>Tobacco, oral use of smokeless products</t>
        </is>
      </c>
    </row>
    <row r="761">
      <c r="L761" t="inlineStr">
        <is>
          <t>Tobacco smoke</t>
        </is>
      </c>
    </row>
    <row r="762">
      <c r="L762" t="inlineStr">
        <is>
          <t>Tobacco smoke (primary)</t>
        </is>
      </c>
    </row>
    <row r="763">
      <c r="L763" t="inlineStr">
        <is>
          <t>Tobramycin sulfate</t>
        </is>
      </c>
    </row>
    <row r="764">
      <c r="L764" t="inlineStr">
        <is>
          <t>Toluene</t>
        </is>
      </c>
    </row>
    <row r="765">
      <c r="L765" t="inlineStr">
        <is>
          <t>Toluene diisocyanate</t>
        </is>
      </c>
    </row>
    <row r="766">
      <c r="L766" t="inlineStr">
        <is>
          <t>o-Toluidine</t>
        </is>
      </c>
    </row>
    <row r="767">
      <c r="L767" t="inlineStr">
        <is>
          <t>o-Toluidine hydrochloride</t>
        </is>
      </c>
    </row>
    <row r="768">
      <c r="L768" t="inlineStr">
        <is>
          <t>Topiramate</t>
        </is>
      </c>
    </row>
    <row r="769">
      <c r="L769" t="inlineStr">
        <is>
          <t>Toxaphene (Polychlorinated camphenes)</t>
        </is>
      </c>
    </row>
    <row r="770">
      <c r="L770" t="inlineStr">
        <is>
          <t>Toxins derived from Fusarium moniliforme (Fusarium verticillioides)</t>
        </is>
      </c>
    </row>
    <row r="771">
      <c r="L771" t="inlineStr">
        <is>
          <t>Treosulfan</t>
        </is>
      </c>
    </row>
    <row r="772">
      <c r="L772" t="inlineStr">
        <is>
          <t>Triadimefon</t>
        </is>
      </c>
    </row>
    <row r="773">
      <c r="L773" t="inlineStr">
        <is>
          <t>Triamterene</t>
        </is>
      </c>
    </row>
    <row r="774">
      <c r="L774" t="inlineStr">
        <is>
          <t>Triazolam</t>
        </is>
      </c>
    </row>
    <row r="775">
      <c r="L775" t="inlineStr">
        <is>
          <t>S,S,S-Tributyl phosphorotrithioate (Tribufos, DEF)</t>
        </is>
      </c>
    </row>
    <row r="776">
      <c r="L776" t="inlineStr">
        <is>
          <t>Tributyltin methacrylate</t>
        </is>
      </c>
    </row>
    <row r="777">
      <c r="L777" t="inlineStr">
        <is>
          <t>Trichlormethine (Trimustine hydrochloride)</t>
        </is>
      </c>
    </row>
    <row r="778">
      <c r="L778" t="inlineStr">
        <is>
          <t>Trichloroacetic acid</t>
        </is>
      </c>
    </row>
    <row r="779">
      <c r="L779" t="inlineStr">
        <is>
          <t>Trichloroethylene</t>
        </is>
      </c>
    </row>
    <row r="780">
      <c r="L780" t="inlineStr">
        <is>
          <t>2,4,6-Trichlorophenol</t>
        </is>
      </c>
    </row>
    <row r="781">
      <c r="L781" t="inlineStr">
        <is>
          <t>1,2,3-Trichloropropane</t>
        </is>
      </c>
    </row>
    <row r="782">
      <c r="L782" t="inlineStr">
        <is>
          <t>Trientine hydrochloride</t>
        </is>
      </c>
    </row>
    <row r="783">
      <c r="L783" t="inlineStr">
        <is>
          <t>Triforine</t>
        </is>
      </c>
    </row>
    <row r="784">
      <c r="L784" t="inlineStr">
        <is>
          <t>Trilostane</t>
        </is>
      </c>
    </row>
    <row r="785">
      <c r="L785" t="inlineStr">
        <is>
          <t>Trimethadione</t>
        </is>
      </c>
    </row>
    <row r="786">
      <c r="L786" t="inlineStr">
        <is>
          <t>2,4,5-Trimethylaniline and its strong acid salts</t>
        </is>
      </c>
    </row>
    <row r="787">
      <c r="L787" t="inlineStr">
        <is>
          <t>Trimethyl phosphate</t>
        </is>
      </c>
    </row>
    <row r="788">
      <c r="L788" t="inlineStr">
        <is>
          <t>Trimetrexate glucuronate</t>
        </is>
      </c>
    </row>
    <row r="789">
      <c r="L789" t="inlineStr">
        <is>
          <t>2,4,6-Trinitrotoluene (TNT)</t>
        </is>
      </c>
    </row>
    <row r="790">
      <c r="L790" t="inlineStr">
        <is>
          <t>Triphenyltin hydroxide</t>
        </is>
      </c>
    </row>
    <row r="791">
      <c r="L791" t="inlineStr">
        <is>
          <t>Tris(1-aziridinyl)phosphine sulfide (Thiotepa)</t>
        </is>
      </c>
    </row>
    <row r="792">
      <c r="L792" t="inlineStr">
        <is>
          <t>Tris(2-chloroethyl) phosphate</t>
        </is>
      </c>
    </row>
    <row r="793">
      <c r="L793" t="inlineStr">
        <is>
          <t>Tris(2,3-dibromopropyl)phosphate</t>
        </is>
      </c>
    </row>
    <row r="794">
      <c r="L794" t="inlineStr">
        <is>
          <t>Tris(1,3-dichloro-2-propyl) phosphate (TDCPP)</t>
        </is>
      </c>
    </row>
    <row r="795">
      <c r="L795" t="inlineStr">
        <is>
          <t>Trp-P-1 (Tryptophan-P-1)</t>
        </is>
      </c>
    </row>
    <row r="796">
      <c r="L796" t="inlineStr">
        <is>
          <t>Trp-P-2 (Tryptophan-P-2)</t>
        </is>
      </c>
    </row>
    <row r="797">
      <c r="L797" t="inlineStr">
        <is>
          <t>Trypan blue (commercial grade)</t>
        </is>
      </c>
    </row>
    <row r="798">
      <c r="L798" t="inlineStr">
        <is>
          <t>Unleaded gasoline (wholly vaporized)</t>
        </is>
      </c>
    </row>
    <row r="799">
      <c r="L799" t="inlineStr">
        <is>
          <t>Uracil mustard</t>
        </is>
      </c>
    </row>
    <row r="800">
      <c r="L800" t="inlineStr">
        <is>
          <t>Urethane (Ethyl carbamate)</t>
        </is>
      </c>
    </row>
    <row r="801">
      <c r="L801" t="inlineStr">
        <is>
          <t>Urofollitropin</t>
        </is>
      </c>
    </row>
    <row r="802">
      <c r="L802" t="inlineStr">
        <is>
          <t>Valproate (Valproic acid)</t>
        </is>
      </c>
    </row>
    <row r="803">
      <c r="L803" t="inlineStr">
        <is>
          <t>Vanadium pentoxide (orthorhombic crystalline form)</t>
        </is>
      </c>
    </row>
    <row r="804">
      <c r="L804" t="inlineStr">
        <is>
          <t>Vinblastine sulfate</t>
        </is>
      </c>
    </row>
    <row r="805">
      <c r="L805" t="inlineStr">
        <is>
          <t>Vinclozolin</t>
        </is>
      </c>
    </row>
    <row r="806">
      <c r="L806" t="inlineStr">
        <is>
          <t>Vincristine sulfate</t>
        </is>
      </c>
    </row>
    <row r="807">
      <c r="L807" t="inlineStr">
        <is>
          <t>Vinyl bromide</t>
        </is>
      </c>
    </row>
    <row r="808">
      <c r="L808" t="inlineStr">
        <is>
          <t>Vinyl chloride</t>
        </is>
      </c>
    </row>
    <row r="809">
      <c r="L809" t="inlineStr">
        <is>
          <t>4-Vinylcyclohexene</t>
        </is>
      </c>
    </row>
    <row r="810">
      <c r="L810" t="inlineStr">
        <is>
          <t>4-Vinyl-1-cyclohexene diepoxide (Vinyl cyclohexenedioxide)</t>
        </is>
      </c>
    </row>
    <row r="811">
      <c r="L811" t="inlineStr">
        <is>
          <t>Vinyl fluoride</t>
        </is>
      </c>
    </row>
    <row r="812">
      <c r="L812" t="inlineStr">
        <is>
          <t>Vinylidene chloride (1,1-Dichloroethylene)</t>
        </is>
      </c>
    </row>
    <row r="813">
      <c r="L813" t="inlineStr">
        <is>
          <t>Vinyl trichloride (1,1,2-Trichloroethane)</t>
        </is>
      </c>
    </row>
    <row r="814">
      <c r="L814" t="inlineStr">
        <is>
          <t>Warfarin</t>
        </is>
      </c>
    </row>
    <row r="815">
      <c r="L815" t="inlineStr">
        <is>
          <t>Wood dust</t>
        </is>
      </c>
    </row>
    <row r="816">
      <c r="L816" t="inlineStr">
        <is>
          <t>2,6-Xylidine (2,6-Dimethylaniline)</t>
        </is>
      </c>
    </row>
    <row r="817">
      <c r="L817" t="inlineStr">
        <is>
          <t>Zalcitabine</t>
        </is>
      </c>
    </row>
    <row r="818">
      <c r="L818" t="inlineStr">
        <is>
          <t>Zidovudine (AZT)</t>
        </is>
      </c>
    </row>
    <row r="819">
      <c r="L819" t="inlineStr">
        <is>
          <t>Zileuton</t>
        </is>
      </c>
    </row>
    <row r="820">
      <c r="L820" t="inlineStr">
        <is>
          <t>2-Bromopropane (2-BP)</t>
        </is>
      </c>
    </row>
    <row r="821">
      <c r="L821" t="inlineStr">
        <is>
          <t>2-Chloropropionic acid</t>
        </is>
      </c>
    </row>
    <row r="822">
      <c r="L822" t="inlineStr">
        <is>
          <t>Di-n-hexyl phthalate (DnHP)</t>
        </is>
      </c>
    </row>
    <row r="823">
      <c r="L823" t="inlineStr">
        <is>
          <t>m-Dinitrobenzene</t>
        </is>
      </c>
    </row>
    <row r="824">
      <c r="L824" t="inlineStr">
        <is>
          <t>o-Dinitrobenzene</t>
        </is>
      </c>
    </row>
    <row r="825">
      <c r="L825" t="inlineStr">
        <is>
          <t>p-Dinitrobenzene</t>
        </is>
      </c>
    </row>
    <row r="826">
      <c r="L826" t="inlineStr">
        <is>
          <t>Dinitrotoluene (technical grade)</t>
        </is>
      </c>
    </row>
    <row r="827">
      <c r="L827" t="inlineStr">
        <is>
          <t>n-Hexane</t>
        </is>
      </c>
    </row>
    <row r="828">
      <c r="L828" t="inlineStr">
        <is>
          <t>2,5-Hexanedione</t>
        </is>
      </c>
    </row>
    <row r="829">
      <c r="L829" t="inlineStr">
        <is>
          <t>Hydrogen cyanide (HCN) and cyanide salts (CN salts)</t>
        </is>
      </c>
    </row>
    <row r="830">
      <c r="L830" t="inlineStr">
        <is>
          <t>Levonorgestrel implants</t>
        </is>
      </c>
    </row>
    <row r="831">
      <c r="L831" t="inlineStr">
        <is>
          <t>Nitrofurantoin</t>
        </is>
      </c>
    </row>
    <row r="832">
      <c r="L832" t="inlineStr">
        <is>
          <t>Oxydemeton methyl</t>
        </is>
      </c>
    </row>
    <row r="833">
      <c r="L833" t="inlineStr">
        <is>
          <t>Quizalofop-ethyl</t>
        </is>
      </c>
    </row>
    <row r="834">
      <c r="L834" t="inlineStr">
        <is>
          <t>Sodium fluoroacetate</t>
        </is>
      </c>
    </row>
    <row r="835">
      <c r="L835" t="inlineStr">
        <is>
          <t>Thiophanate methyl</t>
        </is>
      </c>
    </row>
    <row r="836">
      <c r="L836" t="inlineStr">
        <is>
          <t>Vinyl cyclohexene dioxide (4-Vinyl-1-cyclohexene diepoxide)</t>
        </is>
      </c>
    </row>
    <row r="837">
      <c r="L837" t="inlineStr">
        <is>
          <t>Chloroform</t>
        </is>
      </c>
    </row>
    <row r="838">
      <c r="L838" t="inlineStr">
        <is>
          <t>1,2-Dibromo-3-chloropropane (DBCP)</t>
        </is>
      </c>
    </row>
    <row r="839">
      <c r="L839" t="inlineStr">
        <is>
          <t>Diclofop-methyl</t>
        </is>
      </c>
    </row>
    <row r="840">
      <c r="L840" t="inlineStr">
        <is>
          <t>Phenyl glycidyl ether</t>
        </is>
      </c>
    </row>
    <row r="841">
      <c r="L841" t="inlineStr">
        <is>
          <t>Di-isodecyl phthalate (DIDP)</t>
        </is>
      </c>
    </row>
    <row r="842">
      <c r="L842" t="inlineStr">
        <is>
          <t>Erionite</t>
        </is>
      </c>
    </row>
    <row r="843">
      <c r="L843" t="inlineStr">
        <is>
          <t>Iprovalicarb</t>
        </is>
      </c>
    </row>
    <row r="844">
      <c r="L844" t="inlineStr">
        <is>
          <t>Nickel hydroxide</t>
        </is>
      </c>
    </row>
    <row r="845">
      <c r="L845" t="inlineStr">
        <is>
          <t>Norethisterone (Norethindrone) /Mestranol</t>
        </is>
      </c>
    </row>
    <row r="846">
      <c r="L846" t="inlineStr">
        <is>
          <t>Anabolic steroids</t>
        </is>
      </c>
    </row>
    <row r="847">
      <c r="L847" t="inlineStr">
        <is>
          <t>Altretamine</t>
        </is>
      </c>
    </row>
    <row r="848">
      <c r="L848" t="inlineStr">
        <is>
          <t>Beryllium</t>
        </is>
      </c>
    </row>
    <row r="849">
      <c r="L849" t="inlineStr">
        <is>
          <t>Beryllium Oxide</t>
        </is>
      </c>
    </row>
    <row r="850">
      <c r="L850" t="inlineStr">
        <is>
          <t>Beryllium Sulfate</t>
        </is>
      </c>
    </row>
    <row r="851">
      <c r="L851" t="inlineStr">
        <is>
          <t>Hexachlorocyclohexane (alpha isomer)</t>
        </is>
      </c>
    </row>
    <row r="852">
      <c r="L852" t="inlineStr">
        <is>
          <t>Hexachlorocyclohexane (beta isomer)</t>
        </is>
      </c>
    </row>
    <row r="853">
      <c r="L853" t="inlineStr">
        <is>
          <t>Hexachlorocyclohexane (gamma isomer)</t>
        </is>
      </c>
    </row>
    <row r="854">
      <c r="L854" t="inlineStr">
        <is>
          <t>Cyanide salts that readily dissociate in solution (expressed as cyanide)</t>
        </is>
      </c>
    </row>
    <row r="855">
      <c r="L855" t="inlineStr">
        <is>
          <t>Hydrogen cyanide</t>
        </is>
      </c>
    </row>
    <row r="856">
      <c r="L856" t="inlineStr">
        <is>
          <t>Potassium cyanide</t>
        </is>
      </c>
    </row>
    <row r="857">
      <c r="L857" t="inlineStr">
        <is>
          <t>Methylhydrazine</t>
        </is>
      </c>
    </row>
    <row r="858">
      <c r="L858" t="inlineStr">
        <is>
          <t>Methylhydrazine sulfate</t>
        </is>
      </c>
    </row>
    <row r="859">
      <c r="L859" t="inlineStr">
        <is>
          <t>o-Phenylenediamine</t>
        </is>
      </c>
    </row>
    <row r="860">
      <c r="L860" t="inlineStr">
        <is>
          <t>o-Phenylenediamine dihydochloride</t>
        </is>
      </c>
    </row>
    <row r="861">
      <c r="L861" t="inlineStr">
        <is>
          <t>Phenylhydrazine</t>
        </is>
      </c>
    </row>
    <row r="862">
      <c r="L862" t="inlineStr">
        <is>
          <t>Phenylhydrazine hydrochloride</t>
        </is>
      </c>
    </row>
    <row r="863">
      <c r="L863" t="inlineStr">
        <is>
          <t>Sodium cyanide</t>
        </is>
      </c>
    </row>
    <row r="864">
      <c r="L864" t="inlineStr">
        <is>
          <t>Short form warning</t>
        </is>
      </c>
    </row>
    <row r="865">
      <c r="L865" t="inlineStr">
        <is>
          <t>Nickel (soluble compounds)</t>
        </is>
      </c>
    </row>
    <row r="866">
      <c r="L866" t="inlineStr">
        <is>
          <t>TRIM VX</t>
        </is>
      </c>
    </row>
    <row r="867">
      <c r="L867" t="inlineStr">
        <is>
          <t>N-Nitrosohexamethyleneimine</t>
        </is>
      </c>
    </row>
    <row r="868">
      <c r="L868" t="inlineStr">
        <is>
          <t>Gentian violet (Crystal violet)</t>
        </is>
      </c>
    </row>
    <row r="869">
      <c r="L869" t="inlineStr">
        <is>
          <t>Custom warning</t>
        </is>
      </c>
    </row>
    <row r="870">
      <c r="L870" t="inlineStr">
        <is>
          <t>2-Amino-4-chlorophenol</t>
        </is>
      </c>
    </row>
    <row r="871">
      <c r="L871" t="inlineStr">
        <is>
          <t>2-Chloronitrobenzene</t>
        </is>
      </c>
    </row>
    <row r="872">
      <c r="L872" t="inlineStr">
        <is>
          <t>1,4-Dichloro-2-nitrobenzene</t>
        </is>
      </c>
    </row>
    <row r="873">
      <c r="L873" t="inlineStr">
        <is>
          <t>2,4-Dichloro-1-nitrobenzene</t>
        </is>
      </c>
    </row>
    <row r="874">
      <c r="L874" t="inlineStr">
        <is>
          <t>Bevacizumab</t>
        </is>
      </c>
    </row>
    <row r="875">
      <c r="L875" t="inlineStr">
        <is>
          <t>p-chloro-?,?,?-trifluorotoluene (para-Chlorobenzotrifluoride, PCBTF)</t>
        </is>
      </c>
    </row>
    <row r="876">
      <c r="L876" t="inlineStr">
        <is>
          <t>para-Nitroanisole</t>
        </is>
      </c>
    </row>
    <row r="877">
      <c r="L877" t="inlineStr">
        <is>
          <t>Cannabis (marijuana) smoke</t>
        </is>
      </c>
    </row>
    <row r="878">
      <c r="L878" t="inlineStr">
        <is>
          <t>?9 -Tetrahydrocannabinol (?9 -THC)</t>
        </is>
      </c>
    </row>
    <row r="879">
      <c r="L879" t="inlineStr">
        <is>
          <t>1,1,1-Trichloroethane</t>
        </is>
      </c>
    </row>
    <row r="880">
      <c r="L880" t="inlineStr">
        <is>
          <t>1-Bromo-3-chloropropane</t>
        </is>
      </c>
    </row>
    <row r="881">
      <c r="L881" t="inlineStr">
        <is>
          <t>1-Butyl glycidyl ether</t>
        </is>
      </c>
    </row>
    <row r="882">
      <c r="L882" t="inlineStr">
        <is>
          <t>2-Ethylhexyl acrylate</t>
        </is>
      </c>
    </row>
    <row r="883">
      <c r="L883" t="inlineStr">
        <is>
          <t>Alcoholic beverages</t>
        </is>
      </c>
    </row>
    <row r="884">
      <c r="L884" t="inlineStr">
        <is>
          <t>Anthracene</t>
        </is>
      </c>
    </row>
    <row r="885">
      <c r="L885" t="inlineStr">
        <is>
          <t>Bisphenol S (BPS)</t>
        </is>
      </c>
    </row>
    <row r="886">
      <c r="L886" t="inlineStr">
        <is>
          <t>Coal-tar pitch</t>
        </is>
      </c>
    </row>
    <row r="887">
      <c r="L887" t="inlineStr">
        <is>
          <t>Dimethyl hydrogen phosphite</t>
        </is>
      </c>
    </row>
    <row r="888">
      <c r="L888" t="inlineStr">
        <is>
          <t>Fluoro-edenite fibrous amphibole</t>
        </is>
      </c>
    </row>
    <row r="889">
      <c r="L889" t="inlineStr">
        <is>
          <t>Glycidyl methacrylate</t>
        </is>
      </c>
    </row>
    <row r="890">
      <c r="L890" t="inlineStr">
        <is>
          <t>Hexachlorocyclohexane (technical grade)</t>
        </is>
      </c>
    </row>
    <row r="891">
      <c r="L891" t="inlineStr">
        <is>
          <t>Indium tin oxide</t>
        </is>
      </c>
    </row>
    <row r="892">
      <c r="L892" t="inlineStr">
        <is>
          <t>Leucomalachite green</t>
        </is>
      </c>
    </row>
    <row r="893">
      <c r="L893" t="inlineStr">
        <is>
          <t>Methyl acrylate</t>
        </is>
      </c>
    </row>
    <row r="894">
      <c r="L894" t="inlineStr">
        <is>
          <t>Molybdenum trioxide</t>
        </is>
      </c>
    </row>
    <row r="895">
      <c r="L895" t="inlineStr">
        <is>
          <t>p-Chloro-o-toluidine, hydrochloride</t>
        </is>
      </c>
    </row>
    <row r="896">
      <c r="L896" t="inlineStr">
        <is>
          <t>Perfluorononanoic acid (PFNA) and its salts</t>
        </is>
      </c>
    </row>
    <row r="897">
      <c r="L897" t="inlineStr">
        <is>
          <t>Perfluorooctane sulfonic acid (PFOS) and its salts and transformation and degradation precursors</t>
        </is>
      </c>
    </row>
    <row r="898">
      <c r="L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L899" t="inlineStr">
        <is>
          <t>Silicon carbide whiskers</t>
        </is>
      </c>
    </row>
    <row r="900">
      <c r="L900" t="inlineStr">
        <is>
          <t>Tetrahydrofuran</t>
        </is>
      </c>
    </row>
    <row r="901">
      <c r="L901" t="inlineStr">
        <is>
          <t>Trimethylolpropane triacrylate, technical grade</t>
        </is>
      </c>
    </row>
    <row r="902">
      <c r="L902" t="inlineStr">
        <is>
          <t>Vismodegib</t>
        </is>
      </c>
    </row>
  </sheetData>
  <hyperlinks>
    <hyperlink ref="A1" location="#'3 - Carts &amp; Stands'!D6" display="Brand"/>
    <hyperlink ref="B1" location="#'3 - Carts &amp; Stands'!J6" display="Variant Type"/>
    <hyperlink ref="C1" location="#'3 - Carts &amp; Stands'!L6" display="Variant Details - Variant Grouping (Class 3)"/>
    <hyperlink ref="D1" location="#'6 - TV Stands &amp; Enterta'!L6" display="Variant Details - Variant Grouping (Class 6)"/>
    <hyperlink ref="E1" location="#'10 - Office Chairs'!L6" display="Variant Details - Variant Grouping (Class 10)"/>
    <hyperlink ref="F1" location="#'12 - Beds'!L6" display="Variant Details - Variant Grouping (Class 12)"/>
    <hyperlink ref="G1" location="#'13 - Dressers &amp; Chests'!L6" display="Variant Details - Variant Grouping (Class 13)"/>
    <hyperlink ref="H1" location="#'3 - Carts &amp; Stands'!AE6" display="Ship Type"/>
    <hyperlink ref="I1" location="#'3 - Carts &amp; Stands'!AF6" display="Freight Class"/>
    <hyperlink ref="J1" location="#'3 - Carts &amp; Stands'!AG6" display="Lead Time"/>
    <hyperlink ref="K1" location="#'3 - Carts &amp; Stands'!AH6" display="Replacement Lead Time"/>
    <hyperlink ref="L1" location="#'Additional Chemicals'!C6" display="Chemical"/>
    <hyperlink ref="M1" location="#'Additional Chemicals'!D6" display="Toxicity"/>
    <hyperlink ref="N1" location="#'3 - Carts &amp; Stands'!AS6" display="Country Of Manufacturer"/>
    <hyperlink ref="O1" location="#'Additional Documents'!D6" display="Document Type"/>
    <hyperlink ref="P1" location="#'Additional Documents'!E6" display="Legal Document Type"/>
    <hyperlink ref="Q1" location="#'Additional Documents'!F6" display="Document Region"/>
    <hyperlink ref="R1" location="#'Additional Documents'!G6" display="Document Language"/>
    <hyperlink ref="S1" location="#'3 - Carts &amp; Stands'!BO6" display="Product Type"/>
    <hyperlink ref="T1" location="#'3 - Carts &amp; Stands'!BP6" display="Material"/>
    <hyperlink ref="U1" location="#'3 - Carts &amp; Stands'!BR6" display="Wood Species"/>
    <hyperlink ref="V1" location="#'3 - Carts &amp; Stands'!BZ6" display="Supplier Intended and Approved Use"/>
    <hyperlink ref="W1" location="#'3 - Carts &amp; Stands'!CA6" display="Country of Origin - Additional Details"/>
    <hyperlink ref="X1" location="#'3 - Carts &amp; Stands'!CC6" display="Battery Type"/>
    <hyperlink ref="Y1" location="#'3 - Carts &amp; Stands'!CD6" display="Battery Composition"/>
    <hyperlink ref="Z1" location="#'3 - Carts &amp; Stands'!CE6" display="Number of Batteries"/>
    <hyperlink ref="AA1" location="#'3 - Carts &amp; Stands'!CF6" display="Battery Shipment"/>
    <hyperlink ref="AB1" location="#'3 - Carts &amp; Stands'!CG6" display="Lithium Content"/>
    <hyperlink ref="AC1" location="#'3 - Carts &amp; Stands'!CH6" display="Watt Rating of Cells / Battery"/>
    <hyperlink ref="AD1" location="#'3 - Carts &amp; Stands'!CI6" display="Weight of Cells / Battery"/>
    <hyperlink ref="AE1" location="#'3 - Carts &amp; Stands'!CJ6" display="Removable Components"/>
    <hyperlink ref="AF1" location="#'3 - Carts &amp; Stands'!CM6" display="Mount Type"/>
    <hyperlink ref="AG1" location="#'3 - Carts &amp; Stands'!CN6" display="Color / Finish"/>
    <hyperlink ref="AH1" location="#'3 - Carts &amp; Stands'!CQ6" display="Shelf Type"/>
    <hyperlink ref="AI1" location="#'3 - Carts &amp; Stands'!CR6" display="Pieces Included"/>
    <hyperlink ref="AJ1" location="#'3 - Carts &amp; Stands'!CU6" display="CPSC - 16 CFR 1303 Compliant"/>
    <hyperlink ref="AK1" location="#'3 - Carts &amp; Stands'!CX6" display="CARB Phase II Compliant (formaldehyde emissions)"/>
    <hyperlink ref="AL1" location="#'3 - Carts &amp; Stands'!CY6" display="TSCA Title VI Compliant (formaldehyde emissions)"/>
    <hyperlink ref="AM1" location="#'3 - Carts &amp; Stands'!CZ6" display="CANFER Compliant"/>
    <hyperlink ref="AN1" location="#'3 - Carts &amp; Stands'!DA6" display="Uniform Packaging and Labeling Regulations (UPLR) Compliant"/>
    <hyperlink ref="AO1" location="#'3 - Carts &amp; Stands'!DC6" display="Reason for Restriction"/>
    <hyperlink ref="AP1" location="#'3 - Carts &amp; Stands'!DD6" display="Lacey Act Compliant"/>
    <hyperlink ref="AQ1" location="#'3 - Carts &amp; Stands'!DE6" display="General Certificate of Conformity (GCC)"/>
    <hyperlink ref="AR1" location="#'3 - Carts &amp; Stands'!DG6" display="UN or ID number"/>
    <hyperlink ref="AS1" location="#'3 - Carts &amp; Stands'!DH6" display="Hazard Class(es)"/>
    <hyperlink ref="AT1" location="#'3 - Carts &amp; Stands'!DI6" display="Packing Group"/>
    <hyperlink ref="AU1" location="#'3 - Carts &amp; Stands'!DJ6" display="Hazardous Material Weight"/>
    <hyperlink ref="AV1" location="#'3 - Carts &amp; Stands'!DK6" display="Energy Efficiency Regulations Compliant"/>
    <hyperlink ref="AW1" location="#'3 - Carts &amp; Stands'!DL6" display="Safety Listing(s)"/>
    <hyperlink ref="AX1" location="#'3 - Carts &amp; Stands'!DN6" display="ISTA Certified"/>
    <hyperlink ref="AY1" location="#'3 - Carts &amp; Stands'!DV6" display="Commercial Warranty Length"/>
    <hyperlink ref="AZ1" location="#'3 - Carts &amp; Stands'!DX6" display="Warranty Length"/>
    <hyperlink ref="BA1" location="#'6 - TV Stands &amp; Enterta'!BO6" display="Product Type"/>
    <hyperlink ref="BB1" location="#'6 - TV Stands &amp; Enterta'!BX6" display="Furniture Design"/>
    <hyperlink ref="BC1" location="#'6 - TV Stands &amp; Enterta'!BY6" display="Material"/>
    <hyperlink ref="BD1" location="#'6 - TV Stands &amp; Enterta'!BZ6" display="Purposeful Distressing Type"/>
    <hyperlink ref="BE1" location="#'6 - TV Stands &amp; Enterta'!CA6" display="Natural Variation Type"/>
    <hyperlink ref="BF1" location="#'6 - TV Stands &amp; Enterta'!CK6" display="Tipover Restraint Device Included"/>
    <hyperlink ref="BG1" location="#'6 - TV Stands &amp; Enterta'!CN6" display="Supplier Intended and Approved Use"/>
    <hyperlink ref="BH1" location="#'6 - TV Stands &amp; Enterta'!CO6" display="Country of Origin - Additional Details"/>
    <hyperlink ref="BI1" location="#'6 - TV Stands &amp; Enterta'!CP6" display="Main Wood Joinery Method"/>
    <hyperlink ref="BJ1" location="#'6 - TV Stands &amp; Enterta'!CR6" display="Wood Species"/>
    <hyperlink ref="BK1" location="#'6 - TV Stands &amp; Enterta'!CT6" display="Battery Composition"/>
    <hyperlink ref="BL1" location="#'6 - TV Stands &amp; Enterta'!CU6" display="Battery Type"/>
    <hyperlink ref="BM1" location="#'6 - TV Stands &amp; Enterta'!CV6" display="Number of Batteries"/>
    <hyperlink ref="BN1" location="#'6 - TV Stands &amp; Enterta'!CW6" display="Battery Shipment"/>
    <hyperlink ref="BO1" location="#'6 - TV Stands &amp; Enterta'!CX6" display="Lithium Content"/>
    <hyperlink ref="BP1" location="#'6 - TV Stands &amp; Enterta'!CY6" display="Watt Rating of Cells / Battery"/>
    <hyperlink ref="BQ1" location="#'6 - TV Stands &amp; Enterta'!CZ6" display="Weight of Cells / Battery"/>
    <hyperlink ref="BR1" location="#'6 - TV Stands &amp; Enterta'!DD6" display="Product Care"/>
    <hyperlink ref="BS1" location="#'6 - TV Stands &amp; Enterta'!DF6" display="Shelf Material"/>
    <hyperlink ref="BT1" location="#'6 - TV Stands &amp; Enterta'!DG6" display="Color / Finish"/>
    <hyperlink ref="BU1" location="#'6 - TV Stands &amp; Enterta'!DH6" display="Drawer Glide Type &amp; Extension"/>
    <hyperlink ref="BV1" location="#'6 - TV Stands &amp; Enterta'!DI6" display="Vent Type"/>
    <hyperlink ref="BW1" location="#'6 - TV Stands &amp; Enterta'!DJ6" display="Fuel Type"/>
    <hyperlink ref="BX1" location="#'6 - TV Stands &amp; Enterta'!DK6" display="Door Design"/>
    <hyperlink ref="BY1" location="#'6 - TV Stands &amp; Enterta'!DN6" display="Pieces Included"/>
    <hyperlink ref="BZ1" location="#'6 - TV Stands &amp; Enterta'!DQ6" display="Fireplace Type"/>
    <hyperlink ref="CA1" location="#'6 - TV Stands &amp; Enterta'!DR6" display="General Certificate of Conformity (GCC)"/>
    <hyperlink ref="CB1" location="#'6 - TV Stands &amp; Enterta'!DT6" display="CARB Phase II Compliant (formaldehyde emissions)"/>
    <hyperlink ref="CC1" location="#'6 - TV Stands &amp; Enterta'!DU6" display="TSCA Title VI Compliant (formaldehyde emissions)"/>
    <hyperlink ref="CD1" location="#'6 - TV Stands &amp; Enterta'!DV6" display="CANFER Compliant"/>
    <hyperlink ref="CE1" location="#'6 - TV Stands &amp; Enterta'!DW6" display="Uniform Packaging and Labeling Regulations (UPLR) Compliant"/>
    <hyperlink ref="CF1" location="#'6 - TV Stands &amp; Enterta'!DY6" display="Reason for Restriction"/>
    <hyperlink ref="CG1" location="#'6 - TV Stands &amp; Enterta'!DZ6" display="UL 1678 Listed"/>
    <hyperlink ref="CH1" location="#'6 - TV Stands &amp; Enterta'!EB6" display="UN or ID number"/>
    <hyperlink ref="CI1" location="#'6 - TV Stands &amp; Enterta'!EC6" display="Hazard Class(es)"/>
    <hyperlink ref="CJ1" location="#'6 - TV Stands &amp; Enterta'!ED6" display="Packing Group"/>
    <hyperlink ref="CK1" location="#'6 - TV Stands &amp; Enterta'!EE6" display="Hazardous Material Weight"/>
    <hyperlink ref="CL1" location="#'6 - TV Stands &amp; Enterta'!EF6" display="Energy Efficiency Regulations Compliant"/>
    <hyperlink ref="CM1" location="#'6 - TV Stands &amp; Enterta'!EG6" display="Safety Listing(s)"/>
    <hyperlink ref="CN1" location="#'6 - TV Stands &amp; Enterta'!EI6" display="CPSC - 16 CFR 1263 Compliant (Reese's Law)"/>
    <hyperlink ref="CO1" location="#'6 - TV Stands &amp; Enterta'!EJ6" display="ISTA Certified"/>
    <hyperlink ref="CP1" location="#'6 - TV Stands &amp; Enterta'!EL6" display="Commercial Certifications"/>
    <hyperlink ref="CQ1" location="#'6 - TV Stands &amp; Enterta'!ES6" display="Maximum TV Screen Size Accommodated"/>
    <hyperlink ref="CR1" location="#'6 - TV Stands &amp; Enterta'!EV6" display="Level of Assembly"/>
    <hyperlink ref="CS1" location="#'6 - TV Stands &amp; Enterta'!EW6" display="Additional Tools Required (Not Included)"/>
    <hyperlink ref="CT1" location="#'6 - TV Stands &amp; Enterta'!EY6" display="Commercial Warranty Length"/>
    <hyperlink ref="CU1" location="#'6 - TV Stands &amp; Enterta'!FA6" display="Full or Limited Warranty"/>
    <hyperlink ref="CV1" location="#'6 - TV Stands &amp; Enterta'!FB6" display="Warranty Length"/>
    <hyperlink ref="CW1" location="#'10 - Office Chairs'!BO6" display="Product Type"/>
    <hyperlink ref="CX1" location="#'10 - Office Chairs'!BP6" display="Frame Material"/>
    <hyperlink ref="CY1" location="#'10 - Office Chairs'!BQ6" display="Back Construction"/>
    <hyperlink ref="CZ1" location="#'10 - Office Chairs'!BR6" display="Seat Material"/>
    <hyperlink ref="DA1" location="#'10 - Office Chairs'!BT6" display="Upholstery Material"/>
    <hyperlink ref="DB1" location="#'10 - Office Chairs'!BW6" display="Back Material"/>
    <hyperlink ref="DC1" location="#'10 - Office Chairs'!BX6" display="Back Upholstery Material"/>
    <hyperlink ref="DD1" location="#'10 - Office Chairs'!BY6" display="Back Fill Material"/>
    <hyperlink ref="DE1" location="#'10 - Office Chairs'!BZ6" display="Purposeful Distressing Type"/>
    <hyperlink ref="DF1" location="#'10 - Office Chairs'!CA6" display="Natural Variation Type"/>
    <hyperlink ref="DG1" location="#'10 - Office Chairs'!CC6" display="Adjustable Armrest Type"/>
    <hyperlink ref="DH1" location="#'10 - Office Chairs'!CR6" display="Compatible Floor Type"/>
    <hyperlink ref="DI1" location="#'10 - Office Chairs'!CT6" display="Supplier Intended and Approved Use"/>
    <hyperlink ref="DJ1" location="#'10 - Office Chairs'!CU6" display="Country of Origin - Additional Details"/>
    <hyperlink ref="DK1" location="#'10 - Office Chairs'!CV6" display="Main Wood Joinery Method"/>
    <hyperlink ref="DL1" location="#'10 - Office Chairs'!CZ6" display="Battery Composition"/>
    <hyperlink ref="DM1" location="#'10 - Office Chairs'!DA6" display="Battery Type"/>
    <hyperlink ref="DN1" location="#'10 - Office Chairs'!DB6" display="Number of Batteries"/>
    <hyperlink ref="DO1" location="#'10 - Office Chairs'!DC6" display="Battery Shipment"/>
    <hyperlink ref="DP1" location="#'10 - Office Chairs'!DD6" display="Lithium Content"/>
    <hyperlink ref="DQ1" location="#'10 - Office Chairs'!DE6" display="Watt Rating of Cells / Battery"/>
    <hyperlink ref="DR1" location="#'10 - Office Chairs'!DF6" display="Weight of Cells / Battery"/>
    <hyperlink ref="DS1" location="#'10 - Office Chairs'!DJ6" display="Product Care"/>
    <hyperlink ref="DT1" location="#'10 - Office Chairs'!DK6" display="Seat Color"/>
    <hyperlink ref="DU1" location="#'10 - Office Chairs'!DL6" display="Arm Material"/>
    <hyperlink ref="DV1" location="#'10 - Office Chairs'!DM6" display="Upholstery Fill Material"/>
    <hyperlink ref="DW1" location="#'10 - Office Chairs'!DN6" display="Frame Color / Finish"/>
    <hyperlink ref="DX1" location="#'10 - Office Chairs'!DP6" display="Wood Species"/>
    <hyperlink ref="DY1" location="#'10 - Office Chairs'!DS6" display="Arm Type"/>
    <hyperlink ref="DZ1" location="#'10 - Office Chairs'!DU6" display="Durability"/>
    <hyperlink ref="EA1" location="#'10 - Office Chairs'!DV6" display="Tilt Mechanism Type"/>
    <hyperlink ref="EB1" location="#'10 - Office Chairs'!DW6" display="Pieces Included"/>
    <hyperlink ref="EC1" location="#'10 - Office Chairs'!DX6" display="Rub Count"/>
    <hyperlink ref="ED1" location="#'10 - Office Chairs'!DY6" display="CPSC - 16 CFR 1303 Compliant"/>
    <hyperlink ref="EE1" location="#'10 - Office Chairs'!EA6" display="CARB Phase II Compliant (formaldehyde emissions)"/>
    <hyperlink ref="EF1" location="#'10 - Office Chairs'!EB6" display="TSCA Title VI Compliant (formaldehyde emissions)"/>
    <hyperlink ref="EG1" location="#'10 - Office Chairs'!EC6" display="CANFER Compliant"/>
    <hyperlink ref="EH1" location="#'10 - Office Chairs'!EF6" display="CAL TB 116 Compliant"/>
    <hyperlink ref="EI1" location="#'10 - Office Chairs'!EG6" display="CAL TB 117-2013 Compliant"/>
    <hyperlink ref="EJ1" location="#'10 - Office Chairs'!EH6" display="General Certificate of Conformity (GCC)"/>
    <hyperlink ref="EK1" location="#'10 - Office Chairs'!EI6" display="Uniform Packaging and Labeling Regulations (UPLR) Compliant"/>
    <hyperlink ref="EL1" location="#'10 - Office Chairs'!EK6" display="Reason for Restriction"/>
    <hyperlink ref="EM1" location="#'10 - Office Chairs'!EL6" display="Lacey Act Compliant"/>
    <hyperlink ref="EN1" location="#'10 - Office Chairs'!EO6" display="UN or ID number"/>
    <hyperlink ref="EO1" location="#'10 - Office Chairs'!EP6" display="Hazard Class(es)"/>
    <hyperlink ref="EP1" location="#'10 - Office Chairs'!EQ6" display="Packing Group"/>
    <hyperlink ref="EQ1" location="#'10 - Office Chairs'!ER6" display="Hazardous Material Weight"/>
    <hyperlink ref="ER1" location="#'10 - Office Chairs'!ES6" display="Energy Efficiency Regulations Compliant"/>
    <hyperlink ref="ES1" location="#'10 - Office Chairs'!ET6" display="SOR/2016-193 - Surface Coating Materials Regulations"/>
    <hyperlink ref="ET1" location="#'10 - Office Chairs'!EU6" display="ISTA Certified"/>
    <hyperlink ref="EU1" location="#'10 - Office Chairs'!EV6" display="California AB-1817 Compliant (CA PFAS)"/>
    <hyperlink ref="EV1" location="#'10 - Office Chairs'!EX6" display="Commercial Certifications"/>
    <hyperlink ref="EW1" location="#'10 - Office Chairs'!FK6" display="Level of Assembly"/>
    <hyperlink ref="EX1" location="#'10 - Office Chairs'!FL6" display="Additional Tools Required (Not Included)"/>
    <hyperlink ref="EY1" location="#'10 - Office Chairs'!FN6" display="Commercial Warranty Length"/>
    <hyperlink ref="EZ1" location="#'10 - Office Chairs'!FP6" display="Full or Limited Warranty"/>
    <hyperlink ref="FA1" location="#'13 - Dressers &amp; Chests'!BO6" display="Product Type"/>
    <hyperlink ref="FB1" location="#'13 - Dressers &amp; Chests'!BP6" display="Material"/>
    <hyperlink ref="FC1" location="#'13 - Dressers &amp; Chests'!BT6" display="Drawer Glide Type &amp; Extension"/>
    <hyperlink ref="FD1" location="#'13 - Dressers &amp; Chests'!BW6" display="Tipover Restraint Device Included"/>
    <hyperlink ref="FE1" location="#'13 - Dressers &amp; Chests'!BZ6" display="Purposeful Distressing Type"/>
    <hyperlink ref="FF1" location="#'13 - Dressers &amp; Chests'!CA6" display="Natural Variation Type"/>
    <hyperlink ref="FG1" location="#'13 - Dressers &amp; Chests'!CB6" display="Supplier Intended and Approved Use"/>
    <hyperlink ref="FH1" location="#'13 - Dressers &amp; Chests'!CC6" display="Handle Material"/>
    <hyperlink ref="FI1" location="#'13 - Dressers &amp; Chests'!CE6" display="Country of Origin - Additional Details"/>
    <hyperlink ref="FJ1" location="#'13 - Dressers &amp; Chests'!CF6" display="Main Wood Joinery Method"/>
    <hyperlink ref="FK1" location="#'13 - Dressers &amp; Chests'!CH6" display="Wood Species"/>
    <hyperlink ref="FL1" location="#'13 - Dressers &amp; Chests'!CI6" display="Product Care"/>
    <hyperlink ref="FM1" location="#'13 - Dressers &amp; Chests'!CM6" display="Color"/>
    <hyperlink ref="FN1" location="#'13 - Dressers &amp; Chests'!CN6" display="Manufactured Wood Type"/>
    <hyperlink ref="FO1" location="#'13 - Dressers &amp; Chests'!CR6" display="Pieces Included"/>
    <hyperlink ref="FP1" location="#'13 - Dressers &amp; Chests'!CU6" display="Consumer Product Safety Improvement Act (CPSIA) Compliant"/>
    <hyperlink ref="FQ1" location="#'13 - Dressers &amp; Chests'!CV6" display="CPSC - 16 CFR 1303 Compliant"/>
    <hyperlink ref="FR1" location="#'13 - Dressers &amp; Chests'!CW6" display="Children’s Product Certificate (CPC)"/>
    <hyperlink ref="FS1" location="#'13 - Dressers &amp; Chests'!CX6" display="General Certificate of Conformity (GCC)"/>
    <hyperlink ref="FT1" location="#'13 - Dressers &amp; Chests'!CZ6" display="CARB Phase II Compliant (formaldehyde emissions)"/>
    <hyperlink ref="FU1" location="#'13 - Dressers &amp; Chests'!DA6" display="TSCA Title VI Compliant (formaldehyde emissions)"/>
    <hyperlink ref="FV1" location="#'13 - Dressers &amp; Chests'!DB6" display="CANFER Compliant"/>
    <hyperlink ref="FW1" location="#'13 - Dressers &amp; Chests'!DD6" display="Uniform Packaging and Labeling Regulations (UPLR) Compliant"/>
    <hyperlink ref="FX1" location="#'13 - Dressers &amp; Chests'!DF6" display="Reason for Restriction"/>
    <hyperlink ref="FY1" location="#'13 - Dressers &amp; Chests'!DG6" display="ASTM F2057-23 (STURDY)"/>
    <hyperlink ref="FZ1" location="#'13 - Dressers &amp; Chests'!DH6" display="ISTA Certified"/>
    <hyperlink ref="GA1" location="#'13 - Dressers &amp; Chests'!DI6" display="California AB-1817 Compliant (CA PFAS)"/>
    <hyperlink ref="GB1" location="#'13 - Dressers &amp; Chests'!DK6" display="Commercial Certifications"/>
    <hyperlink ref="GC1" location="#'13 - Dressers &amp; Chests'!DT6" display="Level of Assembly"/>
    <hyperlink ref="GD1" location="#'13 - Dressers &amp; Chests'!DU6" display="Additional Tools Required (Not Included)"/>
    <hyperlink ref="GE1" location="#'13 - Dressers &amp; Chests'!DW6" display="Commercial Warranty Length"/>
    <hyperlink ref="GF1" location="#'13 - Dressers &amp; Chests'!DY6" display="Full or Limited Warranty"/>
    <hyperlink ref="GG1" location="#'12 - Beds'!BO6" display="Mattress Size"/>
    <hyperlink ref="GH1" location="#'12 - Beds'!BP6" display="Color"/>
    <hyperlink ref="GI1" location="#'12 - Beds'!BQ6" display="Bed Design"/>
    <hyperlink ref="GJ1" location="#'12 - Beds'!BR6" display="Bed Frame Material"/>
    <hyperlink ref="GK1" location="#'12 - Beds'!BU6" display="Upholstery Material"/>
    <hyperlink ref="GL1" location="#'12 - Beds'!BV6" display="Faux Leather Type"/>
    <hyperlink ref="GM1" location="#'12 - Beds'!BX6" display="Slat Material"/>
    <hyperlink ref="GN1" location="#'12 - Beds'!CB6" display="Type of Storage Included"/>
    <hyperlink ref="GO1" location="#'12 - Beds'!CF6" display="Natural Variation Type"/>
    <hyperlink ref="GP1" location="#'12 - Beds'!CG6" display="Purposeful Distressing Type"/>
    <hyperlink ref="GQ1" location="#'12 - Beds'!CH6" display="Supplier Intended and Approved Use"/>
    <hyperlink ref="GR1" location="#'12 - Beds'!CI6" display="Country of Origin - Additional Details"/>
    <hyperlink ref="GS1" location="#'12 - Beds'!CJ6" display="Main Wood Joinery Method"/>
    <hyperlink ref="GT1" location="#'12 - Beds'!CL6" display="Wood Species"/>
    <hyperlink ref="GU1" location="#'12 - Beds'!CM6" display="Pattern"/>
    <hyperlink ref="GV1" location="#'12 - Beds'!CO6" display="Battery Composition"/>
    <hyperlink ref="GW1" location="#'12 - Beds'!CP6" display="Battery Type"/>
    <hyperlink ref="GX1" location="#'12 - Beds'!CQ6" display="Number of Batteries"/>
    <hyperlink ref="GY1" location="#'12 - Beds'!CR6" display="Battery Shipment"/>
    <hyperlink ref="GZ1" location="#'12 - Beds'!CS6" display="Lithium Content"/>
    <hyperlink ref="HA1" location="#'12 - Beds'!CT6" display="Watt Rating of Cells / Battery"/>
    <hyperlink ref="HB1" location="#'12 - Beds'!CU6" display="Weight of Cells / Battery"/>
    <hyperlink ref="HC1" location="#'12 - Beds'!CZ6" display="Manufactured Wood Type"/>
    <hyperlink ref="HD1" location="#'12 - Beds'!DB6" display="Leather Type"/>
    <hyperlink ref="HE1" location="#'12 - Beds'!DC6" display="Upholstery Fabric Quality"/>
    <hyperlink ref="HF1" location="#'12 - Beds'!DD6" display="Headboard Shape"/>
    <hyperlink ref="HG1" location="#'12 - Beds'!DE6" display="Additional Technology Features"/>
    <hyperlink ref="HH1" location="#'12 - Beds'!DH6" display="Pieces Included"/>
    <hyperlink ref="HI1" location="#'12 - Beds'!DJ6" display="Upholstery Material Performance Brand"/>
    <hyperlink ref="HJ1" location="#'12 - Beds'!DM6" display="CARB Phase II Compliant (formaldehyde emissions)"/>
    <hyperlink ref="HK1" location="#'12 - Beds'!DN6" display="TSCA Title VI Compliant (formaldehyde emissions)"/>
    <hyperlink ref="HL1" location="#'12 - Beds'!DO6" display="CANFER Compliant"/>
    <hyperlink ref="HM1" location="#'12 - Beds'!DP6" display="SOR/2016-183 Compliant"/>
    <hyperlink ref="HN1" location="#'12 - Beds'!DQ6" display="CAL TB 116 Compliant"/>
    <hyperlink ref="HO1" location="#'12 - Beds'!DR6" display="CAL TB 117-2013 Compliant"/>
    <hyperlink ref="HP1" location="#'12 - Beds'!DS6" display="Uniform Packaging and Labeling Regulations (UPLR) Compliant"/>
    <hyperlink ref="HQ1" location="#'12 - Beds'!DU6" display="Reason for Restriction"/>
    <hyperlink ref="HR1" location="#'12 - Beds'!DV6" display="Textile Labelling and Advertising Regulations (C.R.C., c. 1551)"/>
    <hyperlink ref="HS1" location="#'12 - Beds'!DW6" display="SOR/2016-194 - Textile Flammability Regulations"/>
    <hyperlink ref="HT1" location="#'12 - Beds'!DY6" display="Children’s Product Certificate (CPC)"/>
    <hyperlink ref="HU1" location="#'12 - Beds'!DZ6" display="General Certificate of Conformity (GCC)"/>
    <hyperlink ref="HV1" location="#'12 - Beds'!EB6" display="UN or ID number"/>
    <hyperlink ref="HW1" location="#'12 - Beds'!EC6" display="Hazard Class(es)"/>
    <hyperlink ref="HX1" location="#'12 - Beds'!ED6" display="Packing Group"/>
    <hyperlink ref="HY1" location="#'12 - Beds'!EE6" display="Hazardous Material Weight"/>
    <hyperlink ref="HZ1" location="#'12 - Beds'!EF6" display="CPSC - 16 CFR 1263 Compliant (Reese's Law)"/>
    <hyperlink ref="IA1" location="#'12 - Beds'!EG6" display="ISTA Certified"/>
    <hyperlink ref="IB1" location="#'12 - Beds'!EH6" display="California AB-1817 Compliant (CA PFAS)"/>
    <hyperlink ref="IC1" location="#'12 - Beds'!EI6" display="SOR/2016-193 - Surface Coating Materials Regulations"/>
    <hyperlink ref="ID1" location="#'12 - Beds'!EJ6" display="Consumer Product Safety Improvement Act (CPSIA) Compliant"/>
    <hyperlink ref="IE1" location="#'12 - Beds'!EK6" display="CPSC - 16 CFR 1303 Compliant"/>
    <hyperlink ref="IF1" location="#'12 - Beds'!EM6" display="US Mattress Flammability Regulations Compliant"/>
    <hyperlink ref="IG1" location="#'12 - Beds'!EW6" display="Level of Assembly"/>
    <hyperlink ref="IH1" location="#'12 - Beds'!EX6" display="Additional Tools Required (Not Included)"/>
    <hyperlink ref="II1" location="#'12 - Beds'!EZ6" display="Commercial Warranty Length"/>
    <hyperlink ref="IJ1" location="#'12 - Beds'!FB6" display="Full or Limited Warranty"/>
    <hyperlink ref="IK1" location="#'12 - Beds'!FC6" display="Warranty Length"/>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2026-02-24T19:48:02Z</dcterms:created>
  <dcterms:modified xsi:type="dcterms:W3CDTF">2026-02-24T20:10:27Z</dcterms:modified>
</cp:coreProperties>
</file>